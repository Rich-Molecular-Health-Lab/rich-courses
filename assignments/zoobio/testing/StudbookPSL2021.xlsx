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liciamrich/GitRepos/rich-courses/assignments/zoobio/testing/"/>
    </mc:Choice>
  </mc:AlternateContent>
  <xr:revisionPtr revIDLastSave="0" documentId="8_{4661986E-3940-554B-B297-B8E4EB7AF8E8}" xr6:coauthVersionLast="47" xr6:coauthVersionMax="47" xr10:uidLastSave="{00000000-0000-0000-0000-000000000000}"/>
  <bookViews>
    <workbookView xWindow="0" yWindow="760" windowWidth="30240" windowHeight="18880" xr2:uid="{00000000-000D-0000-FFFF-FFFF00000000}"/>
  </bookViews>
  <sheets>
    <sheet name="Working" sheetId="1" r:id="rId1"/>
    <sheet name="Stillbirths" sheetId="2" r:id="rId2"/>
    <sheet name="Stillbirths by Mother" sheetId="3" r:id="rId3"/>
    <sheet name="Births by Location" sheetId="4" r:id="rId4"/>
    <sheet name="Births by Dam" sheetId="5" r:id="rId5"/>
    <sheet name="Births by Sire" sheetId="6" r:id="rId6"/>
    <sheet name="Institutions" sheetId="7" r:id="rId7"/>
    <sheet name="Original" sheetId="8" r:id="rId8"/>
    <sheet name="Sheet1" sheetId="9" r:id="rId9"/>
  </sheets>
  <definedNames>
    <definedName name="_xlnm._FilterDatabase" localSheetId="4" hidden="1">'Births by Dam'!$A$1:$AQ$1000</definedName>
    <definedName name="_xlnm._FilterDatabase" localSheetId="5" hidden="1">'Births by Sire'!$A$1:$Z$1000</definedName>
    <definedName name="_xlnm._FilterDatabase" localSheetId="2" hidden="1">'Stillbirths by Mother'!$A$1:$BQ$1000</definedName>
    <definedName name="_xlnm._FilterDatabase" localSheetId="0" hidden="1">Working!$A$1:$CA$982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uN4WGlseFKODQB99FQO3G5PIb06SzgXxi2KDCYnbCnc="/>
    </ext>
  </extLst>
</workbook>
</file>

<file path=xl/calcChain.xml><?xml version="1.0" encoding="utf-8"?>
<calcChain xmlns="http://schemas.openxmlformats.org/spreadsheetml/2006/main">
  <c r="BZ369" i="1" l="1"/>
  <c r="BY369" i="1"/>
  <c r="BX369" i="1"/>
  <c r="BU369" i="1"/>
  <c r="BT369" i="1"/>
  <c r="BS369" i="1"/>
  <c r="BO369" i="1"/>
  <c r="BN369" i="1"/>
  <c r="BM369" i="1"/>
  <c r="BJ369" i="1"/>
  <c r="BI369" i="1"/>
  <c r="BH369" i="1"/>
  <c r="BD369" i="1"/>
  <c r="BC369" i="1"/>
  <c r="BB369" i="1"/>
  <c r="AX369" i="1"/>
  <c r="AW369" i="1"/>
  <c r="AV369" i="1"/>
  <c r="AR369" i="1"/>
  <c r="AQ369" i="1"/>
  <c r="AP369" i="1"/>
  <c r="AJ369" i="1"/>
  <c r="AI369" i="1"/>
  <c r="AH369" i="1"/>
  <c r="AC369" i="1"/>
  <c r="AB369" i="1"/>
  <c r="AA369" i="1"/>
  <c r="U369" i="1"/>
  <c r="T369" i="1"/>
  <c r="S369" i="1"/>
  <c r="R369" i="1"/>
  <c r="Q369" i="1"/>
  <c r="P369" i="1"/>
  <c r="BZ368" i="1"/>
  <c r="BY368" i="1"/>
  <c r="BX368" i="1"/>
  <c r="BU368" i="1"/>
  <c r="BT368" i="1"/>
  <c r="BS368" i="1"/>
  <c r="BO368" i="1"/>
  <c r="BN368" i="1"/>
  <c r="BM368" i="1"/>
  <c r="BJ368" i="1"/>
  <c r="BI368" i="1"/>
  <c r="BH368" i="1"/>
  <c r="BD368" i="1"/>
  <c r="BC368" i="1"/>
  <c r="BB368" i="1"/>
  <c r="AX368" i="1"/>
  <c r="AW368" i="1"/>
  <c r="AV368" i="1"/>
  <c r="AR368" i="1"/>
  <c r="AQ368" i="1"/>
  <c r="AP368" i="1"/>
  <c r="AJ368" i="1"/>
  <c r="AI368" i="1"/>
  <c r="AH368" i="1"/>
  <c r="AC368" i="1"/>
  <c r="AB368" i="1"/>
  <c r="AA368" i="1"/>
  <c r="U368" i="1"/>
  <c r="T368" i="1"/>
  <c r="S368" i="1"/>
  <c r="R368" i="1"/>
  <c r="Q368" i="1"/>
  <c r="P368" i="1"/>
  <c r="BZ367" i="1"/>
  <c r="BY367" i="1"/>
  <c r="BX367" i="1"/>
  <c r="BU367" i="1"/>
  <c r="BT367" i="1"/>
  <c r="BS367" i="1"/>
  <c r="BO367" i="1"/>
  <c r="BN367" i="1"/>
  <c r="BM367" i="1"/>
  <c r="BJ367" i="1"/>
  <c r="BI367" i="1"/>
  <c r="BH367" i="1"/>
  <c r="BD367" i="1"/>
  <c r="BC367" i="1"/>
  <c r="BB367" i="1"/>
  <c r="AX367" i="1"/>
  <c r="AW367" i="1"/>
  <c r="AV367" i="1"/>
  <c r="AR367" i="1"/>
  <c r="AQ367" i="1"/>
  <c r="AP367" i="1"/>
  <c r="AJ367" i="1"/>
  <c r="AI367" i="1"/>
  <c r="AH367" i="1"/>
  <c r="AC367" i="1"/>
  <c r="AB367" i="1"/>
  <c r="AA367" i="1"/>
  <c r="U367" i="1"/>
  <c r="T367" i="1"/>
  <c r="S367" i="1"/>
  <c r="R367" i="1"/>
  <c r="Q367" i="1"/>
  <c r="P367" i="1"/>
  <c r="BZ366" i="1"/>
  <c r="BY366" i="1"/>
  <c r="BX366" i="1"/>
  <c r="BU366" i="1"/>
  <c r="BT366" i="1"/>
  <c r="BS366" i="1"/>
  <c r="BO366" i="1"/>
  <c r="BN366" i="1"/>
  <c r="BM366" i="1"/>
  <c r="BJ366" i="1"/>
  <c r="BI366" i="1"/>
  <c r="BH366" i="1"/>
  <c r="BD366" i="1"/>
  <c r="BC366" i="1"/>
  <c r="BB366" i="1"/>
  <c r="AX366" i="1"/>
  <c r="AW366" i="1"/>
  <c r="AV366" i="1"/>
  <c r="AR366" i="1"/>
  <c r="AQ366" i="1"/>
  <c r="AP366" i="1"/>
  <c r="AJ366" i="1"/>
  <c r="AI366" i="1"/>
  <c r="AH366" i="1"/>
  <c r="AC366" i="1"/>
  <c r="AB366" i="1"/>
  <c r="AA366" i="1"/>
  <c r="U366" i="1"/>
  <c r="T366" i="1"/>
  <c r="S366" i="1"/>
  <c r="R366" i="1"/>
  <c r="Q366" i="1"/>
  <c r="P366" i="1"/>
  <c r="BZ365" i="1"/>
  <c r="BY365" i="1"/>
  <c r="BX365" i="1"/>
  <c r="BU365" i="1"/>
  <c r="BT365" i="1"/>
  <c r="BS365" i="1"/>
  <c r="BO365" i="1"/>
  <c r="BN365" i="1"/>
  <c r="BM365" i="1"/>
  <c r="BJ365" i="1"/>
  <c r="BI365" i="1"/>
  <c r="BH365" i="1"/>
  <c r="BD365" i="1"/>
  <c r="BC365" i="1"/>
  <c r="BB365" i="1"/>
  <c r="AX365" i="1"/>
  <c r="AW365" i="1"/>
  <c r="AV365" i="1"/>
  <c r="AR365" i="1"/>
  <c r="AQ365" i="1"/>
  <c r="AP365" i="1"/>
  <c r="AJ365" i="1"/>
  <c r="AI365" i="1"/>
  <c r="AH365" i="1"/>
  <c r="AC365" i="1"/>
  <c r="AB365" i="1"/>
  <c r="AA365" i="1"/>
  <c r="U365" i="1"/>
  <c r="T365" i="1"/>
  <c r="S365" i="1"/>
  <c r="R365" i="1"/>
  <c r="Q365" i="1"/>
  <c r="P365" i="1"/>
  <c r="BZ364" i="1"/>
  <c r="BY364" i="1"/>
  <c r="BX364" i="1"/>
  <c r="BU364" i="1"/>
  <c r="BT364" i="1"/>
  <c r="BS364" i="1"/>
  <c r="BO364" i="1"/>
  <c r="BN364" i="1"/>
  <c r="BM364" i="1"/>
  <c r="BJ364" i="1"/>
  <c r="BI364" i="1"/>
  <c r="BH364" i="1"/>
  <c r="BD364" i="1"/>
  <c r="BC364" i="1"/>
  <c r="BB364" i="1"/>
  <c r="AX364" i="1"/>
  <c r="AW364" i="1"/>
  <c r="AV364" i="1"/>
  <c r="AR364" i="1"/>
  <c r="AQ364" i="1"/>
  <c r="AP364" i="1"/>
  <c r="AJ364" i="1"/>
  <c r="AI364" i="1"/>
  <c r="AH364" i="1"/>
  <c r="AC364" i="1"/>
  <c r="AB364" i="1"/>
  <c r="AA364" i="1"/>
  <c r="U364" i="1"/>
  <c r="T364" i="1"/>
  <c r="S364" i="1"/>
  <c r="R364" i="1"/>
  <c r="Q364" i="1"/>
  <c r="P364" i="1"/>
  <c r="BZ363" i="1"/>
  <c r="BY363" i="1"/>
  <c r="BX363" i="1"/>
  <c r="BU363" i="1"/>
  <c r="BT363" i="1"/>
  <c r="BS363" i="1"/>
  <c r="BO363" i="1"/>
  <c r="BN363" i="1"/>
  <c r="BM363" i="1"/>
  <c r="BJ363" i="1"/>
  <c r="BI363" i="1"/>
  <c r="BH363" i="1"/>
  <c r="BD363" i="1"/>
  <c r="BC363" i="1"/>
  <c r="BB363" i="1"/>
  <c r="AX363" i="1"/>
  <c r="AW363" i="1"/>
  <c r="AV363" i="1"/>
  <c r="AR363" i="1"/>
  <c r="AQ363" i="1"/>
  <c r="AP363" i="1"/>
  <c r="AJ363" i="1"/>
  <c r="AI363" i="1"/>
  <c r="AH363" i="1"/>
  <c r="AC363" i="1"/>
  <c r="AB363" i="1"/>
  <c r="AA363" i="1"/>
  <c r="U363" i="1"/>
  <c r="T363" i="1"/>
  <c r="S363" i="1"/>
  <c r="R363" i="1"/>
  <c r="Q363" i="1"/>
  <c r="P363" i="1"/>
  <c r="BZ362" i="1"/>
  <c r="BY362" i="1"/>
  <c r="BX362" i="1"/>
  <c r="BU362" i="1"/>
  <c r="BT362" i="1"/>
  <c r="BS362" i="1"/>
  <c r="BO362" i="1"/>
  <c r="BN362" i="1"/>
  <c r="BM362" i="1"/>
  <c r="BJ362" i="1"/>
  <c r="BI362" i="1"/>
  <c r="BH362" i="1"/>
  <c r="BD362" i="1"/>
  <c r="BC362" i="1"/>
  <c r="BB362" i="1"/>
  <c r="AX362" i="1"/>
  <c r="AW362" i="1"/>
  <c r="AV362" i="1"/>
  <c r="AR362" i="1"/>
  <c r="AQ362" i="1"/>
  <c r="AP362" i="1"/>
  <c r="AJ362" i="1"/>
  <c r="AI362" i="1"/>
  <c r="AH362" i="1"/>
  <c r="AC362" i="1"/>
  <c r="AB362" i="1"/>
  <c r="AA362" i="1"/>
  <c r="U362" i="1"/>
  <c r="T362" i="1"/>
  <c r="S362" i="1"/>
  <c r="R362" i="1"/>
  <c r="Q362" i="1"/>
  <c r="P362" i="1"/>
  <c r="BZ361" i="1"/>
  <c r="BY361" i="1"/>
  <c r="BX361" i="1"/>
  <c r="BU361" i="1"/>
  <c r="BT361" i="1"/>
  <c r="BS361" i="1"/>
  <c r="BO361" i="1"/>
  <c r="BN361" i="1"/>
  <c r="BM361" i="1"/>
  <c r="BJ361" i="1"/>
  <c r="BI361" i="1"/>
  <c r="BH361" i="1"/>
  <c r="BD361" i="1"/>
  <c r="BC361" i="1"/>
  <c r="BB361" i="1"/>
  <c r="AX361" i="1"/>
  <c r="AW361" i="1"/>
  <c r="AV361" i="1"/>
  <c r="AR361" i="1"/>
  <c r="AQ361" i="1"/>
  <c r="AP361" i="1"/>
  <c r="AJ361" i="1"/>
  <c r="AI361" i="1"/>
  <c r="AH361" i="1"/>
  <c r="AC361" i="1"/>
  <c r="AB361" i="1"/>
  <c r="AA361" i="1"/>
  <c r="U361" i="1"/>
  <c r="T361" i="1"/>
  <c r="S361" i="1"/>
  <c r="R361" i="1"/>
  <c r="Q361" i="1"/>
  <c r="P361" i="1"/>
  <c r="BZ360" i="1"/>
  <c r="BY360" i="1"/>
  <c r="BX360" i="1"/>
  <c r="BU360" i="1"/>
  <c r="BT360" i="1"/>
  <c r="BS360" i="1"/>
  <c r="BO360" i="1"/>
  <c r="BN360" i="1"/>
  <c r="BM360" i="1"/>
  <c r="BJ360" i="1"/>
  <c r="BI360" i="1"/>
  <c r="BH360" i="1"/>
  <c r="Y360" i="1" s="1"/>
  <c r="BD360" i="1"/>
  <c r="BC360" i="1"/>
  <c r="BB360" i="1"/>
  <c r="AX360" i="1"/>
  <c r="AW360" i="1"/>
  <c r="AV360" i="1"/>
  <c r="AR360" i="1"/>
  <c r="AQ360" i="1"/>
  <c r="AP360" i="1"/>
  <c r="AJ360" i="1"/>
  <c r="AI360" i="1"/>
  <c r="AH360" i="1"/>
  <c r="AC360" i="1"/>
  <c r="AB360" i="1"/>
  <c r="AA360" i="1"/>
  <c r="U360" i="1"/>
  <c r="T360" i="1"/>
  <c r="S360" i="1"/>
  <c r="R360" i="1"/>
  <c r="Q360" i="1"/>
  <c r="P360" i="1"/>
  <c r="BZ359" i="1"/>
  <c r="BY359" i="1"/>
  <c r="BX359" i="1"/>
  <c r="BU359" i="1"/>
  <c r="BT359" i="1"/>
  <c r="BS359" i="1"/>
  <c r="BO359" i="1"/>
  <c r="BN359" i="1"/>
  <c r="BM359" i="1"/>
  <c r="BJ359" i="1"/>
  <c r="BI359" i="1"/>
  <c r="BH359" i="1"/>
  <c r="BD359" i="1"/>
  <c r="BC359" i="1"/>
  <c r="BB359" i="1"/>
  <c r="AX359" i="1"/>
  <c r="AW359" i="1"/>
  <c r="AV359" i="1"/>
  <c r="AR359" i="1"/>
  <c r="AQ359" i="1"/>
  <c r="AP359" i="1"/>
  <c r="AJ359" i="1"/>
  <c r="AI359" i="1"/>
  <c r="AH359" i="1"/>
  <c r="AC359" i="1"/>
  <c r="AB359" i="1"/>
  <c r="AA359" i="1"/>
  <c r="U359" i="1"/>
  <c r="T359" i="1"/>
  <c r="S359" i="1"/>
  <c r="R359" i="1"/>
  <c r="Q359" i="1"/>
  <c r="P359" i="1"/>
  <c r="BZ358" i="1"/>
  <c r="BY358" i="1"/>
  <c r="BX358" i="1"/>
  <c r="BU358" i="1"/>
  <c r="BT358" i="1"/>
  <c r="BS358" i="1"/>
  <c r="BO358" i="1"/>
  <c r="BN358" i="1"/>
  <c r="BM358" i="1"/>
  <c r="BJ358" i="1"/>
  <c r="BI358" i="1"/>
  <c r="BH358" i="1"/>
  <c r="BD358" i="1"/>
  <c r="BC358" i="1"/>
  <c r="BB358" i="1"/>
  <c r="AX358" i="1"/>
  <c r="AW358" i="1"/>
  <c r="AV358" i="1"/>
  <c r="AR358" i="1"/>
  <c r="AQ358" i="1"/>
  <c r="AP358" i="1"/>
  <c r="AJ358" i="1"/>
  <c r="AI358" i="1"/>
  <c r="AH358" i="1"/>
  <c r="AC358" i="1"/>
  <c r="AB358" i="1"/>
  <c r="AA358" i="1"/>
  <c r="U358" i="1"/>
  <c r="T358" i="1"/>
  <c r="S358" i="1"/>
  <c r="R358" i="1"/>
  <c r="Q358" i="1"/>
  <c r="P358" i="1"/>
  <c r="BZ357" i="1"/>
  <c r="BY357" i="1"/>
  <c r="BX357" i="1"/>
  <c r="BU357" i="1"/>
  <c r="BT357" i="1"/>
  <c r="BS357" i="1"/>
  <c r="BO357" i="1"/>
  <c r="BN357" i="1"/>
  <c r="BM357" i="1"/>
  <c r="BJ357" i="1"/>
  <c r="BI357" i="1"/>
  <c r="BH357" i="1"/>
  <c r="BD357" i="1"/>
  <c r="BC357" i="1"/>
  <c r="BB357" i="1"/>
  <c r="AX357" i="1"/>
  <c r="AW357" i="1"/>
  <c r="AV357" i="1"/>
  <c r="AR357" i="1"/>
  <c r="AQ357" i="1"/>
  <c r="AP357" i="1"/>
  <c r="AJ357" i="1"/>
  <c r="AI357" i="1"/>
  <c r="AH357" i="1"/>
  <c r="AC357" i="1"/>
  <c r="AB357" i="1"/>
  <c r="AA357" i="1"/>
  <c r="U357" i="1"/>
  <c r="T357" i="1"/>
  <c r="S357" i="1"/>
  <c r="R357" i="1"/>
  <c r="Q357" i="1"/>
  <c r="P357" i="1"/>
  <c r="BZ356" i="1"/>
  <c r="BY356" i="1"/>
  <c r="BX356" i="1"/>
  <c r="BU356" i="1"/>
  <c r="BT356" i="1"/>
  <c r="BS356" i="1"/>
  <c r="BO356" i="1"/>
  <c r="BN356" i="1"/>
  <c r="BM356" i="1"/>
  <c r="BJ356" i="1"/>
  <c r="BI356" i="1"/>
  <c r="BH356" i="1"/>
  <c r="BD356" i="1"/>
  <c r="BC356" i="1"/>
  <c r="BB356" i="1"/>
  <c r="AX356" i="1"/>
  <c r="AW356" i="1"/>
  <c r="AV356" i="1"/>
  <c r="AR356" i="1"/>
  <c r="AQ356" i="1"/>
  <c r="AP356" i="1"/>
  <c r="AJ356" i="1"/>
  <c r="AI356" i="1"/>
  <c r="AH356" i="1"/>
  <c r="AC356" i="1"/>
  <c r="AB356" i="1"/>
  <c r="AA356" i="1"/>
  <c r="U356" i="1"/>
  <c r="T356" i="1"/>
  <c r="S356" i="1"/>
  <c r="R356" i="1"/>
  <c r="Q356" i="1"/>
  <c r="P356" i="1"/>
  <c r="BZ355" i="1"/>
  <c r="BY355" i="1"/>
  <c r="BX355" i="1"/>
  <c r="BU355" i="1"/>
  <c r="BT355" i="1"/>
  <c r="BS355" i="1"/>
  <c r="BO355" i="1"/>
  <c r="BN355" i="1"/>
  <c r="BM355" i="1"/>
  <c r="BJ355" i="1"/>
  <c r="BI355" i="1"/>
  <c r="BH355" i="1"/>
  <c r="BD355" i="1"/>
  <c r="BC355" i="1"/>
  <c r="BB355" i="1"/>
  <c r="AX355" i="1"/>
  <c r="AW355" i="1"/>
  <c r="AV355" i="1"/>
  <c r="AR355" i="1"/>
  <c r="AQ355" i="1"/>
  <c r="AP355" i="1"/>
  <c r="AJ355" i="1"/>
  <c r="AI355" i="1"/>
  <c r="AH355" i="1"/>
  <c r="AC355" i="1"/>
  <c r="AB355" i="1"/>
  <c r="AA355" i="1"/>
  <c r="U355" i="1"/>
  <c r="T355" i="1"/>
  <c r="S355" i="1"/>
  <c r="R355" i="1"/>
  <c r="Q355" i="1"/>
  <c r="P355" i="1"/>
  <c r="BZ354" i="1"/>
  <c r="BY354" i="1"/>
  <c r="BX354" i="1"/>
  <c r="BU354" i="1"/>
  <c r="BT354" i="1"/>
  <c r="BS354" i="1"/>
  <c r="BO354" i="1"/>
  <c r="BN354" i="1"/>
  <c r="BM354" i="1"/>
  <c r="BJ354" i="1"/>
  <c r="BI354" i="1"/>
  <c r="BH354" i="1"/>
  <c r="BD354" i="1"/>
  <c r="BC354" i="1"/>
  <c r="BB354" i="1"/>
  <c r="AX354" i="1"/>
  <c r="AW354" i="1"/>
  <c r="AV354" i="1"/>
  <c r="AR354" i="1"/>
  <c r="AQ354" i="1"/>
  <c r="AP354" i="1"/>
  <c r="AJ354" i="1"/>
  <c r="AI354" i="1"/>
  <c r="AH354" i="1"/>
  <c r="AC354" i="1"/>
  <c r="AB354" i="1"/>
  <c r="AA354" i="1"/>
  <c r="U354" i="1"/>
  <c r="T354" i="1"/>
  <c r="S354" i="1"/>
  <c r="R354" i="1"/>
  <c r="Q354" i="1"/>
  <c r="P354" i="1"/>
  <c r="BZ353" i="1"/>
  <c r="BY353" i="1"/>
  <c r="BX353" i="1"/>
  <c r="BU353" i="1"/>
  <c r="BT353" i="1"/>
  <c r="BS353" i="1"/>
  <c r="BO353" i="1"/>
  <c r="BN353" i="1"/>
  <c r="BM353" i="1"/>
  <c r="BJ353" i="1"/>
  <c r="BI353" i="1"/>
  <c r="BH353" i="1"/>
  <c r="BD353" i="1"/>
  <c r="BC353" i="1"/>
  <c r="BB353" i="1"/>
  <c r="Y353" i="1" s="1"/>
  <c r="AX353" i="1"/>
  <c r="AW353" i="1"/>
  <c r="AV353" i="1"/>
  <c r="AR353" i="1"/>
  <c r="AQ353" i="1"/>
  <c r="AP353" i="1"/>
  <c r="AJ353" i="1"/>
  <c r="AI353" i="1"/>
  <c r="AH353" i="1"/>
  <c r="AC353" i="1"/>
  <c r="AB353" i="1"/>
  <c r="AA353" i="1"/>
  <c r="U353" i="1"/>
  <c r="T353" i="1"/>
  <c r="S353" i="1"/>
  <c r="R353" i="1"/>
  <c r="Q353" i="1"/>
  <c r="P353" i="1"/>
  <c r="BZ352" i="1"/>
  <c r="BY352" i="1"/>
  <c r="BX352" i="1"/>
  <c r="BU352" i="1"/>
  <c r="BT352" i="1"/>
  <c r="BS352" i="1"/>
  <c r="BO352" i="1"/>
  <c r="BN352" i="1"/>
  <c r="BM352" i="1"/>
  <c r="BJ352" i="1"/>
  <c r="BI352" i="1"/>
  <c r="BH352" i="1"/>
  <c r="BD352" i="1"/>
  <c r="BC352" i="1"/>
  <c r="BB352" i="1"/>
  <c r="AX352" i="1"/>
  <c r="AW352" i="1"/>
  <c r="AV352" i="1"/>
  <c r="AR352" i="1"/>
  <c r="AQ352" i="1"/>
  <c r="AP352" i="1"/>
  <c r="AJ352" i="1"/>
  <c r="AI352" i="1"/>
  <c r="AH352" i="1"/>
  <c r="AC352" i="1"/>
  <c r="AB352" i="1"/>
  <c r="AA352" i="1"/>
  <c r="U352" i="1"/>
  <c r="T352" i="1"/>
  <c r="S352" i="1"/>
  <c r="R352" i="1"/>
  <c r="Q352" i="1"/>
  <c r="P352" i="1"/>
  <c r="BZ351" i="1"/>
  <c r="BY351" i="1"/>
  <c r="BX351" i="1"/>
  <c r="BU351" i="1"/>
  <c r="BT351" i="1"/>
  <c r="BS351" i="1"/>
  <c r="BO351" i="1"/>
  <c r="BN351" i="1"/>
  <c r="BM351" i="1"/>
  <c r="BJ351" i="1"/>
  <c r="BI351" i="1"/>
  <c r="BH351" i="1"/>
  <c r="BD351" i="1"/>
  <c r="BC351" i="1"/>
  <c r="BB351" i="1"/>
  <c r="AX351" i="1"/>
  <c r="AW351" i="1"/>
  <c r="AV351" i="1"/>
  <c r="AR351" i="1"/>
  <c r="AQ351" i="1"/>
  <c r="AP351" i="1"/>
  <c r="AJ351" i="1"/>
  <c r="AI351" i="1"/>
  <c r="AH351" i="1"/>
  <c r="AC351" i="1"/>
  <c r="AB351" i="1"/>
  <c r="AA351" i="1"/>
  <c r="U351" i="1"/>
  <c r="T351" i="1"/>
  <c r="S351" i="1"/>
  <c r="R351" i="1"/>
  <c r="Q351" i="1"/>
  <c r="P351" i="1"/>
  <c r="BZ350" i="1"/>
  <c r="BY350" i="1"/>
  <c r="BX350" i="1"/>
  <c r="BU350" i="1"/>
  <c r="BT350" i="1"/>
  <c r="BS350" i="1"/>
  <c r="BO350" i="1"/>
  <c r="BN350" i="1"/>
  <c r="BM350" i="1"/>
  <c r="BJ350" i="1"/>
  <c r="BI350" i="1"/>
  <c r="BH350" i="1"/>
  <c r="BD350" i="1"/>
  <c r="BC350" i="1"/>
  <c r="BB350" i="1"/>
  <c r="AX350" i="1"/>
  <c r="AW350" i="1"/>
  <c r="AV350" i="1"/>
  <c r="AR350" i="1"/>
  <c r="AQ350" i="1"/>
  <c r="AP350" i="1"/>
  <c r="AJ350" i="1"/>
  <c r="AI350" i="1"/>
  <c r="AH350" i="1"/>
  <c r="AC350" i="1"/>
  <c r="AB350" i="1"/>
  <c r="AA350" i="1"/>
  <c r="U350" i="1"/>
  <c r="T350" i="1"/>
  <c r="S350" i="1"/>
  <c r="R350" i="1"/>
  <c r="Q350" i="1"/>
  <c r="P350" i="1"/>
  <c r="BZ349" i="1"/>
  <c r="BY349" i="1"/>
  <c r="BX349" i="1"/>
  <c r="BU349" i="1"/>
  <c r="BT349" i="1"/>
  <c r="BS349" i="1"/>
  <c r="BO349" i="1"/>
  <c r="BN349" i="1"/>
  <c r="BM349" i="1"/>
  <c r="BJ349" i="1"/>
  <c r="BI349" i="1"/>
  <c r="BH349" i="1"/>
  <c r="BD349" i="1"/>
  <c r="BC349" i="1"/>
  <c r="BB349" i="1"/>
  <c r="AX349" i="1"/>
  <c r="AW349" i="1"/>
  <c r="AV349" i="1"/>
  <c r="AR349" i="1"/>
  <c r="AQ349" i="1"/>
  <c r="AP349" i="1"/>
  <c r="AJ349" i="1"/>
  <c r="AI349" i="1"/>
  <c r="AH349" i="1"/>
  <c r="AC349" i="1"/>
  <c r="AB349" i="1"/>
  <c r="AA349" i="1"/>
  <c r="U349" i="1"/>
  <c r="T349" i="1"/>
  <c r="S349" i="1"/>
  <c r="R349" i="1"/>
  <c r="Q349" i="1"/>
  <c r="P349" i="1"/>
  <c r="BZ348" i="1"/>
  <c r="BY348" i="1"/>
  <c r="BX348" i="1"/>
  <c r="BU348" i="1"/>
  <c r="BT348" i="1"/>
  <c r="BS348" i="1"/>
  <c r="BO348" i="1"/>
  <c r="BN348" i="1"/>
  <c r="BM348" i="1"/>
  <c r="BJ348" i="1"/>
  <c r="BI348" i="1"/>
  <c r="BH348" i="1"/>
  <c r="BD348" i="1"/>
  <c r="BC348" i="1"/>
  <c r="BB348" i="1"/>
  <c r="AX348" i="1"/>
  <c r="AW348" i="1"/>
  <c r="AV348" i="1"/>
  <c r="AR348" i="1"/>
  <c r="AQ348" i="1"/>
  <c r="AP348" i="1"/>
  <c r="AJ348" i="1"/>
  <c r="AI348" i="1"/>
  <c r="AH348" i="1"/>
  <c r="AC348" i="1"/>
  <c r="AB348" i="1"/>
  <c r="AA348" i="1"/>
  <c r="U348" i="1"/>
  <c r="T348" i="1"/>
  <c r="S348" i="1"/>
  <c r="R348" i="1"/>
  <c r="Q348" i="1"/>
  <c r="P348" i="1"/>
  <c r="BZ347" i="1"/>
  <c r="BY347" i="1"/>
  <c r="BX347" i="1"/>
  <c r="BU347" i="1"/>
  <c r="BT347" i="1"/>
  <c r="BS347" i="1"/>
  <c r="BO347" i="1"/>
  <c r="BN347" i="1"/>
  <c r="BM347" i="1"/>
  <c r="BJ347" i="1"/>
  <c r="BI347" i="1"/>
  <c r="BH347" i="1"/>
  <c r="BD347" i="1"/>
  <c r="BC347" i="1"/>
  <c r="BB347" i="1"/>
  <c r="AX347" i="1"/>
  <c r="AW347" i="1"/>
  <c r="AV347" i="1"/>
  <c r="AR347" i="1"/>
  <c r="AQ347" i="1"/>
  <c r="AP347" i="1"/>
  <c r="AJ347" i="1"/>
  <c r="AI347" i="1"/>
  <c r="AH347" i="1"/>
  <c r="AC347" i="1"/>
  <c r="AB347" i="1"/>
  <c r="AA347" i="1"/>
  <c r="U347" i="1"/>
  <c r="T347" i="1"/>
  <c r="S347" i="1"/>
  <c r="R347" i="1"/>
  <c r="Q347" i="1"/>
  <c r="P347" i="1"/>
  <c r="BZ346" i="1"/>
  <c r="BY346" i="1"/>
  <c r="BX346" i="1"/>
  <c r="BU346" i="1"/>
  <c r="BT346" i="1"/>
  <c r="BS346" i="1"/>
  <c r="BO346" i="1"/>
  <c r="BN346" i="1"/>
  <c r="BM346" i="1"/>
  <c r="BJ346" i="1"/>
  <c r="BI346" i="1"/>
  <c r="BH346" i="1"/>
  <c r="BD346" i="1"/>
  <c r="BC346" i="1"/>
  <c r="BB346" i="1"/>
  <c r="AX346" i="1"/>
  <c r="AW346" i="1"/>
  <c r="AV346" i="1"/>
  <c r="AR346" i="1"/>
  <c r="AQ346" i="1"/>
  <c r="AP346" i="1"/>
  <c r="AJ346" i="1"/>
  <c r="AI346" i="1"/>
  <c r="AH346" i="1"/>
  <c r="AC346" i="1"/>
  <c r="AB346" i="1"/>
  <c r="AA346" i="1"/>
  <c r="U346" i="1"/>
  <c r="T346" i="1"/>
  <c r="S346" i="1"/>
  <c r="R346" i="1"/>
  <c r="Q346" i="1"/>
  <c r="P346" i="1"/>
  <c r="BZ345" i="1"/>
  <c r="BY345" i="1"/>
  <c r="BX345" i="1"/>
  <c r="BU345" i="1"/>
  <c r="BT345" i="1"/>
  <c r="BS345" i="1"/>
  <c r="BO345" i="1"/>
  <c r="BN345" i="1"/>
  <c r="BM345" i="1"/>
  <c r="BJ345" i="1"/>
  <c r="BI345" i="1"/>
  <c r="BH345" i="1"/>
  <c r="BD345" i="1"/>
  <c r="BC345" i="1"/>
  <c r="BB345" i="1"/>
  <c r="AX345" i="1"/>
  <c r="AW345" i="1"/>
  <c r="AV345" i="1"/>
  <c r="AR345" i="1"/>
  <c r="AQ345" i="1"/>
  <c r="AP345" i="1"/>
  <c r="AJ345" i="1"/>
  <c r="AI345" i="1"/>
  <c r="AH345" i="1"/>
  <c r="AC345" i="1"/>
  <c r="AB345" i="1"/>
  <c r="AA345" i="1"/>
  <c r="U345" i="1"/>
  <c r="T345" i="1"/>
  <c r="S345" i="1"/>
  <c r="R345" i="1"/>
  <c r="Q345" i="1"/>
  <c r="P345" i="1"/>
  <c r="BZ344" i="1"/>
  <c r="BY344" i="1"/>
  <c r="BX344" i="1"/>
  <c r="BU344" i="1"/>
  <c r="BT344" i="1"/>
  <c r="BS344" i="1"/>
  <c r="BO344" i="1"/>
  <c r="BN344" i="1"/>
  <c r="BM344" i="1"/>
  <c r="BJ344" i="1"/>
  <c r="BI344" i="1"/>
  <c r="BH344" i="1"/>
  <c r="BD344" i="1"/>
  <c r="BC344" i="1"/>
  <c r="BB344" i="1"/>
  <c r="Y344" i="1" s="1"/>
  <c r="AX344" i="1"/>
  <c r="AW344" i="1"/>
  <c r="AV344" i="1"/>
  <c r="AR344" i="1"/>
  <c r="AQ344" i="1"/>
  <c r="AP344" i="1"/>
  <c r="AJ344" i="1"/>
  <c r="AI344" i="1"/>
  <c r="AH344" i="1"/>
  <c r="AC344" i="1"/>
  <c r="AB344" i="1"/>
  <c r="AA344" i="1"/>
  <c r="U344" i="1"/>
  <c r="T344" i="1"/>
  <c r="S344" i="1"/>
  <c r="R344" i="1"/>
  <c r="Q344" i="1"/>
  <c r="P344" i="1"/>
  <c r="BZ343" i="1"/>
  <c r="BY343" i="1"/>
  <c r="BX343" i="1"/>
  <c r="BU343" i="1"/>
  <c r="BT343" i="1"/>
  <c r="BS343" i="1"/>
  <c r="BO343" i="1"/>
  <c r="BN343" i="1"/>
  <c r="BM343" i="1"/>
  <c r="BJ343" i="1"/>
  <c r="BI343" i="1"/>
  <c r="BH343" i="1"/>
  <c r="BD343" i="1"/>
  <c r="BC343" i="1"/>
  <c r="BB343" i="1"/>
  <c r="AX343" i="1"/>
  <c r="AW343" i="1"/>
  <c r="AV343" i="1"/>
  <c r="AR343" i="1"/>
  <c r="AQ343" i="1"/>
  <c r="AP343" i="1"/>
  <c r="AJ343" i="1"/>
  <c r="AI343" i="1"/>
  <c r="AH343" i="1"/>
  <c r="AC343" i="1"/>
  <c r="AB343" i="1"/>
  <c r="AA343" i="1"/>
  <c r="U343" i="1"/>
  <c r="T343" i="1"/>
  <c r="S343" i="1"/>
  <c r="R343" i="1"/>
  <c r="Q343" i="1"/>
  <c r="P343" i="1"/>
  <c r="BZ342" i="1"/>
  <c r="BY342" i="1"/>
  <c r="BX342" i="1"/>
  <c r="BU342" i="1"/>
  <c r="BT342" i="1"/>
  <c r="BS342" i="1"/>
  <c r="BO342" i="1"/>
  <c r="BN342" i="1"/>
  <c r="BM342" i="1"/>
  <c r="BJ342" i="1"/>
  <c r="BI342" i="1"/>
  <c r="BH342" i="1"/>
  <c r="BD342" i="1"/>
  <c r="BC342" i="1"/>
  <c r="BB342" i="1"/>
  <c r="AX342" i="1"/>
  <c r="AW342" i="1"/>
  <c r="AV342" i="1"/>
  <c r="AR342" i="1"/>
  <c r="AQ342" i="1"/>
  <c r="AP342" i="1"/>
  <c r="AJ342" i="1"/>
  <c r="AI342" i="1"/>
  <c r="AH342" i="1"/>
  <c r="AC342" i="1"/>
  <c r="AB342" i="1"/>
  <c r="AA342" i="1"/>
  <c r="U342" i="1"/>
  <c r="T342" i="1"/>
  <c r="S342" i="1"/>
  <c r="R342" i="1"/>
  <c r="Q342" i="1"/>
  <c r="P342" i="1"/>
  <c r="BZ341" i="1"/>
  <c r="BY341" i="1"/>
  <c r="BX341" i="1"/>
  <c r="BU341" i="1"/>
  <c r="BT341" i="1"/>
  <c r="BS341" i="1"/>
  <c r="BO341" i="1"/>
  <c r="BN341" i="1"/>
  <c r="BM341" i="1"/>
  <c r="BJ341" i="1"/>
  <c r="BI341" i="1"/>
  <c r="BH341" i="1"/>
  <c r="BD341" i="1"/>
  <c r="BC341" i="1"/>
  <c r="BB341" i="1"/>
  <c r="AX341" i="1"/>
  <c r="AW341" i="1"/>
  <c r="AV341" i="1"/>
  <c r="AR341" i="1"/>
  <c r="AQ341" i="1"/>
  <c r="AP341" i="1"/>
  <c r="AJ341" i="1"/>
  <c r="AI341" i="1"/>
  <c r="AH341" i="1"/>
  <c r="AC341" i="1"/>
  <c r="AB341" i="1"/>
  <c r="AA341" i="1"/>
  <c r="U341" i="1"/>
  <c r="T341" i="1"/>
  <c r="S341" i="1"/>
  <c r="R341" i="1"/>
  <c r="Q341" i="1"/>
  <c r="P341" i="1"/>
  <c r="BZ340" i="1"/>
  <c r="BY340" i="1"/>
  <c r="BX340" i="1"/>
  <c r="BU340" i="1"/>
  <c r="BT340" i="1"/>
  <c r="BS340" i="1"/>
  <c r="BO340" i="1"/>
  <c r="BN340" i="1"/>
  <c r="BM340" i="1"/>
  <c r="BJ340" i="1"/>
  <c r="BI340" i="1"/>
  <c r="BH340" i="1"/>
  <c r="BD340" i="1"/>
  <c r="BC340" i="1"/>
  <c r="BB340" i="1"/>
  <c r="AX340" i="1"/>
  <c r="AW340" i="1"/>
  <c r="AV340" i="1"/>
  <c r="AR340" i="1"/>
  <c r="AQ340" i="1"/>
  <c r="AP340" i="1"/>
  <c r="AJ340" i="1"/>
  <c r="AI340" i="1"/>
  <c r="AH340" i="1"/>
  <c r="AC340" i="1"/>
  <c r="AB340" i="1"/>
  <c r="AA340" i="1"/>
  <c r="U340" i="1"/>
  <c r="T340" i="1"/>
  <c r="S340" i="1"/>
  <c r="R340" i="1"/>
  <c r="Q340" i="1"/>
  <c r="P340" i="1"/>
  <c r="BZ339" i="1"/>
  <c r="BY339" i="1"/>
  <c r="BX339" i="1"/>
  <c r="BU339" i="1"/>
  <c r="BT339" i="1"/>
  <c r="BS339" i="1"/>
  <c r="BO339" i="1"/>
  <c r="BN339" i="1"/>
  <c r="BM339" i="1"/>
  <c r="BJ339" i="1"/>
  <c r="BI339" i="1"/>
  <c r="BH339" i="1"/>
  <c r="BD339" i="1"/>
  <c r="BC339" i="1"/>
  <c r="BB339" i="1"/>
  <c r="AX339" i="1"/>
  <c r="AW339" i="1"/>
  <c r="AV339" i="1"/>
  <c r="AR339" i="1"/>
  <c r="AQ339" i="1"/>
  <c r="AP339" i="1"/>
  <c r="AJ339" i="1"/>
  <c r="AI339" i="1"/>
  <c r="AH339" i="1"/>
  <c r="AC339" i="1"/>
  <c r="AB339" i="1"/>
  <c r="AA339" i="1"/>
  <c r="U339" i="1"/>
  <c r="T339" i="1"/>
  <c r="S339" i="1"/>
  <c r="R339" i="1"/>
  <c r="Q339" i="1"/>
  <c r="P339" i="1"/>
  <c r="BZ338" i="1"/>
  <c r="BY338" i="1"/>
  <c r="BX338" i="1"/>
  <c r="BU338" i="1"/>
  <c r="BT338" i="1"/>
  <c r="BS338" i="1"/>
  <c r="BO338" i="1"/>
  <c r="BN338" i="1"/>
  <c r="BM338" i="1"/>
  <c r="BJ338" i="1"/>
  <c r="BI338" i="1"/>
  <c r="BH338" i="1"/>
  <c r="BD338" i="1"/>
  <c r="BC338" i="1"/>
  <c r="BB338" i="1"/>
  <c r="AX338" i="1"/>
  <c r="AW338" i="1"/>
  <c r="AV338" i="1"/>
  <c r="AR338" i="1"/>
  <c r="AQ338" i="1"/>
  <c r="AP338" i="1"/>
  <c r="AJ338" i="1"/>
  <c r="AI338" i="1"/>
  <c r="AH338" i="1"/>
  <c r="AC338" i="1"/>
  <c r="AB338" i="1"/>
  <c r="AA338" i="1"/>
  <c r="U338" i="1"/>
  <c r="T338" i="1"/>
  <c r="S338" i="1"/>
  <c r="R338" i="1"/>
  <c r="Q338" i="1"/>
  <c r="P338" i="1"/>
  <c r="BZ337" i="1"/>
  <c r="BY337" i="1"/>
  <c r="BX337" i="1"/>
  <c r="BU337" i="1"/>
  <c r="BT337" i="1"/>
  <c r="BS337" i="1"/>
  <c r="BO337" i="1"/>
  <c r="BN337" i="1"/>
  <c r="BM337" i="1"/>
  <c r="BJ337" i="1"/>
  <c r="BI337" i="1"/>
  <c r="BH337" i="1"/>
  <c r="BD337" i="1"/>
  <c r="BC337" i="1"/>
  <c r="BB337" i="1"/>
  <c r="AX337" i="1"/>
  <c r="AW337" i="1"/>
  <c r="AV337" i="1"/>
  <c r="AR337" i="1"/>
  <c r="AQ337" i="1"/>
  <c r="AP337" i="1"/>
  <c r="AJ337" i="1"/>
  <c r="AI337" i="1"/>
  <c r="AH337" i="1"/>
  <c r="AC337" i="1"/>
  <c r="AB337" i="1"/>
  <c r="AA337" i="1"/>
  <c r="U337" i="1"/>
  <c r="T337" i="1"/>
  <c r="S337" i="1"/>
  <c r="R337" i="1"/>
  <c r="Q337" i="1"/>
  <c r="P337" i="1"/>
  <c r="BZ336" i="1"/>
  <c r="BY336" i="1"/>
  <c r="BX336" i="1"/>
  <c r="BU336" i="1"/>
  <c r="BT336" i="1"/>
  <c r="BS336" i="1"/>
  <c r="BO336" i="1"/>
  <c r="BN336" i="1"/>
  <c r="BM336" i="1"/>
  <c r="BJ336" i="1"/>
  <c r="BI336" i="1"/>
  <c r="BH336" i="1"/>
  <c r="BD336" i="1"/>
  <c r="BC336" i="1"/>
  <c r="BB336" i="1"/>
  <c r="AX336" i="1"/>
  <c r="AW336" i="1"/>
  <c r="AV336" i="1"/>
  <c r="AR336" i="1"/>
  <c r="AQ336" i="1"/>
  <c r="AP336" i="1"/>
  <c r="AJ336" i="1"/>
  <c r="AI336" i="1"/>
  <c r="AH336" i="1"/>
  <c r="AC336" i="1"/>
  <c r="AB336" i="1"/>
  <c r="AA336" i="1"/>
  <c r="U336" i="1"/>
  <c r="T336" i="1"/>
  <c r="S336" i="1"/>
  <c r="R336" i="1"/>
  <c r="Q336" i="1"/>
  <c r="P336" i="1"/>
  <c r="BZ335" i="1"/>
  <c r="BY335" i="1"/>
  <c r="BX335" i="1"/>
  <c r="BU335" i="1"/>
  <c r="BT335" i="1"/>
  <c r="BS335" i="1"/>
  <c r="BO335" i="1"/>
  <c r="BN335" i="1"/>
  <c r="BM335" i="1"/>
  <c r="BJ335" i="1"/>
  <c r="BI335" i="1"/>
  <c r="BH335" i="1"/>
  <c r="BD335" i="1"/>
  <c r="BC335" i="1"/>
  <c r="BB335" i="1"/>
  <c r="AX335" i="1"/>
  <c r="AW335" i="1"/>
  <c r="AV335" i="1"/>
  <c r="AR335" i="1"/>
  <c r="AQ335" i="1"/>
  <c r="AP335" i="1"/>
  <c r="AJ335" i="1"/>
  <c r="AI335" i="1"/>
  <c r="AH335" i="1"/>
  <c r="AC335" i="1"/>
  <c r="AB335" i="1"/>
  <c r="AA335" i="1"/>
  <c r="U335" i="1"/>
  <c r="T335" i="1"/>
  <c r="S335" i="1"/>
  <c r="R335" i="1"/>
  <c r="Q335" i="1"/>
  <c r="P335" i="1"/>
  <c r="BZ334" i="1"/>
  <c r="BY334" i="1"/>
  <c r="BX334" i="1"/>
  <c r="BU334" i="1"/>
  <c r="BT334" i="1"/>
  <c r="BS334" i="1"/>
  <c r="BO334" i="1"/>
  <c r="BN334" i="1"/>
  <c r="BM334" i="1"/>
  <c r="BJ334" i="1"/>
  <c r="BI334" i="1"/>
  <c r="BH334" i="1"/>
  <c r="BD334" i="1"/>
  <c r="BC334" i="1"/>
  <c r="BB334" i="1"/>
  <c r="AX334" i="1"/>
  <c r="AW334" i="1"/>
  <c r="AV334" i="1"/>
  <c r="AR334" i="1"/>
  <c r="AQ334" i="1"/>
  <c r="AP334" i="1"/>
  <c r="AJ334" i="1"/>
  <c r="AI334" i="1"/>
  <c r="AH334" i="1"/>
  <c r="AC334" i="1"/>
  <c r="AB334" i="1"/>
  <c r="AA334" i="1"/>
  <c r="U334" i="1"/>
  <c r="T334" i="1"/>
  <c r="S334" i="1"/>
  <c r="R334" i="1"/>
  <c r="Q334" i="1"/>
  <c r="P334" i="1"/>
  <c r="BZ333" i="1"/>
  <c r="BY333" i="1"/>
  <c r="BX333" i="1"/>
  <c r="BU333" i="1"/>
  <c r="BT333" i="1"/>
  <c r="BS333" i="1"/>
  <c r="BO333" i="1"/>
  <c r="BN333" i="1"/>
  <c r="BM333" i="1"/>
  <c r="BJ333" i="1"/>
  <c r="BI333" i="1"/>
  <c r="BH333" i="1"/>
  <c r="BD333" i="1"/>
  <c r="BC333" i="1"/>
  <c r="BB333" i="1"/>
  <c r="AX333" i="1"/>
  <c r="AW333" i="1"/>
  <c r="AV333" i="1"/>
  <c r="AR333" i="1"/>
  <c r="AQ333" i="1"/>
  <c r="AP333" i="1"/>
  <c r="AJ333" i="1"/>
  <c r="AI333" i="1"/>
  <c r="AH333" i="1"/>
  <c r="AC333" i="1"/>
  <c r="AB333" i="1"/>
  <c r="AA333" i="1"/>
  <c r="U333" i="1"/>
  <c r="T333" i="1"/>
  <c r="S333" i="1"/>
  <c r="R333" i="1"/>
  <c r="Q333" i="1"/>
  <c r="P333" i="1"/>
  <c r="BZ332" i="1"/>
  <c r="BY332" i="1"/>
  <c r="BX332" i="1"/>
  <c r="BU332" i="1"/>
  <c r="BT332" i="1"/>
  <c r="BS332" i="1"/>
  <c r="BO332" i="1"/>
  <c r="BN332" i="1"/>
  <c r="BM332" i="1"/>
  <c r="BJ332" i="1"/>
  <c r="BI332" i="1"/>
  <c r="BH332" i="1"/>
  <c r="BD332" i="1"/>
  <c r="BC332" i="1"/>
  <c r="BB332" i="1"/>
  <c r="AX332" i="1"/>
  <c r="AW332" i="1"/>
  <c r="AV332" i="1"/>
  <c r="AR332" i="1"/>
  <c r="AQ332" i="1"/>
  <c r="AP332" i="1"/>
  <c r="AJ332" i="1"/>
  <c r="AI332" i="1"/>
  <c r="AH332" i="1"/>
  <c r="AC332" i="1"/>
  <c r="AB332" i="1"/>
  <c r="AA332" i="1"/>
  <c r="U332" i="1"/>
  <c r="T332" i="1"/>
  <c r="S332" i="1"/>
  <c r="R332" i="1"/>
  <c r="Q332" i="1"/>
  <c r="P332" i="1"/>
  <c r="BZ331" i="1"/>
  <c r="BY331" i="1"/>
  <c r="BX331" i="1"/>
  <c r="BU331" i="1"/>
  <c r="BT331" i="1"/>
  <c r="BS331" i="1"/>
  <c r="BO331" i="1"/>
  <c r="BN331" i="1"/>
  <c r="BM331" i="1"/>
  <c r="BJ331" i="1"/>
  <c r="BI331" i="1"/>
  <c r="BH331" i="1"/>
  <c r="Y331" i="1" s="1"/>
  <c r="BD331" i="1"/>
  <c r="BC331" i="1"/>
  <c r="BB331" i="1"/>
  <c r="AX331" i="1"/>
  <c r="AW331" i="1"/>
  <c r="AV331" i="1"/>
  <c r="AR331" i="1"/>
  <c r="AQ331" i="1"/>
  <c r="AP331" i="1"/>
  <c r="AJ331" i="1"/>
  <c r="AI331" i="1"/>
  <c r="AH331" i="1"/>
  <c r="AC331" i="1"/>
  <c r="AB331" i="1"/>
  <c r="AA331" i="1"/>
  <c r="U331" i="1"/>
  <c r="T331" i="1"/>
  <c r="S331" i="1"/>
  <c r="R331" i="1"/>
  <c r="Q331" i="1"/>
  <c r="P331" i="1"/>
  <c r="BZ330" i="1"/>
  <c r="BY330" i="1"/>
  <c r="BX330" i="1"/>
  <c r="BU330" i="1"/>
  <c r="BT330" i="1"/>
  <c r="BS330" i="1"/>
  <c r="BO330" i="1"/>
  <c r="BN330" i="1"/>
  <c r="BM330" i="1"/>
  <c r="Y330" i="1" s="1"/>
  <c r="BJ330" i="1"/>
  <c r="BI330" i="1"/>
  <c r="BH330" i="1"/>
  <c r="BD330" i="1"/>
  <c r="BC330" i="1"/>
  <c r="BB330" i="1"/>
  <c r="AX330" i="1"/>
  <c r="AW330" i="1"/>
  <c r="AV330" i="1"/>
  <c r="AR330" i="1"/>
  <c r="AQ330" i="1"/>
  <c r="AP330" i="1"/>
  <c r="AJ330" i="1"/>
  <c r="AI330" i="1"/>
  <c r="AH330" i="1"/>
  <c r="AC330" i="1"/>
  <c r="AB330" i="1"/>
  <c r="AA330" i="1"/>
  <c r="U330" i="1"/>
  <c r="T330" i="1"/>
  <c r="S330" i="1"/>
  <c r="R330" i="1"/>
  <c r="Q330" i="1"/>
  <c r="P330" i="1"/>
  <c r="BZ329" i="1"/>
  <c r="BY329" i="1"/>
  <c r="BX329" i="1"/>
  <c r="BU329" i="1"/>
  <c r="BT329" i="1"/>
  <c r="BS329" i="1"/>
  <c r="BO329" i="1"/>
  <c r="BN329" i="1"/>
  <c r="BM329" i="1"/>
  <c r="BJ329" i="1"/>
  <c r="BI329" i="1"/>
  <c r="BH329" i="1"/>
  <c r="BD329" i="1"/>
  <c r="BC329" i="1"/>
  <c r="BB329" i="1"/>
  <c r="AX329" i="1"/>
  <c r="AW329" i="1"/>
  <c r="AV329" i="1"/>
  <c r="AR329" i="1"/>
  <c r="AQ329" i="1"/>
  <c r="AP329" i="1"/>
  <c r="AJ329" i="1"/>
  <c r="AI329" i="1"/>
  <c r="AH329" i="1"/>
  <c r="AC329" i="1"/>
  <c r="AB329" i="1"/>
  <c r="AA329" i="1"/>
  <c r="U329" i="1"/>
  <c r="T329" i="1"/>
  <c r="S329" i="1"/>
  <c r="R329" i="1"/>
  <c r="Q329" i="1"/>
  <c r="P329" i="1"/>
  <c r="BZ328" i="1"/>
  <c r="BY328" i="1"/>
  <c r="BX328" i="1"/>
  <c r="BU328" i="1"/>
  <c r="BT328" i="1"/>
  <c r="BS328" i="1"/>
  <c r="BO328" i="1"/>
  <c r="BN328" i="1"/>
  <c r="BM328" i="1"/>
  <c r="BJ328" i="1"/>
  <c r="BI328" i="1"/>
  <c r="BH328" i="1"/>
  <c r="BD328" i="1"/>
  <c r="BC328" i="1"/>
  <c r="BB328" i="1"/>
  <c r="AX328" i="1"/>
  <c r="AW328" i="1"/>
  <c r="AV328" i="1"/>
  <c r="AR328" i="1"/>
  <c r="AQ328" i="1"/>
  <c r="AP328" i="1"/>
  <c r="AJ328" i="1"/>
  <c r="AI328" i="1"/>
  <c r="AH328" i="1"/>
  <c r="AC328" i="1"/>
  <c r="AB328" i="1"/>
  <c r="AA328" i="1"/>
  <c r="U328" i="1"/>
  <c r="T328" i="1"/>
  <c r="S328" i="1"/>
  <c r="R328" i="1"/>
  <c r="Q328" i="1"/>
  <c r="P328" i="1"/>
  <c r="BZ327" i="1"/>
  <c r="BY327" i="1"/>
  <c r="BX327" i="1"/>
  <c r="BU327" i="1"/>
  <c r="BT327" i="1"/>
  <c r="BS327" i="1"/>
  <c r="BO327" i="1"/>
  <c r="BN327" i="1"/>
  <c r="BM327" i="1"/>
  <c r="BJ327" i="1"/>
  <c r="BI327" i="1"/>
  <c r="BH327" i="1"/>
  <c r="BD327" i="1"/>
  <c r="BC327" i="1"/>
  <c r="BB327" i="1"/>
  <c r="AX327" i="1"/>
  <c r="AW327" i="1"/>
  <c r="AV327" i="1"/>
  <c r="AR327" i="1"/>
  <c r="AQ327" i="1"/>
  <c r="AP327" i="1"/>
  <c r="AJ327" i="1"/>
  <c r="AI327" i="1"/>
  <c r="AH327" i="1"/>
  <c r="AC327" i="1"/>
  <c r="AB327" i="1"/>
  <c r="AA327" i="1"/>
  <c r="U327" i="1"/>
  <c r="T327" i="1"/>
  <c r="S327" i="1"/>
  <c r="R327" i="1"/>
  <c r="Q327" i="1"/>
  <c r="P327" i="1"/>
  <c r="BZ326" i="1"/>
  <c r="BY326" i="1"/>
  <c r="BX326" i="1"/>
  <c r="BU326" i="1"/>
  <c r="BT326" i="1"/>
  <c r="BS326" i="1"/>
  <c r="BO326" i="1"/>
  <c r="BN326" i="1"/>
  <c r="BM326" i="1"/>
  <c r="BJ326" i="1"/>
  <c r="BI326" i="1"/>
  <c r="BH326" i="1"/>
  <c r="BD326" i="1"/>
  <c r="BC326" i="1"/>
  <c r="BB326" i="1"/>
  <c r="AX326" i="1"/>
  <c r="AW326" i="1"/>
  <c r="AV326" i="1"/>
  <c r="AR326" i="1"/>
  <c r="AQ326" i="1"/>
  <c r="AP326" i="1"/>
  <c r="AJ326" i="1"/>
  <c r="AI326" i="1"/>
  <c r="AH326" i="1"/>
  <c r="AC326" i="1"/>
  <c r="AB326" i="1"/>
  <c r="AA326" i="1"/>
  <c r="U326" i="1"/>
  <c r="T326" i="1"/>
  <c r="S326" i="1"/>
  <c r="R326" i="1"/>
  <c r="Q326" i="1"/>
  <c r="P326" i="1"/>
  <c r="BZ325" i="1"/>
  <c r="BY325" i="1"/>
  <c r="BX325" i="1"/>
  <c r="BU325" i="1"/>
  <c r="BT325" i="1"/>
  <c r="BS325" i="1"/>
  <c r="BO325" i="1"/>
  <c r="BN325" i="1"/>
  <c r="BM325" i="1"/>
  <c r="BJ325" i="1"/>
  <c r="BI325" i="1"/>
  <c r="BH325" i="1"/>
  <c r="BD325" i="1"/>
  <c r="BC325" i="1"/>
  <c r="BB325" i="1"/>
  <c r="AX325" i="1"/>
  <c r="AW325" i="1"/>
  <c r="AV325" i="1"/>
  <c r="AR325" i="1"/>
  <c r="AQ325" i="1"/>
  <c r="AP325" i="1"/>
  <c r="AJ325" i="1"/>
  <c r="AI325" i="1"/>
  <c r="AH325" i="1"/>
  <c r="AC325" i="1"/>
  <c r="AB325" i="1"/>
  <c r="AA325" i="1"/>
  <c r="U325" i="1"/>
  <c r="T325" i="1"/>
  <c r="S325" i="1"/>
  <c r="R325" i="1"/>
  <c r="Q325" i="1"/>
  <c r="P325" i="1"/>
  <c r="BZ324" i="1"/>
  <c r="BY324" i="1"/>
  <c r="BX324" i="1"/>
  <c r="BU324" i="1"/>
  <c r="BT324" i="1"/>
  <c r="BS324" i="1"/>
  <c r="BO324" i="1"/>
  <c r="BN324" i="1"/>
  <c r="BM324" i="1"/>
  <c r="BJ324" i="1"/>
  <c r="BI324" i="1"/>
  <c r="BH324" i="1"/>
  <c r="BD324" i="1"/>
  <c r="BC324" i="1"/>
  <c r="BB324" i="1"/>
  <c r="AX324" i="1"/>
  <c r="AW324" i="1"/>
  <c r="AV324" i="1"/>
  <c r="AR324" i="1"/>
  <c r="AQ324" i="1"/>
  <c r="AP324" i="1"/>
  <c r="Y324" i="1" s="1"/>
  <c r="AJ324" i="1"/>
  <c r="AI324" i="1"/>
  <c r="AH324" i="1"/>
  <c r="AC324" i="1"/>
  <c r="AB324" i="1"/>
  <c r="AA324" i="1"/>
  <c r="U324" i="1"/>
  <c r="T324" i="1"/>
  <c r="S324" i="1"/>
  <c r="R324" i="1"/>
  <c r="Q324" i="1"/>
  <c r="P324" i="1"/>
  <c r="BZ323" i="1"/>
  <c r="BY323" i="1"/>
  <c r="BX323" i="1"/>
  <c r="BU323" i="1"/>
  <c r="BT323" i="1"/>
  <c r="BS323" i="1"/>
  <c r="BO323" i="1"/>
  <c r="BN323" i="1"/>
  <c r="BM323" i="1"/>
  <c r="BJ323" i="1"/>
  <c r="BI323" i="1"/>
  <c r="BH323" i="1"/>
  <c r="BD323" i="1"/>
  <c r="BC323" i="1"/>
  <c r="BB323" i="1"/>
  <c r="AX323" i="1"/>
  <c r="AW323" i="1"/>
  <c r="AV323" i="1"/>
  <c r="AR323" i="1"/>
  <c r="AQ323" i="1"/>
  <c r="AP323" i="1"/>
  <c r="AJ323" i="1"/>
  <c r="AI323" i="1"/>
  <c r="AH323" i="1"/>
  <c r="AC323" i="1"/>
  <c r="AB323" i="1"/>
  <c r="AA323" i="1"/>
  <c r="U323" i="1"/>
  <c r="T323" i="1"/>
  <c r="S323" i="1"/>
  <c r="R323" i="1"/>
  <c r="Q323" i="1"/>
  <c r="P323" i="1"/>
  <c r="BZ322" i="1"/>
  <c r="BY322" i="1"/>
  <c r="BX322" i="1"/>
  <c r="BU322" i="1"/>
  <c r="BT322" i="1"/>
  <c r="BS322" i="1"/>
  <c r="BO322" i="1"/>
  <c r="BN322" i="1"/>
  <c r="BM322" i="1"/>
  <c r="BJ322" i="1"/>
  <c r="BI322" i="1"/>
  <c r="BH322" i="1"/>
  <c r="BD322" i="1"/>
  <c r="BC322" i="1"/>
  <c r="BB322" i="1"/>
  <c r="AX322" i="1"/>
  <c r="AW322" i="1"/>
  <c r="AV322" i="1"/>
  <c r="AR322" i="1"/>
  <c r="AQ322" i="1"/>
  <c r="AP322" i="1"/>
  <c r="AJ322" i="1"/>
  <c r="AI322" i="1"/>
  <c r="AH322" i="1"/>
  <c r="AC322" i="1"/>
  <c r="AB322" i="1"/>
  <c r="AA322" i="1"/>
  <c r="U322" i="1"/>
  <c r="T322" i="1"/>
  <c r="S322" i="1"/>
  <c r="R322" i="1"/>
  <c r="Q322" i="1"/>
  <c r="P322" i="1"/>
  <c r="BZ321" i="1"/>
  <c r="BY321" i="1"/>
  <c r="BX321" i="1"/>
  <c r="BU321" i="1"/>
  <c r="BT321" i="1"/>
  <c r="BS321" i="1"/>
  <c r="BO321" i="1"/>
  <c r="BN321" i="1"/>
  <c r="BM321" i="1"/>
  <c r="BJ321" i="1"/>
  <c r="BI321" i="1"/>
  <c r="BH321" i="1"/>
  <c r="BD321" i="1"/>
  <c r="BC321" i="1"/>
  <c r="BB321" i="1"/>
  <c r="AX321" i="1"/>
  <c r="AW321" i="1"/>
  <c r="AV321" i="1"/>
  <c r="AR321" i="1"/>
  <c r="AQ321" i="1"/>
  <c r="AP321" i="1"/>
  <c r="AJ321" i="1"/>
  <c r="AI321" i="1"/>
  <c r="AH321" i="1"/>
  <c r="AC321" i="1"/>
  <c r="AB321" i="1"/>
  <c r="AA321" i="1"/>
  <c r="U321" i="1"/>
  <c r="T321" i="1"/>
  <c r="S321" i="1"/>
  <c r="R321" i="1"/>
  <c r="Q321" i="1"/>
  <c r="P321" i="1"/>
  <c r="BZ320" i="1"/>
  <c r="BY320" i="1"/>
  <c r="BX320" i="1"/>
  <c r="BU320" i="1"/>
  <c r="BT320" i="1"/>
  <c r="BS320" i="1"/>
  <c r="BO320" i="1"/>
  <c r="BN320" i="1"/>
  <c r="BM320" i="1"/>
  <c r="BJ320" i="1"/>
  <c r="BI320" i="1"/>
  <c r="BH320" i="1"/>
  <c r="BD320" i="1"/>
  <c r="BC320" i="1"/>
  <c r="BB320" i="1"/>
  <c r="AX320" i="1"/>
  <c r="AW320" i="1"/>
  <c r="AV320" i="1"/>
  <c r="AR320" i="1"/>
  <c r="AQ320" i="1"/>
  <c r="AP320" i="1"/>
  <c r="AJ320" i="1"/>
  <c r="AI320" i="1"/>
  <c r="AH320" i="1"/>
  <c r="AC320" i="1"/>
  <c r="AB320" i="1"/>
  <c r="AA320" i="1"/>
  <c r="U320" i="1"/>
  <c r="T320" i="1"/>
  <c r="S320" i="1"/>
  <c r="R320" i="1"/>
  <c r="Q320" i="1"/>
  <c r="P320" i="1"/>
  <c r="BZ319" i="1"/>
  <c r="BY319" i="1"/>
  <c r="BX319" i="1"/>
  <c r="BU319" i="1"/>
  <c r="BT319" i="1"/>
  <c r="BS319" i="1"/>
  <c r="BO319" i="1"/>
  <c r="BN319" i="1"/>
  <c r="BM319" i="1"/>
  <c r="BJ319" i="1"/>
  <c r="BI319" i="1"/>
  <c r="BH319" i="1"/>
  <c r="BD319" i="1"/>
  <c r="BC319" i="1"/>
  <c r="BB319" i="1"/>
  <c r="AX319" i="1"/>
  <c r="AW319" i="1"/>
  <c r="AV319" i="1"/>
  <c r="AR319" i="1"/>
  <c r="AQ319" i="1"/>
  <c r="AP319" i="1"/>
  <c r="AJ319" i="1"/>
  <c r="AI319" i="1"/>
  <c r="AH319" i="1"/>
  <c r="AC319" i="1"/>
  <c r="AB319" i="1"/>
  <c r="AA319" i="1"/>
  <c r="U319" i="1"/>
  <c r="T319" i="1"/>
  <c r="S319" i="1"/>
  <c r="R319" i="1"/>
  <c r="Q319" i="1"/>
  <c r="P319" i="1"/>
  <c r="BZ318" i="1"/>
  <c r="BY318" i="1"/>
  <c r="BX318" i="1"/>
  <c r="BU318" i="1"/>
  <c r="BT318" i="1"/>
  <c r="BS318" i="1"/>
  <c r="BO318" i="1"/>
  <c r="BN318" i="1"/>
  <c r="BM318" i="1"/>
  <c r="BJ318" i="1"/>
  <c r="BI318" i="1"/>
  <c r="BH318" i="1"/>
  <c r="BD318" i="1"/>
  <c r="BC318" i="1"/>
  <c r="BB318" i="1"/>
  <c r="AX318" i="1"/>
  <c r="AW318" i="1"/>
  <c r="AV318" i="1"/>
  <c r="AR318" i="1"/>
  <c r="AQ318" i="1"/>
  <c r="AP318" i="1"/>
  <c r="AJ318" i="1"/>
  <c r="AI318" i="1"/>
  <c r="AH318" i="1"/>
  <c r="AC318" i="1"/>
  <c r="AB318" i="1"/>
  <c r="AA318" i="1"/>
  <c r="U318" i="1"/>
  <c r="T318" i="1"/>
  <c r="S318" i="1"/>
  <c r="R318" i="1"/>
  <c r="Q318" i="1"/>
  <c r="P318" i="1"/>
  <c r="BZ317" i="1"/>
  <c r="BY317" i="1"/>
  <c r="BX317" i="1"/>
  <c r="BU317" i="1"/>
  <c r="BT317" i="1"/>
  <c r="BS317" i="1"/>
  <c r="BO317" i="1"/>
  <c r="BN317" i="1"/>
  <c r="BM317" i="1"/>
  <c r="BJ317" i="1"/>
  <c r="BI317" i="1"/>
  <c r="BH317" i="1"/>
  <c r="BD317" i="1"/>
  <c r="BC317" i="1"/>
  <c r="BB317" i="1"/>
  <c r="AX317" i="1"/>
  <c r="AW317" i="1"/>
  <c r="AV317" i="1"/>
  <c r="AR317" i="1"/>
  <c r="AQ317" i="1"/>
  <c r="AP317" i="1"/>
  <c r="AJ317" i="1"/>
  <c r="AI317" i="1"/>
  <c r="AH317" i="1"/>
  <c r="AC317" i="1"/>
  <c r="AB317" i="1"/>
  <c r="AA317" i="1"/>
  <c r="U317" i="1"/>
  <c r="T317" i="1"/>
  <c r="S317" i="1"/>
  <c r="R317" i="1"/>
  <c r="Q317" i="1"/>
  <c r="P317" i="1"/>
  <c r="BZ316" i="1"/>
  <c r="BY316" i="1"/>
  <c r="BX316" i="1"/>
  <c r="BU316" i="1"/>
  <c r="BT316" i="1"/>
  <c r="BS316" i="1"/>
  <c r="BO316" i="1"/>
  <c r="BN316" i="1"/>
  <c r="BM316" i="1"/>
  <c r="BJ316" i="1"/>
  <c r="BI316" i="1"/>
  <c r="BH316" i="1"/>
  <c r="BD316" i="1"/>
  <c r="BC316" i="1"/>
  <c r="BB316" i="1"/>
  <c r="AX316" i="1"/>
  <c r="AW316" i="1"/>
  <c r="AV316" i="1"/>
  <c r="AR316" i="1"/>
  <c r="AQ316" i="1"/>
  <c r="AP316" i="1"/>
  <c r="AJ316" i="1"/>
  <c r="AI316" i="1"/>
  <c r="AH316" i="1"/>
  <c r="AC316" i="1"/>
  <c r="AB316" i="1"/>
  <c r="AA316" i="1"/>
  <c r="U316" i="1"/>
  <c r="T316" i="1"/>
  <c r="S316" i="1"/>
  <c r="R316" i="1"/>
  <c r="Q316" i="1"/>
  <c r="P316" i="1"/>
  <c r="BZ315" i="1"/>
  <c r="BY315" i="1"/>
  <c r="BX315" i="1"/>
  <c r="BU315" i="1"/>
  <c r="BT315" i="1"/>
  <c r="BS315" i="1"/>
  <c r="BO315" i="1"/>
  <c r="BN315" i="1"/>
  <c r="BM315" i="1"/>
  <c r="BJ315" i="1"/>
  <c r="BI315" i="1"/>
  <c r="BH315" i="1"/>
  <c r="BD315" i="1"/>
  <c r="BC315" i="1"/>
  <c r="BB315" i="1"/>
  <c r="AX315" i="1"/>
  <c r="AW315" i="1"/>
  <c r="AV315" i="1"/>
  <c r="AR315" i="1"/>
  <c r="AQ315" i="1"/>
  <c r="AP315" i="1"/>
  <c r="AJ315" i="1"/>
  <c r="AI315" i="1"/>
  <c r="AH315" i="1"/>
  <c r="AC315" i="1"/>
  <c r="AB315" i="1"/>
  <c r="AA315" i="1"/>
  <c r="U315" i="1"/>
  <c r="T315" i="1"/>
  <c r="S315" i="1"/>
  <c r="R315" i="1"/>
  <c r="Q315" i="1"/>
  <c r="P315" i="1"/>
  <c r="BZ314" i="1"/>
  <c r="BY314" i="1"/>
  <c r="BX314" i="1"/>
  <c r="BU314" i="1"/>
  <c r="BT314" i="1"/>
  <c r="BS314" i="1"/>
  <c r="BO314" i="1"/>
  <c r="BN314" i="1"/>
  <c r="BM314" i="1"/>
  <c r="BJ314" i="1"/>
  <c r="BI314" i="1"/>
  <c r="BH314" i="1"/>
  <c r="BD314" i="1"/>
  <c r="BC314" i="1"/>
  <c r="BB314" i="1"/>
  <c r="AX314" i="1"/>
  <c r="AW314" i="1"/>
  <c r="AV314" i="1"/>
  <c r="AR314" i="1"/>
  <c r="AQ314" i="1"/>
  <c r="AP314" i="1"/>
  <c r="AJ314" i="1"/>
  <c r="AI314" i="1"/>
  <c r="AH314" i="1"/>
  <c r="AC314" i="1"/>
  <c r="AB314" i="1"/>
  <c r="AA314" i="1"/>
  <c r="U314" i="1"/>
  <c r="T314" i="1"/>
  <c r="S314" i="1"/>
  <c r="R314" i="1"/>
  <c r="Q314" i="1"/>
  <c r="P314" i="1"/>
  <c r="BZ313" i="1"/>
  <c r="BY313" i="1"/>
  <c r="BX313" i="1"/>
  <c r="BU313" i="1"/>
  <c r="BT313" i="1"/>
  <c r="BS313" i="1"/>
  <c r="BO313" i="1"/>
  <c r="BN313" i="1"/>
  <c r="BM313" i="1"/>
  <c r="BJ313" i="1"/>
  <c r="BI313" i="1"/>
  <c r="BH313" i="1"/>
  <c r="BD313" i="1"/>
  <c r="BC313" i="1"/>
  <c r="BB313" i="1"/>
  <c r="AX313" i="1"/>
  <c r="AW313" i="1"/>
  <c r="AV313" i="1"/>
  <c r="AR313" i="1"/>
  <c r="AQ313" i="1"/>
  <c r="AP313" i="1"/>
  <c r="AJ313" i="1"/>
  <c r="AI313" i="1"/>
  <c r="AH313" i="1"/>
  <c r="AC313" i="1"/>
  <c r="AB313" i="1"/>
  <c r="AA313" i="1"/>
  <c r="U313" i="1"/>
  <c r="T313" i="1"/>
  <c r="S313" i="1"/>
  <c r="R313" i="1"/>
  <c r="Q313" i="1"/>
  <c r="P313" i="1"/>
  <c r="BZ312" i="1"/>
  <c r="BY312" i="1"/>
  <c r="BX312" i="1"/>
  <c r="BU312" i="1"/>
  <c r="BT312" i="1"/>
  <c r="BS312" i="1"/>
  <c r="BO312" i="1"/>
  <c r="BN312" i="1"/>
  <c r="BM312" i="1"/>
  <c r="BJ312" i="1"/>
  <c r="BI312" i="1"/>
  <c r="BH312" i="1"/>
  <c r="BD312" i="1"/>
  <c r="BC312" i="1"/>
  <c r="BB312" i="1"/>
  <c r="AX312" i="1"/>
  <c r="AW312" i="1"/>
  <c r="AV312" i="1"/>
  <c r="AR312" i="1"/>
  <c r="AQ312" i="1"/>
  <c r="AP312" i="1"/>
  <c r="AJ312" i="1"/>
  <c r="AI312" i="1"/>
  <c r="AH312" i="1"/>
  <c r="AC312" i="1"/>
  <c r="AB312" i="1"/>
  <c r="AA312" i="1"/>
  <c r="U312" i="1"/>
  <c r="T312" i="1"/>
  <c r="S312" i="1"/>
  <c r="R312" i="1"/>
  <c r="Q312" i="1"/>
  <c r="P312" i="1"/>
  <c r="BZ311" i="1"/>
  <c r="BY311" i="1"/>
  <c r="BX311" i="1"/>
  <c r="BU311" i="1"/>
  <c r="BT311" i="1"/>
  <c r="BS311" i="1"/>
  <c r="BO311" i="1"/>
  <c r="BN311" i="1"/>
  <c r="BM311" i="1"/>
  <c r="BJ311" i="1"/>
  <c r="BI311" i="1"/>
  <c r="BH311" i="1"/>
  <c r="BD311" i="1"/>
  <c r="BC311" i="1"/>
  <c r="BB311" i="1"/>
  <c r="AX311" i="1"/>
  <c r="AW311" i="1"/>
  <c r="AV311" i="1"/>
  <c r="AR311" i="1"/>
  <c r="AQ311" i="1"/>
  <c r="AP311" i="1"/>
  <c r="AJ311" i="1"/>
  <c r="AI311" i="1"/>
  <c r="AH311" i="1"/>
  <c r="AC311" i="1"/>
  <c r="AB311" i="1"/>
  <c r="AA311" i="1"/>
  <c r="U311" i="1"/>
  <c r="T311" i="1"/>
  <c r="S311" i="1"/>
  <c r="R311" i="1"/>
  <c r="Q311" i="1"/>
  <c r="P311" i="1"/>
  <c r="BZ310" i="1"/>
  <c r="BY310" i="1"/>
  <c r="BX310" i="1"/>
  <c r="BU310" i="1"/>
  <c r="BT310" i="1"/>
  <c r="BS310" i="1"/>
  <c r="BO310" i="1"/>
  <c r="BN310" i="1"/>
  <c r="BM310" i="1"/>
  <c r="BJ310" i="1"/>
  <c r="BI310" i="1"/>
  <c r="BH310" i="1"/>
  <c r="BD310" i="1"/>
  <c r="BC310" i="1"/>
  <c r="BB310" i="1"/>
  <c r="AX310" i="1"/>
  <c r="AW310" i="1"/>
  <c r="AV310" i="1"/>
  <c r="AR310" i="1"/>
  <c r="AQ310" i="1"/>
  <c r="AP310" i="1"/>
  <c r="AJ310" i="1"/>
  <c r="AI310" i="1"/>
  <c r="AH310" i="1"/>
  <c r="AC310" i="1"/>
  <c r="AB310" i="1"/>
  <c r="AA310" i="1"/>
  <c r="U310" i="1"/>
  <c r="T310" i="1"/>
  <c r="S310" i="1"/>
  <c r="R310" i="1"/>
  <c r="Q310" i="1"/>
  <c r="P310" i="1"/>
  <c r="BZ309" i="1"/>
  <c r="BY309" i="1"/>
  <c r="BX309" i="1"/>
  <c r="BU309" i="1"/>
  <c r="BT309" i="1"/>
  <c r="BS309" i="1"/>
  <c r="BO309" i="1"/>
  <c r="BN309" i="1"/>
  <c r="BM309" i="1"/>
  <c r="Y309" i="1" s="1"/>
  <c r="BJ309" i="1"/>
  <c r="BI309" i="1"/>
  <c r="BH309" i="1"/>
  <c r="BD309" i="1"/>
  <c r="BC309" i="1"/>
  <c r="BB309" i="1"/>
  <c r="AX309" i="1"/>
  <c r="AW309" i="1"/>
  <c r="AV309" i="1"/>
  <c r="AR309" i="1"/>
  <c r="AQ309" i="1"/>
  <c r="AP309" i="1"/>
  <c r="AJ309" i="1"/>
  <c r="AI309" i="1"/>
  <c r="AH309" i="1"/>
  <c r="AC309" i="1"/>
  <c r="AB309" i="1"/>
  <c r="AA309" i="1"/>
  <c r="U309" i="1"/>
  <c r="T309" i="1"/>
  <c r="S309" i="1"/>
  <c r="R309" i="1"/>
  <c r="Q309" i="1"/>
  <c r="P309" i="1"/>
  <c r="BZ308" i="1"/>
  <c r="BY308" i="1"/>
  <c r="BX308" i="1"/>
  <c r="BU308" i="1"/>
  <c r="BT308" i="1"/>
  <c r="BS308" i="1"/>
  <c r="BO308" i="1"/>
  <c r="BN308" i="1"/>
  <c r="BM308" i="1"/>
  <c r="BJ308" i="1"/>
  <c r="BI308" i="1"/>
  <c r="BH308" i="1"/>
  <c r="BD308" i="1"/>
  <c r="BC308" i="1"/>
  <c r="BB308" i="1"/>
  <c r="AX308" i="1"/>
  <c r="AW308" i="1"/>
  <c r="AV308" i="1"/>
  <c r="AR308" i="1"/>
  <c r="AQ308" i="1"/>
  <c r="AP308" i="1"/>
  <c r="AJ308" i="1"/>
  <c r="AI308" i="1"/>
  <c r="AH308" i="1"/>
  <c r="AC308" i="1"/>
  <c r="AB308" i="1"/>
  <c r="AA308" i="1"/>
  <c r="U308" i="1"/>
  <c r="T308" i="1"/>
  <c r="S308" i="1"/>
  <c r="R308" i="1"/>
  <c r="Q308" i="1"/>
  <c r="P308" i="1"/>
  <c r="BZ307" i="1"/>
  <c r="BY307" i="1"/>
  <c r="BX307" i="1"/>
  <c r="BU307" i="1"/>
  <c r="BT307" i="1"/>
  <c r="BS307" i="1"/>
  <c r="BO307" i="1"/>
  <c r="BN307" i="1"/>
  <c r="BM307" i="1"/>
  <c r="BJ307" i="1"/>
  <c r="BI307" i="1"/>
  <c r="BH307" i="1"/>
  <c r="BD307" i="1"/>
  <c r="BC307" i="1"/>
  <c r="BB307" i="1"/>
  <c r="AX307" i="1"/>
  <c r="AW307" i="1"/>
  <c r="AV307" i="1"/>
  <c r="AR307" i="1"/>
  <c r="AQ307" i="1"/>
  <c r="AP307" i="1"/>
  <c r="AJ307" i="1"/>
  <c r="AI307" i="1"/>
  <c r="AH307" i="1"/>
  <c r="AC307" i="1"/>
  <c r="AB307" i="1"/>
  <c r="AA307" i="1"/>
  <c r="U307" i="1"/>
  <c r="T307" i="1"/>
  <c r="S307" i="1"/>
  <c r="R307" i="1"/>
  <c r="Q307" i="1"/>
  <c r="P307" i="1"/>
  <c r="BZ306" i="1"/>
  <c r="BY306" i="1"/>
  <c r="BX306" i="1"/>
  <c r="BU306" i="1"/>
  <c r="BT306" i="1"/>
  <c r="BS306" i="1"/>
  <c r="BO306" i="1"/>
  <c r="BN306" i="1"/>
  <c r="BM306" i="1"/>
  <c r="BJ306" i="1"/>
  <c r="BI306" i="1"/>
  <c r="BH306" i="1"/>
  <c r="BD306" i="1"/>
  <c r="BC306" i="1"/>
  <c r="BB306" i="1"/>
  <c r="AX306" i="1"/>
  <c r="AW306" i="1"/>
  <c r="AV306" i="1"/>
  <c r="AR306" i="1"/>
  <c r="AQ306" i="1"/>
  <c r="AP306" i="1"/>
  <c r="AJ306" i="1"/>
  <c r="AI306" i="1"/>
  <c r="AH306" i="1"/>
  <c r="AC306" i="1"/>
  <c r="AB306" i="1"/>
  <c r="AA306" i="1"/>
  <c r="U306" i="1"/>
  <c r="T306" i="1"/>
  <c r="S306" i="1"/>
  <c r="R306" i="1"/>
  <c r="Q306" i="1"/>
  <c r="P306" i="1"/>
  <c r="BZ305" i="1"/>
  <c r="BY305" i="1"/>
  <c r="BX305" i="1"/>
  <c r="BU305" i="1"/>
  <c r="BT305" i="1"/>
  <c r="BS305" i="1"/>
  <c r="BO305" i="1"/>
  <c r="BN305" i="1"/>
  <c r="BM305" i="1"/>
  <c r="BJ305" i="1"/>
  <c r="BI305" i="1"/>
  <c r="BH305" i="1"/>
  <c r="BD305" i="1"/>
  <c r="BC305" i="1"/>
  <c r="BB305" i="1"/>
  <c r="AX305" i="1"/>
  <c r="AW305" i="1"/>
  <c r="AV305" i="1"/>
  <c r="AR305" i="1"/>
  <c r="AQ305" i="1"/>
  <c r="AP305" i="1"/>
  <c r="AJ305" i="1"/>
  <c r="AI305" i="1"/>
  <c r="AH305" i="1"/>
  <c r="AC305" i="1"/>
  <c r="AB305" i="1"/>
  <c r="AA305" i="1"/>
  <c r="U305" i="1"/>
  <c r="T305" i="1"/>
  <c r="S305" i="1"/>
  <c r="R305" i="1"/>
  <c r="Q305" i="1"/>
  <c r="P305" i="1"/>
  <c r="BZ304" i="1"/>
  <c r="BY304" i="1"/>
  <c r="BX304" i="1"/>
  <c r="BU304" i="1"/>
  <c r="BT304" i="1"/>
  <c r="BS304" i="1"/>
  <c r="BO304" i="1"/>
  <c r="BN304" i="1"/>
  <c r="BM304" i="1"/>
  <c r="BJ304" i="1"/>
  <c r="BI304" i="1"/>
  <c r="BH304" i="1"/>
  <c r="BD304" i="1"/>
  <c r="BC304" i="1"/>
  <c r="BB304" i="1"/>
  <c r="AX304" i="1"/>
  <c r="AW304" i="1"/>
  <c r="AV304" i="1"/>
  <c r="AR304" i="1"/>
  <c r="AQ304" i="1"/>
  <c r="AP304" i="1"/>
  <c r="AJ304" i="1"/>
  <c r="AI304" i="1"/>
  <c r="AH304" i="1"/>
  <c r="AC304" i="1"/>
  <c r="AB304" i="1"/>
  <c r="AA304" i="1"/>
  <c r="U304" i="1"/>
  <c r="T304" i="1"/>
  <c r="S304" i="1"/>
  <c r="R304" i="1"/>
  <c r="Q304" i="1"/>
  <c r="P304" i="1"/>
  <c r="BZ303" i="1"/>
  <c r="BY303" i="1"/>
  <c r="BX303" i="1"/>
  <c r="BU303" i="1"/>
  <c r="BT303" i="1"/>
  <c r="BS303" i="1"/>
  <c r="BO303" i="1"/>
  <c r="BN303" i="1"/>
  <c r="BM303" i="1"/>
  <c r="BJ303" i="1"/>
  <c r="BI303" i="1"/>
  <c r="BH303" i="1"/>
  <c r="BD303" i="1"/>
  <c r="BC303" i="1"/>
  <c r="BB303" i="1"/>
  <c r="AX303" i="1"/>
  <c r="AW303" i="1"/>
  <c r="AV303" i="1"/>
  <c r="AR303" i="1"/>
  <c r="AQ303" i="1"/>
  <c r="AP303" i="1"/>
  <c r="AJ303" i="1"/>
  <c r="AI303" i="1"/>
  <c r="AH303" i="1"/>
  <c r="AC303" i="1"/>
  <c r="AB303" i="1"/>
  <c r="AA303" i="1"/>
  <c r="U303" i="1"/>
  <c r="T303" i="1"/>
  <c r="S303" i="1"/>
  <c r="R303" i="1"/>
  <c r="Q303" i="1"/>
  <c r="P303" i="1"/>
  <c r="BZ302" i="1"/>
  <c r="BY302" i="1"/>
  <c r="BX302" i="1"/>
  <c r="BU302" i="1"/>
  <c r="BT302" i="1"/>
  <c r="BS302" i="1"/>
  <c r="BO302" i="1"/>
  <c r="BN302" i="1"/>
  <c r="BM302" i="1"/>
  <c r="BJ302" i="1"/>
  <c r="BI302" i="1"/>
  <c r="BH302" i="1"/>
  <c r="BD302" i="1"/>
  <c r="BC302" i="1"/>
  <c r="BB302" i="1"/>
  <c r="AX302" i="1"/>
  <c r="AW302" i="1"/>
  <c r="AV302" i="1"/>
  <c r="AR302" i="1"/>
  <c r="AQ302" i="1"/>
  <c r="AP302" i="1"/>
  <c r="AJ302" i="1"/>
  <c r="AI302" i="1"/>
  <c r="AH302" i="1"/>
  <c r="AC302" i="1"/>
  <c r="AB302" i="1"/>
  <c r="AA302" i="1"/>
  <c r="U302" i="1"/>
  <c r="T302" i="1"/>
  <c r="S302" i="1"/>
  <c r="R302" i="1"/>
  <c r="Q302" i="1"/>
  <c r="P302" i="1"/>
  <c r="BZ301" i="1"/>
  <c r="BY301" i="1"/>
  <c r="BX301" i="1"/>
  <c r="BU301" i="1"/>
  <c r="BT301" i="1"/>
  <c r="BS301" i="1"/>
  <c r="BO301" i="1"/>
  <c r="BN301" i="1"/>
  <c r="BM301" i="1"/>
  <c r="BJ301" i="1"/>
  <c r="BI301" i="1"/>
  <c r="BH301" i="1"/>
  <c r="BD301" i="1"/>
  <c r="BC301" i="1"/>
  <c r="BB301" i="1"/>
  <c r="AX301" i="1"/>
  <c r="AW301" i="1"/>
  <c r="AV301" i="1"/>
  <c r="AR301" i="1"/>
  <c r="AQ301" i="1"/>
  <c r="AP301" i="1"/>
  <c r="AJ301" i="1"/>
  <c r="AI301" i="1"/>
  <c r="AH301" i="1"/>
  <c r="AC301" i="1"/>
  <c r="AB301" i="1"/>
  <c r="AA301" i="1"/>
  <c r="U301" i="1"/>
  <c r="T301" i="1"/>
  <c r="S301" i="1"/>
  <c r="R301" i="1"/>
  <c r="Q301" i="1"/>
  <c r="P301" i="1"/>
  <c r="BZ300" i="1"/>
  <c r="BY300" i="1"/>
  <c r="BX300" i="1"/>
  <c r="BU300" i="1"/>
  <c r="BT300" i="1"/>
  <c r="BS300" i="1"/>
  <c r="BO300" i="1"/>
  <c r="BN300" i="1"/>
  <c r="BM300" i="1"/>
  <c r="BJ300" i="1"/>
  <c r="BI300" i="1"/>
  <c r="BH300" i="1"/>
  <c r="BD300" i="1"/>
  <c r="BC300" i="1"/>
  <c r="BB300" i="1"/>
  <c r="AX300" i="1"/>
  <c r="AW300" i="1"/>
  <c r="AV300" i="1"/>
  <c r="AR300" i="1"/>
  <c r="AQ300" i="1"/>
  <c r="AP300" i="1"/>
  <c r="AJ300" i="1"/>
  <c r="AI300" i="1"/>
  <c r="AH300" i="1"/>
  <c r="AC300" i="1"/>
  <c r="AB300" i="1"/>
  <c r="AA300" i="1"/>
  <c r="U300" i="1"/>
  <c r="T300" i="1"/>
  <c r="S300" i="1"/>
  <c r="R300" i="1"/>
  <c r="Q300" i="1"/>
  <c r="P300" i="1"/>
  <c r="BZ299" i="1"/>
  <c r="BY299" i="1"/>
  <c r="BX299" i="1"/>
  <c r="BU299" i="1"/>
  <c r="BT299" i="1"/>
  <c r="BS299" i="1"/>
  <c r="BO299" i="1"/>
  <c r="BN299" i="1"/>
  <c r="BM299" i="1"/>
  <c r="BJ299" i="1"/>
  <c r="BI299" i="1"/>
  <c r="BH299" i="1"/>
  <c r="BD299" i="1"/>
  <c r="BC299" i="1"/>
  <c r="BB299" i="1"/>
  <c r="AX299" i="1"/>
  <c r="AW299" i="1"/>
  <c r="AV299" i="1"/>
  <c r="AR299" i="1"/>
  <c r="AQ299" i="1"/>
  <c r="AP299" i="1"/>
  <c r="AJ299" i="1"/>
  <c r="AI299" i="1"/>
  <c r="AH299" i="1"/>
  <c r="AC299" i="1"/>
  <c r="AB299" i="1"/>
  <c r="AA299" i="1"/>
  <c r="U299" i="1"/>
  <c r="T299" i="1"/>
  <c r="S299" i="1"/>
  <c r="R299" i="1"/>
  <c r="Q299" i="1"/>
  <c r="P299" i="1"/>
  <c r="BZ298" i="1"/>
  <c r="BY298" i="1"/>
  <c r="BX298" i="1"/>
  <c r="BU298" i="1"/>
  <c r="BT298" i="1"/>
  <c r="BS298" i="1"/>
  <c r="BO298" i="1"/>
  <c r="BN298" i="1"/>
  <c r="BM298" i="1"/>
  <c r="BJ298" i="1"/>
  <c r="BI298" i="1"/>
  <c r="BH298" i="1"/>
  <c r="BD298" i="1"/>
  <c r="BC298" i="1"/>
  <c r="BB298" i="1"/>
  <c r="AX298" i="1"/>
  <c r="AW298" i="1"/>
  <c r="AV298" i="1"/>
  <c r="AR298" i="1"/>
  <c r="AQ298" i="1"/>
  <c r="AP298" i="1"/>
  <c r="AJ298" i="1"/>
  <c r="AI298" i="1"/>
  <c r="AH298" i="1"/>
  <c r="AC298" i="1"/>
  <c r="AB298" i="1"/>
  <c r="AA298" i="1"/>
  <c r="U298" i="1"/>
  <c r="T298" i="1"/>
  <c r="S298" i="1"/>
  <c r="R298" i="1"/>
  <c r="Q298" i="1"/>
  <c r="P298" i="1"/>
  <c r="BZ297" i="1"/>
  <c r="BY297" i="1"/>
  <c r="BX297" i="1"/>
  <c r="BU297" i="1"/>
  <c r="BT297" i="1"/>
  <c r="BS297" i="1"/>
  <c r="Y295" i="1" s="1"/>
  <c r="BO297" i="1"/>
  <c r="BN297" i="1"/>
  <c r="BM297" i="1"/>
  <c r="BJ297" i="1"/>
  <c r="BI297" i="1"/>
  <c r="BH297" i="1"/>
  <c r="BD297" i="1"/>
  <c r="BC297" i="1"/>
  <c r="BB297" i="1"/>
  <c r="AX297" i="1"/>
  <c r="AW297" i="1"/>
  <c r="AV297" i="1"/>
  <c r="AR297" i="1"/>
  <c r="AQ297" i="1"/>
  <c r="AP297" i="1"/>
  <c r="AJ297" i="1"/>
  <c r="AI297" i="1"/>
  <c r="AH297" i="1"/>
  <c r="AC297" i="1"/>
  <c r="AB297" i="1"/>
  <c r="AA297" i="1"/>
  <c r="U297" i="1"/>
  <c r="T297" i="1"/>
  <c r="S297" i="1"/>
  <c r="R297" i="1"/>
  <c r="Q297" i="1"/>
  <c r="P297" i="1"/>
  <c r="BZ296" i="1"/>
  <c r="BY296" i="1"/>
  <c r="BX296" i="1"/>
  <c r="BU296" i="1"/>
  <c r="BT296" i="1"/>
  <c r="BS296" i="1"/>
  <c r="BO296" i="1"/>
  <c r="BN296" i="1"/>
  <c r="BM296" i="1"/>
  <c r="BJ296" i="1"/>
  <c r="BI296" i="1"/>
  <c r="BH296" i="1"/>
  <c r="BD296" i="1"/>
  <c r="BC296" i="1"/>
  <c r="BB296" i="1"/>
  <c r="AX296" i="1"/>
  <c r="AW296" i="1"/>
  <c r="AV296" i="1"/>
  <c r="AR296" i="1"/>
  <c r="AQ296" i="1"/>
  <c r="AP296" i="1"/>
  <c r="AJ296" i="1"/>
  <c r="AI296" i="1"/>
  <c r="AH296" i="1"/>
  <c r="AC296" i="1"/>
  <c r="AB296" i="1"/>
  <c r="AA296" i="1"/>
  <c r="U296" i="1"/>
  <c r="T296" i="1"/>
  <c r="S296" i="1"/>
  <c r="R296" i="1"/>
  <c r="Q296" i="1"/>
  <c r="P296" i="1"/>
  <c r="BZ295" i="1"/>
  <c r="BY295" i="1"/>
  <c r="BX295" i="1"/>
  <c r="BU295" i="1"/>
  <c r="BT295" i="1"/>
  <c r="BS295" i="1"/>
  <c r="BO295" i="1"/>
  <c r="BN295" i="1"/>
  <c r="BM295" i="1"/>
  <c r="BJ295" i="1"/>
  <c r="BI295" i="1"/>
  <c r="BH295" i="1"/>
  <c r="BD295" i="1"/>
  <c r="BC295" i="1"/>
  <c r="BB295" i="1"/>
  <c r="AX295" i="1"/>
  <c r="AW295" i="1"/>
  <c r="AV295" i="1"/>
  <c r="AR295" i="1"/>
  <c r="AQ295" i="1"/>
  <c r="AP295" i="1"/>
  <c r="AJ295" i="1"/>
  <c r="AI295" i="1"/>
  <c r="AH295" i="1"/>
  <c r="AC295" i="1"/>
  <c r="AB295" i="1"/>
  <c r="AA295" i="1"/>
  <c r="U295" i="1"/>
  <c r="T295" i="1"/>
  <c r="S295" i="1"/>
  <c r="R295" i="1"/>
  <c r="Q295" i="1"/>
  <c r="P295" i="1"/>
  <c r="BZ294" i="1"/>
  <c r="BY294" i="1"/>
  <c r="BX294" i="1"/>
  <c r="BU294" i="1"/>
  <c r="BT294" i="1"/>
  <c r="BS294" i="1"/>
  <c r="BO294" i="1"/>
  <c r="BN294" i="1"/>
  <c r="BM294" i="1"/>
  <c r="BJ294" i="1"/>
  <c r="BI294" i="1"/>
  <c r="BH294" i="1"/>
  <c r="BD294" i="1"/>
  <c r="BC294" i="1"/>
  <c r="BB294" i="1"/>
  <c r="AX294" i="1"/>
  <c r="AW294" i="1"/>
  <c r="AV294" i="1"/>
  <c r="AR294" i="1"/>
  <c r="AQ294" i="1"/>
  <c r="AP294" i="1"/>
  <c r="AJ294" i="1"/>
  <c r="AI294" i="1"/>
  <c r="AH294" i="1"/>
  <c r="AC294" i="1"/>
  <c r="AB294" i="1"/>
  <c r="AA294" i="1"/>
  <c r="U294" i="1"/>
  <c r="T294" i="1"/>
  <c r="S294" i="1"/>
  <c r="R294" i="1"/>
  <c r="Q294" i="1"/>
  <c r="P294" i="1"/>
  <c r="BZ293" i="1"/>
  <c r="BY293" i="1"/>
  <c r="BX293" i="1"/>
  <c r="BU293" i="1"/>
  <c r="BT293" i="1"/>
  <c r="BS293" i="1"/>
  <c r="BO293" i="1"/>
  <c r="BN293" i="1"/>
  <c r="BM293" i="1"/>
  <c r="BJ293" i="1"/>
  <c r="BI293" i="1"/>
  <c r="BH293" i="1"/>
  <c r="BD293" i="1"/>
  <c r="BC293" i="1"/>
  <c r="BB293" i="1"/>
  <c r="AX293" i="1"/>
  <c r="AW293" i="1"/>
  <c r="AV293" i="1"/>
  <c r="AR293" i="1"/>
  <c r="AQ293" i="1"/>
  <c r="AP293" i="1"/>
  <c r="AJ293" i="1"/>
  <c r="AI293" i="1"/>
  <c r="AH293" i="1"/>
  <c r="AC293" i="1"/>
  <c r="AB293" i="1"/>
  <c r="AA293" i="1"/>
  <c r="U293" i="1"/>
  <c r="T293" i="1"/>
  <c r="S293" i="1"/>
  <c r="R293" i="1"/>
  <c r="Q293" i="1"/>
  <c r="P293" i="1"/>
  <c r="BZ292" i="1"/>
  <c r="BY292" i="1"/>
  <c r="BX292" i="1"/>
  <c r="BU292" i="1"/>
  <c r="BT292" i="1"/>
  <c r="BS292" i="1"/>
  <c r="BO292" i="1"/>
  <c r="BN292" i="1"/>
  <c r="BM292" i="1"/>
  <c r="BJ292" i="1"/>
  <c r="BI292" i="1"/>
  <c r="BH292" i="1"/>
  <c r="BD292" i="1"/>
  <c r="BC292" i="1"/>
  <c r="BB292" i="1"/>
  <c r="AX292" i="1"/>
  <c r="AW292" i="1"/>
  <c r="AV292" i="1"/>
  <c r="AR292" i="1"/>
  <c r="AQ292" i="1"/>
  <c r="AP292" i="1"/>
  <c r="AJ292" i="1"/>
  <c r="AI292" i="1"/>
  <c r="AH292" i="1"/>
  <c r="AC292" i="1"/>
  <c r="AB292" i="1"/>
  <c r="AA292" i="1"/>
  <c r="U292" i="1"/>
  <c r="T292" i="1"/>
  <c r="S292" i="1"/>
  <c r="R292" i="1"/>
  <c r="Q292" i="1"/>
  <c r="P292" i="1"/>
  <c r="BZ291" i="1"/>
  <c r="BY291" i="1"/>
  <c r="BX291" i="1"/>
  <c r="BU291" i="1"/>
  <c r="BT291" i="1"/>
  <c r="BS291" i="1"/>
  <c r="BO291" i="1"/>
  <c r="BN291" i="1"/>
  <c r="BM291" i="1"/>
  <c r="BJ291" i="1"/>
  <c r="BI291" i="1"/>
  <c r="BH291" i="1"/>
  <c r="BD291" i="1"/>
  <c r="BC291" i="1"/>
  <c r="BB291" i="1"/>
  <c r="AX291" i="1"/>
  <c r="AW291" i="1"/>
  <c r="AV291" i="1"/>
  <c r="AR291" i="1"/>
  <c r="AQ291" i="1"/>
  <c r="AP291" i="1"/>
  <c r="AJ291" i="1"/>
  <c r="AI291" i="1"/>
  <c r="AH291" i="1"/>
  <c r="AC291" i="1"/>
  <c r="AB291" i="1"/>
  <c r="AA291" i="1"/>
  <c r="U291" i="1"/>
  <c r="T291" i="1"/>
  <c r="S291" i="1"/>
  <c r="R291" i="1"/>
  <c r="Q291" i="1"/>
  <c r="P291" i="1"/>
  <c r="BZ290" i="1"/>
  <c r="BY290" i="1"/>
  <c r="BX290" i="1"/>
  <c r="BU290" i="1"/>
  <c r="BT290" i="1"/>
  <c r="BS290" i="1"/>
  <c r="BO290" i="1"/>
  <c r="BN290" i="1"/>
  <c r="BM290" i="1"/>
  <c r="BJ290" i="1"/>
  <c r="BI290" i="1"/>
  <c r="BH290" i="1"/>
  <c r="BD290" i="1"/>
  <c r="BC290" i="1"/>
  <c r="BB290" i="1"/>
  <c r="AX290" i="1"/>
  <c r="AW290" i="1"/>
  <c r="AV290" i="1"/>
  <c r="AR290" i="1"/>
  <c r="AQ290" i="1"/>
  <c r="AP290" i="1"/>
  <c r="AJ290" i="1"/>
  <c r="AI290" i="1"/>
  <c r="AH290" i="1"/>
  <c r="AC290" i="1"/>
  <c r="AB290" i="1"/>
  <c r="AA290" i="1"/>
  <c r="U290" i="1"/>
  <c r="T290" i="1"/>
  <c r="S290" i="1"/>
  <c r="R290" i="1"/>
  <c r="Q290" i="1"/>
  <c r="P290" i="1"/>
  <c r="BZ289" i="1"/>
  <c r="BY289" i="1"/>
  <c r="BX289" i="1"/>
  <c r="BU289" i="1"/>
  <c r="BT289" i="1"/>
  <c r="BS289" i="1"/>
  <c r="BO289" i="1"/>
  <c r="BN289" i="1"/>
  <c r="BM289" i="1"/>
  <c r="BJ289" i="1"/>
  <c r="BI289" i="1"/>
  <c r="BH289" i="1"/>
  <c r="BD289" i="1"/>
  <c r="BC289" i="1"/>
  <c r="BB289" i="1"/>
  <c r="AX289" i="1"/>
  <c r="AW289" i="1"/>
  <c r="AV289" i="1"/>
  <c r="AR289" i="1"/>
  <c r="AQ289" i="1"/>
  <c r="AP289" i="1"/>
  <c r="AJ289" i="1"/>
  <c r="AI289" i="1"/>
  <c r="AH289" i="1"/>
  <c r="AC289" i="1"/>
  <c r="AB289" i="1"/>
  <c r="AA289" i="1"/>
  <c r="U289" i="1"/>
  <c r="T289" i="1"/>
  <c r="S289" i="1"/>
  <c r="R289" i="1"/>
  <c r="Q289" i="1"/>
  <c r="P289" i="1"/>
  <c r="BZ288" i="1"/>
  <c r="BY288" i="1"/>
  <c r="BX288" i="1"/>
  <c r="BU288" i="1"/>
  <c r="BT288" i="1"/>
  <c r="BS288" i="1"/>
  <c r="BO288" i="1"/>
  <c r="BN288" i="1"/>
  <c r="BM288" i="1"/>
  <c r="BJ288" i="1"/>
  <c r="BI288" i="1"/>
  <c r="BH288" i="1"/>
  <c r="BD288" i="1"/>
  <c r="BC288" i="1"/>
  <c r="BB288" i="1"/>
  <c r="AX288" i="1"/>
  <c r="AW288" i="1"/>
  <c r="AV288" i="1"/>
  <c r="AR288" i="1"/>
  <c r="AQ288" i="1"/>
  <c r="AP288" i="1"/>
  <c r="AJ288" i="1"/>
  <c r="AI288" i="1"/>
  <c r="AH288" i="1"/>
  <c r="AC288" i="1"/>
  <c r="AB288" i="1"/>
  <c r="AA288" i="1"/>
  <c r="U288" i="1"/>
  <c r="T288" i="1"/>
  <c r="S288" i="1"/>
  <c r="R288" i="1"/>
  <c r="Q288" i="1"/>
  <c r="P288" i="1"/>
  <c r="BZ287" i="1"/>
  <c r="BY287" i="1"/>
  <c r="BX287" i="1"/>
  <c r="BU287" i="1"/>
  <c r="BT287" i="1"/>
  <c r="BS287" i="1"/>
  <c r="BO287" i="1"/>
  <c r="BN287" i="1"/>
  <c r="BM287" i="1"/>
  <c r="BJ287" i="1"/>
  <c r="BI287" i="1"/>
  <c r="BH287" i="1"/>
  <c r="BD287" i="1"/>
  <c r="BC287" i="1"/>
  <c r="BB287" i="1"/>
  <c r="AX287" i="1"/>
  <c r="AW287" i="1"/>
  <c r="AV287" i="1"/>
  <c r="AR287" i="1"/>
  <c r="AQ287" i="1"/>
  <c r="AP287" i="1"/>
  <c r="AJ287" i="1"/>
  <c r="AI287" i="1"/>
  <c r="AH287" i="1"/>
  <c r="AC287" i="1"/>
  <c r="AB287" i="1"/>
  <c r="AA287" i="1"/>
  <c r="U287" i="1"/>
  <c r="T287" i="1"/>
  <c r="S287" i="1"/>
  <c r="R287" i="1"/>
  <c r="Q287" i="1"/>
  <c r="P287" i="1"/>
  <c r="BZ286" i="1"/>
  <c r="BY286" i="1"/>
  <c r="BX286" i="1"/>
  <c r="BU286" i="1"/>
  <c r="BT286" i="1"/>
  <c r="BS286" i="1"/>
  <c r="BO286" i="1"/>
  <c r="BN286" i="1"/>
  <c r="BM286" i="1"/>
  <c r="BJ286" i="1"/>
  <c r="BI286" i="1"/>
  <c r="BH286" i="1"/>
  <c r="BD286" i="1"/>
  <c r="BC286" i="1"/>
  <c r="BB286" i="1"/>
  <c r="AX286" i="1"/>
  <c r="AW286" i="1"/>
  <c r="AV286" i="1"/>
  <c r="AR286" i="1"/>
  <c r="AQ286" i="1"/>
  <c r="AP286" i="1"/>
  <c r="AJ286" i="1"/>
  <c r="AI286" i="1"/>
  <c r="AH286" i="1"/>
  <c r="AC286" i="1"/>
  <c r="AB286" i="1"/>
  <c r="AA286" i="1"/>
  <c r="U286" i="1"/>
  <c r="T286" i="1"/>
  <c r="S286" i="1"/>
  <c r="R286" i="1"/>
  <c r="Q286" i="1"/>
  <c r="P286" i="1"/>
  <c r="BZ285" i="1"/>
  <c r="BY285" i="1"/>
  <c r="BX285" i="1"/>
  <c r="BU285" i="1"/>
  <c r="BT285" i="1"/>
  <c r="BS285" i="1"/>
  <c r="BO285" i="1"/>
  <c r="BN285" i="1"/>
  <c r="BM285" i="1"/>
  <c r="BJ285" i="1"/>
  <c r="BI285" i="1"/>
  <c r="BH285" i="1"/>
  <c r="BD285" i="1"/>
  <c r="BC285" i="1"/>
  <c r="BB285" i="1"/>
  <c r="AX285" i="1"/>
  <c r="AW285" i="1"/>
  <c r="AV285" i="1"/>
  <c r="AR285" i="1"/>
  <c r="AQ285" i="1"/>
  <c r="AP285" i="1"/>
  <c r="AJ285" i="1"/>
  <c r="AI285" i="1"/>
  <c r="AH285" i="1"/>
  <c r="AC285" i="1"/>
  <c r="AB285" i="1"/>
  <c r="AA285" i="1"/>
  <c r="U285" i="1"/>
  <c r="T285" i="1"/>
  <c r="S285" i="1"/>
  <c r="R285" i="1"/>
  <c r="Q285" i="1"/>
  <c r="P285" i="1"/>
  <c r="BZ284" i="1"/>
  <c r="BY284" i="1"/>
  <c r="BX284" i="1"/>
  <c r="BU284" i="1"/>
  <c r="BT284" i="1"/>
  <c r="BS284" i="1"/>
  <c r="BO284" i="1"/>
  <c r="BN284" i="1"/>
  <c r="BM284" i="1"/>
  <c r="BJ284" i="1"/>
  <c r="BI284" i="1"/>
  <c r="BH284" i="1"/>
  <c r="BD284" i="1"/>
  <c r="BC284" i="1"/>
  <c r="BB284" i="1"/>
  <c r="AX284" i="1"/>
  <c r="AW284" i="1"/>
  <c r="AV284" i="1"/>
  <c r="AR284" i="1"/>
  <c r="AQ284" i="1"/>
  <c r="AP284" i="1"/>
  <c r="AJ284" i="1"/>
  <c r="AI284" i="1"/>
  <c r="AH284" i="1"/>
  <c r="AC284" i="1"/>
  <c r="AB284" i="1"/>
  <c r="AA284" i="1"/>
  <c r="U284" i="1"/>
  <c r="T284" i="1"/>
  <c r="S284" i="1"/>
  <c r="R284" i="1"/>
  <c r="Q284" i="1"/>
  <c r="P284" i="1"/>
  <c r="BZ283" i="1"/>
  <c r="BY283" i="1"/>
  <c r="BX283" i="1"/>
  <c r="BU283" i="1"/>
  <c r="BT283" i="1"/>
  <c r="BS283" i="1"/>
  <c r="BO283" i="1"/>
  <c r="BN283" i="1"/>
  <c r="BM283" i="1"/>
  <c r="BJ283" i="1"/>
  <c r="BI283" i="1"/>
  <c r="BH283" i="1"/>
  <c r="BD283" i="1"/>
  <c r="BC283" i="1"/>
  <c r="BB283" i="1"/>
  <c r="AX283" i="1"/>
  <c r="AW283" i="1"/>
  <c r="AV283" i="1"/>
  <c r="AR283" i="1"/>
  <c r="AQ283" i="1"/>
  <c r="AP283" i="1"/>
  <c r="AJ283" i="1"/>
  <c r="AI283" i="1"/>
  <c r="AH283" i="1"/>
  <c r="AC283" i="1"/>
  <c r="AB283" i="1"/>
  <c r="AA283" i="1"/>
  <c r="U283" i="1"/>
  <c r="T283" i="1"/>
  <c r="S283" i="1"/>
  <c r="R283" i="1"/>
  <c r="Q283" i="1"/>
  <c r="P283" i="1"/>
  <c r="BZ282" i="1"/>
  <c r="BY282" i="1"/>
  <c r="BX282" i="1"/>
  <c r="BU282" i="1"/>
  <c r="BT282" i="1"/>
  <c r="BS282" i="1"/>
  <c r="BO282" i="1"/>
  <c r="BN282" i="1"/>
  <c r="BM282" i="1"/>
  <c r="BJ282" i="1"/>
  <c r="BI282" i="1"/>
  <c r="BH282" i="1"/>
  <c r="BD282" i="1"/>
  <c r="BC282" i="1"/>
  <c r="BB282" i="1"/>
  <c r="AX282" i="1"/>
  <c r="AW282" i="1"/>
  <c r="AV282" i="1"/>
  <c r="AR282" i="1"/>
  <c r="AQ282" i="1"/>
  <c r="AP282" i="1"/>
  <c r="AJ282" i="1"/>
  <c r="AI282" i="1"/>
  <c r="AH282" i="1"/>
  <c r="AC282" i="1"/>
  <c r="AB282" i="1"/>
  <c r="AA282" i="1"/>
  <c r="U282" i="1"/>
  <c r="T282" i="1"/>
  <c r="S282" i="1"/>
  <c r="R282" i="1"/>
  <c r="Q282" i="1"/>
  <c r="P282" i="1"/>
  <c r="BZ281" i="1"/>
  <c r="BY281" i="1"/>
  <c r="BX281" i="1"/>
  <c r="BU281" i="1"/>
  <c r="BT281" i="1"/>
  <c r="BS281" i="1"/>
  <c r="BO281" i="1"/>
  <c r="BN281" i="1"/>
  <c r="BM281" i="1"/>
  <c r="BJ281" i="1"/>
  <c r="BI281" i="1"/>
  <c r="BH281" i="1"/>
  <c r="BD281" i="1"/>
  <c r="BC281" i="1"/>
  <c r="BB281" i="1"/>
  <c r="AX281" i="1"/>
  <c r="AW281" i="1"/>
  <c r="AV281" i="1"/>
  <c r="AR281" i="1"/>
  <c r="AQ281" i="1"/>
  <c r="AP281" i="1"/>
  <c r="AJ281" i="1"/>
  <c r="AI281" i="1"/>
  <c r="AH281" i="1"/>
  <c r="AC281" i="1"/>
  <c r="AB281" i="1"/>
  <c r="AA281" i="1"/>
  <c r="U281" i="1"/>
  <c r="T281" i="1"/>
  <c r="S281" i="1"/>
  <c r="R281" i="1"/>
  <c r="Q281" i="1"/>
  <c r="P281" i="1"/>
  <c r="BZ280" i="1"/>
  <c r="BY280" i="1"/>
  <c r="BX280" i="1"/>
  <c r="BU280" i="1"/>
  <c r="BT280" i="1"/>
  <c r="BS280" i="1"/>
  <c r="BO280" i="1"/>
  <c r="BN280" i="1"/>
  <c r="BM280" i="1"/>
  <c r="BJ280" i="1"/>
  <c r="BI280" i="1"/>
  <c r="BH280" i="1"/>
  <c r="BD280" i="1"/>
  <c r="BC280" i="1"/>
  <c r="BB280" i="1"/>
  <c r="Y280" i="1" s="1"/>
  <c r="AX280" i="1"/>
  <c r="AW280" i="1"/>
  <c r="AV280" i="1"/>
  <c r="AR280" i="1"/>
  <c r="AQ280" i="1"/>
  <c r="AP280" i="1"/>
  <c r="AJ280" i="1"/>
  <c r="AI280" i="1"/>
  <c r="AH280" i="1"/>
  <c r="AC280" i="1"/>
  <c r="AB280" i="1"/>
  <c r="AA280" i="1"/>
  <c r="U280" i="1"/>
  <c r="T280" i="1"/>
  <c r="S280" i="1"/>
  <c r="R280" i="1"/>
  <c r="Q280" i="1"/>
  <c r="P280" i="1"/>
  <c r="BZ279" i="1"/>
  <c r="BY279" i="1"/>
  <c r="BX279" i="1"/>
  <c r="BU279" i="1"/>
  <c r="BT279" i="1"/>
  <c r="BS279" i="1"/>
  <c r="BO279" i="1"/>
  <c r="BN279" i="1"/>
  <c r="BM279" i="1"/>
  <c r="BJ279" i="1"/>
  <c r="BI279" i="1"/>
  <c r="BH279" i="1"/>
  <c r="BD279" i="1"/>
  <c r="BC279" i="1"/>
  <c r="BB279" i="1"/>
  <c r="AX279" i="1"/>
  <c r="AW279" i="1"/>
  <c r="AV279" i="1"/>
  <c r="AR279" i="1"/>
  <c r="AQ279" i="1"/>
  <c r="AP279" i="1"/>
  <c r="AJ279" i="1"/>
  <c r="AI279" i="1"/>
  <c r="AH279" i="1"/>
  <c r="AC279" i="1"/>
  <c r="AB279" i="1"/>
  <c r="AA279" i="1"/>
  <c r="U279" i="1"/>
  <c r="T279" i="1"/>
  <c r="S279" i="1"/>
  <c r="R279" i="1"/>
  <c r="Q279" i="1"/>
  <c r="P279" i="1"/>
  <c r="BZ278" i="1"/>
  <c r="BY278" i="1"/>
  <c r="BX278" i="1"/>
  <c r="BU278" i="1"/>
  <c r="BT278" i="1"/>
  <c r="BS278" i="1"/>
  <c r="BO278" i="1"/>
  <c r="BN278" i="1"/>
  <c r="BM278" i="1"/>
  <c r="BJ278" i="1"/>
  <c r="BI278" i="1"/>
  <c r="BH278" i="1"/>
  <c r="BD278" i="1"/>
  <c r="BC278" i="1"/>
  <c r="BB278" i="1"/>
  <c r="AX278" i="1"/>
  <c r="AW278" i="1"/>
  <c r="AV278" i="1"/>
  <c r="AR278" i="1"/>
  <c r="AQ278" i="1"/>
  <c r="AP278" i="1"/>
  <c r="Y278" i="1" s="1"/>
  <c r="AJ278" i="1"/>
  <c r="AI278" i="1"/>
  <c r="AH278" i="1"/>
  <c r="AC278" i="1"/>
  <c r="AB278" i="1"/>
  <c r="AA278" i="1"/>
  <c r="U278" i="1"/>
  <c r="T278" i="1"/>
  <c r="S278" i="1"/>
  <c r="R278" i="1"/>
  <c r="Q278" i="1"/>
  <c r="P278" i="1"/>
  <c r="BZ277" i="1"/>
  <c r="BY277" i="1"/>
  <c r="BX277" i="1"/>
  <c r="BU277" i="1"/>
  <c r="BT277" i="1"/>
  <c r="BS277" i="1"/>
  <c r="BO277" i="1"/>
  <c r="BN277" i="1"/>
  <c r="BM277" i="1"/>
  <c r="BJ277" i="1"/>
  <c r="BI277" i="1"/>
  <c r="BH277" i="1"/>
  <c r="BD277" i="1"/>
  <c r="BC277" i="1"/>
  <c r="BB277" i="1"/>
  <c r="AX277" i="1"/>
  <c r="AW277" i="1"/>
  <c r="AV277" i="1"/>
  <c r="AR277" i="1"/>
  <c r="AQ277" i="1"/>
  <c r="AP277" i="1"/>
  <c r="AJ277" i="1"/>
  <c r="AI277" i="1"/>
  <c r="AH277" i="1"/>
  <c r="AC277" i="1"/>
  <c r="AB277" i="1"/>
  <c r="AA277" i="1"/>
  <c r="U277" i="1"/>
  <c r="T277" i="1"/>
  <c r="S277" i="1"/>
  <c r="R277" i="1"/>
  <c r="Q277" i="1"/>
  <c r="P277" i="1"/>
  <c r="BZ276" i="1"/>
  <c r="BY276" i="1"/>
  <c r="BX276" i="1"/>
  <c r="BU276" i="1"/>
  <c r="BT276" i="1"/>
  <c r="BS276" i="1"/>
  <c r="BO276" i="1"/>
  <c r="BN276" i="1"/>
  <c r="BM276" i="1"/>
  <c r="BJ276" i="1"/>
  <c r="BI276" i="1"/>
  <c r="BH276" i="1"/>
  <c r="BD276" i="1"/>
  <c r="BC276" i="1"/>
  <c r="BB276" i="1"/>
  <c r="AX276" i="1"/>
  <c r="AW276" i="1"/>
  <c r="AV276" i="1"/>
  <c r="AR276" i="1"/>
  <c r="AQ276" i="1"/>
  <c r="AP276" i="1"/>
  <c r="AJ276" i="1"/>
  <c r="AI276" i="1"/>
  <c r="AH276" i="1"/>
  <c r="AC276" i="1"/>
  <c r="AB276" i="1"/>
  <c r="AA276" i="1"/>
  <c r="U276" i="1"/>
  <c r="T276" i="1"/>
  <c r="S276" i="1"/>
  <c r="R276" i="1"/>
  <c r="Q276" i="1"/>
  <c r="P276" i="1"/>
  <c r="BZ275" i="1"/>
  <c r="BY275" i="1"/>
  <c r="BX275" i="1"/>
  <c r="BU275" i="1"/>
  <c r="BT275" i="1"/>
  <c r="BS275" i="1"/>
  <c r="BO275" i="1"/>
  <c r="BN275" i="1"/>
  <c r="BM275" i="1"/>
  <c r="BJ275" i="1"/>
  <c r="BI275" i="1"/>
  <c r="BH275" i="1"/>
  <c r="BD275" i="1"/>
  <c r="BC275" i="1"/>
  <c r="BB275" i="1"/>
  <c r="AX275" i="1"/>
  <c r="AW275" i="1"/>
  <c r="AV275" i="1"/>
  <c r="AR275" i="1"/>
  <c r="AQ275" i="1"/>
  <c r="AP275" i="1"/>
  <c r="AJ275" i="1"/>
  <c r="AI275" i="1"/>
  <c r="AH275" i="1"/>
  <c r="AC275" i="1"/>
  <c r="AB275" i="1"/>
  <c r="AA275" i="1"/>
  <c r="U275" i="1"/>
  <c r="T275" i="1"/>
  <c r="S275" i="1"/>
  <c r="R275" i="1"/>
  <c r="Q275" i="1"/>
  <c r="P275" i="1"/>
  <c r="BZ274" i="1"/>
  <c r="BY274" i="1"/>
  <c r="BX274" i="1"/>
  <c r="BU274" i="1"/>
  <c r="BT274" i="1"/>
  <c r="BS274" i="1"/>
  <c r="BO274" i="1"/>
  <c r="BN274" i="1"/>
  <c r="BM274" i="1"/>
  <c r="BJ274" i="1"/>
  <c r="BI274" i="1"/>
  <c r="BH274" i="1"/>
  <c r="BD274" i="1"/>
  <c r="BC274" i="1"/>
  <c r="BB274" i="1"/>
  <c r="Y274" i="1" s="1"/>
  <c r="AX274" i="1"/>
  <c r="AW274" i="1"/>
  <c r="AV274" i="1"/>
  <c r="AR274" i="1"/>
  <c r="AQ274" i="1"/>
  <c r="AP274" i="1"/>
  <c r="AJ274" i="1"/>
  <c r="AI274" i="1"/>
  <c r="AH274" i="1"/>
  <c r="AC274" i="1"/>
  <c r="AB274" i="1"/>
  <c r="AA274" i="1"/>
  <c r="U274" i="1"/>
  <c r="T274" i="1"/>
  <c r="S274" i="1"/>
  <c r="R274" i="1"/>
  <c r="Q274" i="1"/>
  <c r="P274" i="1"/>
  <c r="BZ273" i="1"/>
  <c r="BY273" i="1"/>
  <c r="BX273" i="1"/>
  <c r="BU273" i="1"/>
  <c r="BT273" i="1"/>
  <c r="BS273" i="1"/>
  <c r="BO273" i="1"/>
  <c r="BN273" i="1"/>
  <c r="BM273" i="1"/>
  <c r="BJ273" i="1"/>
  <c r="BI273" i="1"/>
  <c r="BH273" i="1"/>
  <c r="BD273" i="1"/>
  <c r="BC273" i="1"/>
  <c r="BB273" i="1"/>
  <c r="AX273" i="1"/>
  <c r="AW273" i="1"/>
  <c r="AV273" i="1"/>
  <c r="AR273" i="1"/>
  <c r="AQ273" i="1"/>
  <c r="AP273" i="1"/>
  <c r="AJ273" i="1"/>
  <c r="AI273" i="1"/>
  <c r="AH273" i="1"/>
  <c r="AC273" i="1"/>
  <c r="AB273" i="1"/>
  <c r="AA273" i="1"/>
  <c r="U273" i="1"/>
  <c r="T273" i="1"/>
  <c r="S273" i="1"/>
  <c r="R273" i="1"/>
  <c r="Q273" i="1"/>
  <c r="P273" i="1"/>
  <c r="BZ272" i="1"/>
  <c r="BY272" i="1"/>
  <c r="BX272" i="1"/>
  <c r="BU272" i="1"/>
  <c r="BT272" i="1"/>
  <c r="BS272" i="1"/>
  <c r="BO272" i="1"/>
  <c r="BN272" i="1"/>
  <c r="BM272" i="1"/>
  <c r="BJ272" i="1"/>
  <c r="BI272" i="1"/>
  <c r="BH272" i="1"/>
  <c r="BD272" i="1"/>
  <c r="BC272" i="1"/>
  <c r="BB272" i="1"/>
  <c r="AX272" i="1"/>
  <c r="AW272" i="1"/>
  <c r="AV272" i="1"/>
  <c r="AR272" i="1"/>
  <c r="AQ272" i="1"/>
  <c r="AP272" i="1"/>
  <c r="AJ272" i="1"/>
  <c r="AI272" i="1"/>
  <c r="AH272" i="1"/>
  <c r="AC272" i="1"/>
  <c r="AB272" i="1"/>
  <c r="AA272" i="1"/>
  <c r="U272" i="1"/>
  <c r="T272" i="1"/>
  <c r="S272" i="1"/>
  <c r="R272" i="1"/>
  <c r="Q272" i="1"/>
  <c r="P272" i="1"/>
  <c r="BZ271" i="1"/>
  <c r="BY271" i="1"/>
  <c r="BX271" i="1"/>
  <c r="BU271" i="1"/>
  <c r="BT271" i="1"/>
  <c r="BS271" i="1"/>
  <c r="BO271" i="1"/>
  <c r="BN271" i="1"/>
  <c r="BM271" i="1"/>
  <c r="BJ271" i="1"/>
  <c r="BI271" i="1"/>
  <c r="BH271" i="1"/>
  <c r="BD271" i="1"/>
  <c r="BC271" i="1"/>
  <c r="BB271" i="1"/>
  <c r="AX271" i="1"/>
  <c r="AW271" i="1"/>
  <c r="AV271" i="1"/>
  <c r="AR271" i="1"/>
  <c r="AQ271" i="1"/>
  <c r="AP271" i="1"/>
  <c r="AJ271" i="1"/>
  <c r="AI271" i="1"/>
  <c r="AH271" i="1"/>
  <c r="AC271" i="1"/>
  <c r="AB271" i="1"/>
  <c r="AA271" i="1"/>
  <c r="U271" i="1"/>
  <c r="T271" i="1"/>
  <c r="S271" i="1"/>
  <c r="R271" i="1"/>
  <c r="Q271" i="1"/>
  <c r="P271" i="1"/>
  <c r="BZ269" i="1"/>
  <c r="BY269" i="1"/>
  <c r="BX269" i="1"/>
  <c r="BU269" i="1"/>
  <c r="BT269" i="1"/>
  <c r="BS269" i="1"/>
  <c r="BO269" i="1"/>
  <c r="BN269" i="1"/>
  <c r="BM269" i="1"/>
  <c r="BJ269" i="1"/>
  <c r="BI269" i="1"/>
  <c r="BH269" i="1"/>
  <c r="BD269" i="1"/>
  <c r="BC269" i="1"/>
  <c r="BB269" i="1"/>
  <c r="AX269" i="1"/>
  <c r="AW269" i="1"/>
  <c r="AV269" i="1"/>
  <c r="AR269" i="1"/>
  <c r="AQ269" i="1"/>
  <c r="AP269" i="1"/>
  <c r="AJ269" i="1"/>
  <c r="AI269" i="1"/>
  <c r="AH269" i="1"/>
  <c r="AC269" i="1"/>
  <c r="AB269" i="1"/>
  <c r="AA269" i="1"/>
  <c r="U269" i="1"/>
  <c r="T269" i="1"/>
  <c r="S269" i="1"/>
  <c r="R269" i="1"/>
  <c r="Q269" i="1"/>
  <c r="P269" i="1"/>
  <c r="BZ268" i="1"/>
  <c r="BY268" i="1"/>
  <c r="BX268" i="1"/>
  <c r="BU268" i="1"/>
  <c r="BT268" i="1"/>
  <c r="BS268" i="1"/>
  <c r="BO268" i="1"/>
  <c r="BN268" i="1"/>
  <c r="BM268" i="1"/>
  <c r="BJ268" i="1"/>
  <c r="BI268" i="1"/>
  <c r="BH268" i="1"/>
  <c r="BD268" i="1"/>
  <c r="BC268" i="1"/>
  <c r="BB268" i="1"/>
  <c r="AX268" i="1"/>
  <c r="AW268" i="1"/>
  <c r="AV268" i="1"/>
  <c r="AR268" i="1"/>
  <c r="AQ268" i="1"/>
  <c r="AP268" i="1"/>
  <c r="Y268" i="1" s="1"/>
  <c r="AJ268" i="1"/>
  <c r="AI268" i="1"/>
  <c r="AH268" i="1"/>
  <c r="AC268" i="1"/>
  <c r="AB268" i="1"/>
  <c r="AA268" i="1"/>
  <c r="U268" i="1"/>
  <c r="T268" i="1"/>
  <c r="S268" i="1"/>
  <c r="R268" i="1"/>
  <c r="Q268" i="1"/>
  <c r="P268" i="1"/>
  <c r="BZ267" i="1"/>
  <c r="BY267" i="1"/>
  <c r="BX267" i="1"/>
  <c r="BU267" i="1"/>
  <c r="BT267" i="1"/>
  <c r="BS267" i="1"/>
  <c r="BO267" i="1"/>
  <c r="BN267" i="1"/>
  <c r="BM267" i="1"/>
  <c r="BJ267" i="1"/>
  <c r="BI267" i="1"/>
  <c r="BH267" i="1"/>
  <c r="BD267" i="1"/>
  <c r="BC267" i="1"/>
  <c r="BB267" i="1"/>
  <c r="AX267" i="1"/>
  <c r="AW267" i="1"/>
  <c r="AV267" i="1"/>
  <c r="AR267" i="1"/>
  <c r="AQ267" i="1"/>
  <c r="AP267" i="1"/>
  <c r="AJ267" i="1"/>
  <c r="AI267" i="1"/>
  <c r="AH267" i="1"/>
  <c r="AC267" i="1"/>
  <c r="AB267" i="1"/>
  <c r="AA267" i="1"/>
  <c r="U267" i="1"/>
  <c r="T267" i="1"/>
  <c r="S267" i="1"/>
  <c r="R267" i="1"/>
  <c r="Q267" i="1"/>
  <c r="P267" i="1"/>
  <c r="BZ266" i="1"/>
  <c r="BY266" i="1"/>
  <c r="BX266" i="1"/>
  <c r="BU266" i="1"/>
  <c r="BT266" i="1"/>
  <c r="BS266" i="1"/>
  <c r="BO266" i="1"/>
  <c r="BN266" i="1"/>
  <c r="BM266" i="1"/>
  <c r="BJ266" i="1"/>
  <c r="BI266" i="1"/>
  <c r="BH266" i="1"/>
  <c r="BD266" i="1"/>
  <c r="BC266" i="1"/>
  <c r="BB266" i="1"/>
  <c r="AX266" i="1"/>
  <c r="AW266" i="1"/>
  <c r="AV266" i="1"/>
  <c r="AR266" i="1"/>
  <c r="AQ266" i="1"/>
  <c r="AP266" i="1"/>
  <c r="AJ266" i="1"/>
  <c r="AI266" i="1"/>
  <c r="AH266" i="1"/>
  <c r="AC266" i="1"/>
  <c r="AB266" i="1"/>
  <c r="AA266" i="1"/>
  <c r="U266" i="1"/>
  <c r="T266" i="1"/>
  <c r="S266" i="1"/>
  <c r="R266" i="1"/>
  <c r="Q266" i="1"/>
  <c r="P266" i="1"/>
  <c r="BZ265" i="1"/>
  <c r="BY265" i="1"/>
  <c r="BX265" i="1"/>
  <c r="BU265" i="1"/>
  <c r="BT265" i="1"/>
  <c r="BS265" i="1"/>
  <c r="BO265" i="1"/>
  <c r="BN265" i="1"/>
  <c r="BM265" i="1"/>
  <c r="BJ265" i="1"/>
  <c r="BI265" i="1"/>
  <c r="BH265" i="1"/>
  <c r="BD265" i="1"/>
  <c r="BC265" i="1"/>
  <c r="BB265" i="1"/>
  <c r="AX265" i="1"/>
  <c r="AW265" i="1"/>
  <c r="AV265" i="1"/>
  <c r="AR265" i="1"/>
  <c r="AQ265" i="1"/>
  <c r="AP265" i="1"/>
  <c r="AJ265" i="1"/>
  <c r="AI265" i="1"/>
  <c r="AH265" i="1"/>
  <c r="AC265" i="1"/>
  <c r="AB265" i="1"/>
  <c r="AA265" i="1"/>
  <c r="U265" i="1"/>
  <c r="T265" i="1"/>
  <c r="S265" i="1"/>
  <c r="R265" i="1"/>
  <c r="Q265" i="1"/>
  <c r="P265" i="1"/>
  <c r="BZ264" i="1"/>
  <c r="BY264" i="1"/>
  <c r="BX264" i="1"/>
  <c r="BU264" i="1"/>
  <c r="BT264" i="1"/>
  <c r="BS264" i="1"/>
  <c r="BO264" i="1"/>
  <c r="BN264" i="1"/>
  <c r="BM264" i="1"/>
  <c r="BJ264" i="1"/>
  <c r="BI264" i="1"/>
  <c r="BH264" i="1"/>
  <c r="BD264" i="1"/>
  <c r="BC264" i="1"/>
  <c r="BB264" i="1"/>
  <c r="AX264" i="1"/>
  <c r="AW264" i="1"/>
  <c r="AV264" i="1"/>
  <c r="AR264" i="1"/>
  <c r="AQ264" i="1"/>
  <c r="AP264" i="1"/>
  <c r="Y264" i="1" s="1"/>
  <c r="AJ264" i="1"/>
  <c r="AI264" i="1"/>
  <c r="AH264" i="1"/>
  <c r="AC264" i="1"/>
  <c r="AB264" i="1"/>
  <c r="AA264" i="1"/>
  <c r="U264" i="1"/>
  <c r="T264" i="1"/>
  <c r="S264" i="1"/>
  <c r="R264" i="1"/>
  <c r="Q264" i="1"/>
  <c r="P264" i="1"/>
  <c r="BZ263" i="1"/>
  <c r="BY263" i="1"/>
  <c r="BX263" i="1"/>
  <c r="BU263" i="1"/>
  <c r="BT263" i="1"/>
  <c r="BS263" i="1"/>
  <c r="BO263" i="1"/>
  <c r="BN263" i="1"/>
  <c r="BM263" i="1"/>
  <c r="BJ263" i="1"/>
  <c r="BI263" i="1"/>
  <c r="BH263" i="1"/>
  <c r="BD263" i="1"/>
  <c r="BC263" i="1"/>
  <c r="BB263" i="1"/>
  <c r="Y263" i="1" s="1"/>
  <c r="AX263" i="1"/>
  <c r="AW263" i="1"/>
  <c r="AV263" i="1"/>
  <c r="AR263" i="1"/>
  <c r="AQ263" i="1"/>
  <c r="AP263" i="1"/>
  <c r="AJ263" i="1"/>
  <c r="AI263" i="1"/>
  <c r="AH263" i="1"/>
  <c r="AC263" i="1"/>
  <c r="AB263" i="1"/>
  <c r="AA263" i="1"/>
  <c r="U263" i="1"/>
  <c r="T263" i="1"/>
  <c r="S263" i="1"/>
  <c r="R263" i="1"/>
  <c r="Q263" i="1"/>
  <c r="P263" i="1"/>
  <c r="BZ262" i="1"/>
  <c r="BY262" i="1"/>
  <c r="BX262" i="1"/>
  <c r="BU262" i="1"/>
  <c r="BT262" i="1"/>
  <c r="BS262" i="1"/>
  <c r="BO262" i="1"/>
  <c r="BN262" i="1"/>
  <c r="BM262" i="1"/>
  <c r="BJ262" i="1"/>
  <c r="BI262" i="1"/>
  <c r="BH262" i="1"/>
  <c r="BD262" i="1"/>
  <c r="BC262" i="1"/>
  <c r="BB262" i="1"/>
  <c r="AX262" i="1"/>
  <c r="AW262" i="1"/>
  <c r="AV262" i="1"/>
  <c r="AR262" i="1"/>
  <c r="AQ262" i="1"/>
  <c r="AP262" i="1"/>
  <c r="AJ262" i="1"/>
  <c r="AI262" i="1"/>
  <c r="AH262" i="1"/>
  <c r="AC262" i="1"/>
  <c r="AB262" i="1"/>
  <c r="AA262" i="1"/>
  <c r="U262" i="1"/>
  <c r="T262" i="1"/>
  <c r="S262" i="1"/>
  <c r="R262" i="1"/>
  <c r="Q262" i="1"/>
  <c r="P262" i="1"/>
  <c r="BZ261" i="1"/>
  <c r="BY261" i="1"/>
  <c r="BX261" i="1"/>
  <c r="BU261" i="1"/>
  <c r="BT261" i="1"/>
  <c r="BS261" i="1"/>
  <c r="BO261" i="1"/>
  <c r="BN261" i="1"/>
  <c r="BM261" i="1"/>
  <c r="BJ261" i="1"/>
  <c r="BI261" i="1"/>
  <c r="BH261" i="1"/>
  <c r="BD261" i="1"/>
  <c r="BC261" i="1"/>
  <c r="BB261" i="1"/>
  <c r="AX261" i="1"/>
  <c r="AW261" i="1"/>
  <c r="AV261" i="1"/>
  <c r="AR261" i="1"/>
  <c r="AQ261" i="1"/>
  <c r="AP261" i="1"/>
  <c r="AJ261" i="1"/>
  <c r="AI261" i="1"/>
  <c r="AH261" i="1"/>
  <c r="AC261" i="1"/>
  <c r="AB261" i="1"/>
  <c r="AA261" i="1"/>
  <c r="U261" i="1"/>
  <c r="T261" i="1"/>
  <c r="S261" i="1"/>
  <c r="R261" i="1"/>
  <c r="Q261" i="1"/>
  <c r="P261" i="1"/>
  <c r="BZ260" i="1"/>
  <c r="BY260" i="1"/>
  <c r="BX260" i="1"/>
  <c r="BU260" i="1"/>
  <c r="BT260" i="1"/>
  <c r="BS260" i="1"/>
  <c r="BO260" i="1"/>
  <c r="BN260" i="1"/>
  <c r="BM260" i="1"/>
  <c r="BJ260" i="1"/>
  <c r="BI260" i="1"/>
  <c r="BH260" i="1"/>
  <c r="BD260" i="1"/>
  <c r="BC260" i="1"/>
  <c r="BB260" i="1"/>
  <c r="AX260" i="1"/>
  <c r="AW260" i="1"/>
  <c r="AV260" i="1"/>
  <c r="AR260" i="1"/>
  <c r="AQ260" i="1"/>
  <c r="AP260" i="1"/>
  <c r="AJ260" i="1"/>
  <c r="AI260" i="1"/>
  <c r="AH260" i="1"/>
  <c r="AC260" i="1"/>
  <c r="AB260" i="1"/>
  <c r="AA260" i="1"/>
  <c r="U260" i="1"/>
  <c r="T260" i="1"/>
  <c r="S260" i="1"/>
  <c r="R260" i="1"/>
  <c r="Q260" i="1"/>
  <c r="P260" i="1"/>
  <c r="BZ259" i="1"/>
  <c r="BY259" i="1"/>
  <c r="BX259" i="1"/>
  <c r="BU259" i="1"/>
  <c r="BT259" i="1"/>
  <c r="BS259" i="1"/>
  <c r="BO259" i="1"/>
  <c r="BN259" i="1"/>
  <c r="BM259" i="1"/>
  <c r="BJ259" i="1"/>
  <c r="BI259" i="1"/>
  <c r="BH259" i="1"/>
  <c r="BD259" i="1"/>
  <c r="BC259" i="1"/>
  <c r="BB259" i="1"/>
  <c r="AX259" i="1"/>
  <c r="AW259" i="1"/>
  <c r="AV259" i="1"/>
  <c r="AR259" i="1"/>
  <c r="AQ259" i="1"/>
  <c r="AP259" i="1"/>
  <c r="AJ259" i="1"/>
  <c r="AI259" i="1"/>
  <c r="AH259" i="1"/>
  <c r="AC259" i="1"/>
  <c r="AB259" i="1"/>
  <c r="AA259" i="1"/>
  <c r="U259" i="1"/>
  <c r="T259" i="1"/>
  <c r="S259" i="1"/>
  <c r="R259" i="1"/>
  <c r="Q259" i="1"/>
  <c r="P259" i="1"/>
  <c r="BZ258" i="1"/>
  <c r="BY258" i="1"/>
  <c r="BX258" i="1"/>
  <c r="BU258" i="1"/>
  <c r="BT258" i="1"/>
  <c r="BS258" i="1"/>
  <c r="BO258" i="1"/>
  <c r="BN258" i="1"/>
  <c r="BM258" i="1"/>
  <c r="BJ258" i="1"/>
  <c r="BI258" i="1"/>
  <c r="BH258" i="1"/>
  <c r="BD258" i="1"/>
  <c r="BC258" i="1"/>
  <c r="BB258" i="1"/>
  <c r="AX258" i="1"/>
  <c r="AW258" i="1"/>
  <c r="AV258" i="1"/>
  <c r="AR258" i="1"/>
  <c r="AQ258" i="1"/>
  <c r="AP258" i="1"/>
  <c r="AJ258" i="1"/>
  <c r="AI258" i="1"/>
  <c r="AH258" i="1"/>
  <c r="AC258" i="1"/>
  <c r="AB258" i="1"/>
  <c r="AA258" i="1"/>
  <c r="U258" i="1"/>
  <c r="T258" i="1"/>
  <c r="S258" i="1"/>
  <c r="R258" i="1"/>
  <c r="Q258" i="1"/>
  <c r="P258" i="1"/>
  <c r="BZ257" i="1"/>
  <c r="BY257" i="1"/>
  <c r="BX257" i="1"/>
  <c r="BU257" i="1"/>
  <c r="BT257" i="1"/>
  <c r="BS257" i="1"/>
  <c r="BO257" i="1"/>
  <c r="BN257" i="1"/>
  <c r="BM257" i="1"/>
  <c r="BJ257" i="1"/>
  <c r="BI257" i="1"/>
  <c r="BH257" i="1"/>
  <c r="BD257" i="1"/>
  <c r="BC257" i="1"/>
  <c r="BB257" i="1"/>
  <c r="AX257" i="1"/>
  <c r="AW257" i="1"/>
  <c r="AV257" i="1"/>
  <c r="AR257" i="1"/>
  <c r="AQ257" i="1"/>
  <c r="AP257" i="1"/>
  <c r="AJ257" i="1"/>
  <c r="AI257" i="1"/>
  <c r="AH257" i="1"/>
  <c r="AC257" i="1"/>
  <c r="AB257" i="1"/>
  <c r="AA257" i="1"/>
  <c r="U257" i="1"/>
  <c r="T257" i="1"/>
  <c r="S257" i="1"/>
  <c r="R257" i="1"/>
  <c r="Q257" i="1"/>
  <c r="P257" i="1"/>
  <c r="BZ256" i="1"/>
  <c r="BY256" i="1"/>
  <c r="BX256" i="1"/>
  <c r="BU256" i="1"/>
  <c r="BT256" i="1"/>
  <c r="BS256" i="1"/>
  <c r="BO256" i="1"/>
  <c r="BN256" i="1"/>
  <c r="BM256" i="1"/>
  <c r="BJ256" i="1"/>
  <c r="BI256" i="1"/>
  <c r="BH256" i="1"/>
  <c r="BD256" i="1"/>
  <c r="BC256" i="1"/>
  <c r="BB256" i="1"/>
  <c r="AX256" i="1"/>
  <c r="AW256" i="1"/>
  <c r="AV256" i="1"/>
  <c r="AR256" i="1"/>
  <c r="AQ256" i="1"/>
  <c r="AP256" i="1"/>
  <c r="AJ256" i="1"/>
  <c r="AI256" i="1"/>
  <c r="AH256" i="1"/>
  <c r="AC256" i="1"/>
  <c r="AB256" i="1"/>
  <c r="AA256" i="1"/>
  <c r="U256" i="1"/>
  <c r="T256" i="1"/>
  <c r="S256" i="1"/>
  <c r="R256" i="1"/>
  <c r="Q256" i="1"/>
  <c r="P256" i="1"/>
  <c r="BZ255" i="1"/>
  <c r="BY255" i="1"/>
  <c r="BX255" i="1"/>
  <c r="BU255" i="1"/>
  <c r="BT255" i="1"/>
  <c r="BS255" i="1"/>
  <c r="BO255" i="1"/>
  <c r="BN255" i="1"/>
  <c r="BM255" i="1"/>
  <c r="BJ255" i="1"/>
  <c r="BI255" i="1"/>
  <c r="BH255" i="1"/>
  <c r="BD255" i="1"/>
  <c r="BC255" i="1"/>
  <c r="BB255" i="1"/>
  <c r="AX255" i="1"/>
  <c r="AW255" i="1"/>
  <c r="AV255" i="1"/>
  <c r="AR255" i="1"/>
  <c r="AQ255" i="1"/>
  <c r="AP255" i="1"/>
  <c r="AJ255" i="1"/>
  <c r="AI255" i="1"/>
  <c r="AH255" i="1"/>
  <c r="AC255" i="1"/>
  <c r="AB255" i="1"/>
  <c r="AA255" i="1"/>
  <c r="U255" i="1"/>
  <c r="T255" i="1"/>
  <c r="S255" i="1"/>
  <c r="R255" i="1"/>
  <c r="Q255" i="1"/>
  <c r="P255" i="1"/>
  <c r="BZ254" i="1"/>
  <c r="BY254" i="1"/>
  <c r="BX254" i="1"/>
  <c r="BU254" i="1"/>
  <c r="BT254" i="1"/>
  <c r="BS254" i="1"/>
  <c r="BO254" i="1"/>
  <c r="BN254" i="1"/>
  <c r="BM254" i="1"/>
  <c r="BJ254" i="1"/>
  <c r="BI254" i="1"/>
  <c r="BH254" i="1"/>
  <c r="BD254" i="1"/>
  <c r="BC254" i="1"/>
  <c r="BB254" i="1"/>
  <c r="AX254" i="1"/>
  <c r="AW254" i="1"/>
  <c r="AV254" i="1"/>
  <c r="AR254" i="1"/>
  <c r="AQ254" i="1"/>
  <c r="AP254" i="1"/>
  <c r="AJ254" i="1"/>
  <c r="AI254" i="1"/>
  <c r="AH254" i="1"/>
  <c r="AC254" i="1"/>
  <c r="AB254" i="1"/>
  <c r="AA254" i="1"/>
  <c r="U254" i="1"/>
  <c r="T254" i="1"/>
  <c r="S254" i="1"/>
  <c r="R254" i="1"/>
  <c r="Q254" i="1"/>
  <c r="P254" i="1"/>
  <c r="BZ253" i="1"/>
  <c r="BY253" i="1"/>
  <c r="BX253" i="1"/>
  <c r="BU253" i="1"/>
  <c r="BT253" i="1"/>
  <c r="BS253" i="1"/>
  <c r="BO253" i="1"/>
  <c r="BN253" i="1"/>
  <c r="BM253" i="1"/>
  <c r="BJ253" i="1"/>
  <c r="BI253" i="1"/>
  <c r="BH253" i="1"/>
  <c r="BD253" i="1"/>
  <c r="BC253" i="1"/>
  <c r="BB253" i="1"/>
  <c r="AX253" i="1"/>
  <c r="AW253" i="1"/>
  <c r="AV253" i="1"/>
  <c r="AR253" i="1"/>
  <c r="AQ253" i="1"/>
  <c r="AP253" i="1"/>
  <c r="AJ253" i="1"/>
  <c r="AI253" i="1"/>
  <c r="AH253" i="1"/>
  <c r="AC253" i="1"/>
  <c r="AB253" i="1"/>
  <c r="AA253" i="1"/>
  <c r="U253" i="1"/>
  <c r="T253" i="1"/>
  <c r="S253" i="1"/>
  <c r="R253" i="1"/>
  <c r="Q253" i="1"/>
  <c r="P253" i="1"/>
  <c r="BZ252" i="1"/>
  <c r="BY252" i="1"/>
  <c r="BX252" i="1"/>
  <c r="BU252" i="1"/>
  <c r="BT252" i="1"/>
  <c r="BS252" i="1"/>
  <c r="BO252" i="1"/>
  <c r="BN252" i="1"/>
  <c r="BM252" i="1"/>
  <c r="BJ252" i="1"/>
  <c r="BI252" i="1"/>
  <c r="BH252" i="1"/>
  <c r="BD252" i="1"/>
  <c r="BC252" i="1"/>
  <c r="BB252" i="1"/>
  <c r="AX252" i="1"/>
  <c r="AW252" i="1"/>
  <c r="AV252" i="1"/>
  <c r="AR252" i="1"/>
  <c r="AQ252" i="1"/>
  <c r="AP252" i="1"/>
  <c r="AJ252" i="1"/>
  <c r="AI252" i="1"/>
  <c r="AH252" i="1"/>
  <c r="AC252" i="1"/>
  <c r="AB252" i="1"/>
  <c r="AA252" i="1"/>
  <c r="U252" i="1"/>
  <c r="T252" i="1"/>
  <c r="S252" i="1"/>
  <c r="R252" i="1"/>
  <c r="Q252" i="1"/>
  <c r="P252" i="1"/>
  <c r="BZ251" i="1"/>
  <c r="BY251" i="1"/>
  <c r="BX251" i="1"/>
  <c r="BU251" i="1"/>
  <c r="BT251" i="1"/>
  <c r="BS251" i="1"/>
  <c r="BO251" i="1"/>
  <c r="BN251" i="1"/>
  <c r="BM251" i="1"/>
  <c r="BJ251" i="1"/>
  <c r="BI251" i="1"/>
  <c r="BH251" i="1"/>
  <c r="BD251" i="1"/>
  <c r="BC251" i="1"/>
  <c r="BB251" i="1"/>
  <c r="AX251" i="1"/>
  <c r="AW251" i="1"/>
  <c r="AV251" i="1"/>
  <c r="AR251" i="1"/>
  <c r="AQ251" i="1"/>
  <c r="AP251" i="1"/>
  <c r="AJ251" i="1"/>
  <c r="AI251" i="1"/>
  <c r="AH251" i="1"/>
  <c r="AC251" i="1"/>
  <c r="AB251" i="1"/>
  <c r="AA251" i="1"/>
  <c r="U251" i="1"/>
  <c r="T251" i="1"/>
  <c r="S251" i="1"/>
  <c r="R251" i="1"/>
  <c r="Q251" i="1"/>
  <c r="P251" i="1"/>
  <c r="BZ250" i="1"/>
  <c r="BY250" i="1"/>
  <c r="BX250" i="1"/>
  <c r="BU250" i="1"/>
  <c r="BT250" i="1"/>
  <c r="BS250" i="1"/>
  <c r="BO250" i="1"/>
  <c r="BN250" i="1"/>
  <c r="BM250" i="1"/>
  <c r="BJ250" i="1"/>
  <c r="BI250" i="1"/>
  <c r="BH250" i="1"/>
  <c r="BD250" i="1"/>
  <c r="BC250" i="1"/>
  <c r="BB250" i="1"/>
  <c r="AX250" i="1"/>
  <c r="AW250" i="1"/>
  <c r="AV250" i="1"/>
  <c r="AR250" i="1"/>
  <c r="AQ250" i="1"/>
  <c r="AP250" i="1"/>
  <c r="AJ250" i="1"/>
  <c r="AI250" i="1"/>
  <c r="AH250" i="1"/>
  <c r="AC250" i="1"/>
  <c r="AB250" i="1"/>
  <c r="AA250" i="1"/>
  <c r="U250" i="1"/>
  <c r="T250" i="1"/>
  <c r="S250" i="1"/>
  <c r="R250" i="1"/>
  <c r="Q250" i="1"/>
  <c r="P250" i="1"/>
  <c r="BZ249" i="1"/>
  <c r="BY249" i="1"/>
  <c r="BX249" i="1"/>
  <c r="BU249" i="1"/>
  <c r="BT249" i="1"/>
  <c r="BS249" i="1"/>
  <c r="BO249" i="1"/>
  <c r="BN249" i="1"/>
  <c r="BM249" i="1"/>
  <c r="BJ249" i="1"/>
  <c r="BI249" i="1"/>
  <c r="BH249" i="1"/>
  <c r="BD249" i="1"/>
  <c r="BC249" i="1"/>
  <c r="BB249" i="1"/>
  <c r="Y249" i="1" s="1"/>
  <c r="AX249" i="1"/>
  <c r="AW249" i="1"/>
  <c r="AV249" i="1"/>
  <c r="AR249" i="1"/>
  <c r="AQ249" i="1"/>
  <c r="AP249" i="1"/>
  <c r="AJ249" i="1"/>
  <c r="AI249" i="1"/>
  <c r="AH249" i="1"/>
  <c r="AC249" i="1"/>
  <c r="AB249" i="1"/>
  <c r="AA249" i="1"/>
  <c r="U249" i="1"/>
  <c r="T249" i="1"/>
  <c r="S249" i="1"/>
  <c r="R249" i="1"/>
  <c r="Q249" i="1"/>
  <c r="P249" i="1"/>
  <c r="BZ248" i="1"/>
  <c r="BY248" i="1"/>
  <c r="BX248" i="1"/>
  <c r="BU248" i="1"/>
  <c r="BT248" i="1"/>
  <c r="BS248" i="1"/>
  <c r="BO248" i="1"/>
  <c r="BN248" i="1"/>
  <c r="BM248" i="1"/>
  <c r="BJ248" i="1"/>
  <c r="BI248" i="1"/>
  <c r="BH248" i="1"/>
  <c r="Y248" i="1" s="1"/>
  <c r="BD248" i="1"/>
  <c r="BC248" i="1"/>
  <c r="BB248" i="1"/>
  <c r="AX248" i="1"/>
  <c r="AW248" i="1"/>
  <c r="AV248" i="1"/>
  <c r="AR248" i="1"/>
  <c r="AQ248" i="1"/>
  <c r="AP248" i="1"/>
  <c r="AJ248" i="1"/>
  <c r="AI248" i="1"/>
  <c r="AH248" i="1"/>
  <c r="AC248" i="1"/>
  <c r="AB248" i="1"/>
  <c r="AA248" i="1"/>
  <c r="U248" i="1"/>
  <c r="T248" i="1"/>
  <c r="S248" i="1"/>
  <c r="R248" i="1"/>
  <c r="Q248" i="1"/>
  <c r="P248" i="1"/>
  <c r="BZ247" i="1"/>
  <c r="BY247" i="1"/>
  <c r="BX247" i="1"/>
  <c r="BU247" i="1"/>
  <c r="BT247" i="1"/>
  <c r="BS247" i="1"/>
  <c r="BO247" i="1"/>
  <c r="BN247" i="1"/>
  <c r="BM247" i="1"/>
  <c r="BJ247" i="1"/>
  <c r="BI247" i="1"/>
  <c r="BH247" i="1"/>
  <c r="BD247" i="1"/>
  <c r="BC247" i="1"/>
  <c r="BB247" i="1"/>
  <c r="AX247" i="1"/>
  <c r="AW247" i="1"/>
  <c r="AV247" i="1"/>
  <c r="AR247" i="1"/>
  <c r="AQ247" i="1"/>
  <c r="AP247" i="1"/>
  <c r="AJ247" i="1"/>
  <c r="AI247" i="1"/>
  <c r="AH247" i="1"/>
  <c r="AC247" i="1"/>
  <c r="AB247" i="1"/>
  <c r="AA247" i="1"/>
  <c r="U247" i="1"/>
  <c r="T247" i="1"/>
  <c r="S247" i="1"/>
  <c r="R247" i="1"/>
  <c r="Q247" i="1"/>
  <c r="P247" i="1"/>
  <c r="BZ246" i="1"/>
  <c r="BY246" i="1"/>
  <c r="BX246" i="1"/>
  <c r="BU246" i="1"/>
  <c r="BT246" i="1"/>
  <c r="BS246" i="1"/>
  <c r="BO246" i="1"/>
  <c r="BN246" i="1"/>
  <c r="BM246" i="1"/>
  <c r="BJ246" i="1"/>
  <c r="BI246" i="1"/>
  <c r="BH246" i="1"/>
  <c r="BD246" i="1"/>
  <c r="BC246" i="1"/>
  <c r="BB246" i="1"/>
  <c r="AX246" i="1"/>
  <c r="AW246" i="1"/>
  <c r="AV246" i="1"/>
  <c r="AR246" i="1"/>
  <c r="AQ246" i="1"/>
  <c r="AP246" i="1"/>
  <c r="AJ246" i="1"/>
  <c r="AI246" i="1"/>
  <c r="AH246" i="1"/>
  <c r="AC246" i="1"/>
  <c r="AB246" i="1"/>
  <c r="AA246" i="1"/>
  <c r="U246" i="1"/>
  <c r="T246" i="1"/>
  <c r="S246" i="1"/>
  <c r="R246" i="1"/>
  <c r="Q246" i="1"/>
  <c r="P246" i="1"/>
  <c r="BZ245" i="1"/>
  <c r="BY245" i="1"/>
  <c r="BX245" i="1"/>
  <c r="BU245" i="1"/>
  <c r="BT245" i="1"/>
  <c r="BS245" i="1"/>
  <c r="BO245" i="1"/>
  <c r="BN245" i="1"/>
  <c r="BM245" i="1"/>
  <c r="BJ245" i="1"/>
  <c r="BI245" i="1"/>
  <c r="BH245" i="1"/>
  <c r="BD245" i="1"/>
  <c r="BC245" i="1"/>
  <c r="BB245" i="1"/>
  <c r="AX245" i="1"/>
  <c r="AW245" i="1"/>
  <c r="AV245" i="1"/>
  <c r="AR245" i="1"/>
  <c r="AQ245" i="1"/>
  <c r="AP245" i="1"/>
  <c r="AJ245" i="1"/>
  <c r="AI245" i="1"/>
  <c r="AH245" i="1"/>
  <c r="AC245" i="1"/>
  <c r="AB245" i="1"/>
  <c r="AA245" i="1"/>
  <c r="U245" i="1"/>
  <c r="T245" i="1"/>
  <c r="S245" i="1"/>
  <c r="R245" i="1"/>
  <c r="Q245" i="1"/>
  <c r="P245" i="1"/>
  <c r="BZ244" i="1"/>
  <c r="BY244" i="1"/>
  <c r="BX244" i="1"/>
  <c r="BU244" i="1"/>
  <c r="BT244" i="1"/>
  <c r="BS244" i="1"/>
  <c r="BO244" i="1"/>
  <c r="BN244" i="1"/>
  <c r="BM244" i="1"/>
  <c r="BJ244" i="1"/>
  <c r="BI244" i="1"/>
  <c r="BH244" i="1"/>
  <c r="BD244" i="1"/>
  <c r="BC244" i="1"/>
  <c r="BB244" i="1"/>
  <c r="AX244" i="1"/>
  <c r="AW244" i="1"/>
  <c r="AV244" i="1"/>
  <c r="AR244" i="1"/>
  <c r="AQ244" i="1"/>
  <c r="AP244" i="1"/>
  <c r="AJ244" i="1"/>
  <c r="AI244" i="1"/>
  <c r="AH244" i="1"/>
  <c r="AC244" i="1"/>
  <c r="AB244" i="1"/>
  <c r="AA244" i="1"/>
  <c r="U244" i="1"/>
  <c r="T244" i="1"/>
  <c r="S244" i="1"/>
  <c r="R244" i="1"/>
  <c r="Q244" i="1"/>
  <c r="P244" i="1"/>
  <c r="BZ243" i="1"/>
  <c r="BY243" i="1"/>
  <c r="BX243" i="1"/>
  <c r="BU243" i="1"/>
  <c r="BT243" i="1"/>
  <c r="BS243" i="1"/>
  <c r="BO243" i="1"/>
  <c r="BN243" i="1"/>
  <c r="BM243" i="1"/>
  <c r="BJ243" i="1"/>
  <c r="BI243" i="1"/>
  <c r="BH243" i="1"/>
  <c r="BD243" i="1"/>
  <c r="BC243" i="1"/>
  <c r="BB243" i="1"/>
  <c r="AX243" i="1"/>
  <c r="AW243" i="1"/>
  <c r="AV243" i="1"/>
  <c r="AR243" i="1"/>
  <c r="AQ243" i="1"/>
  <c r="AP243" i="1"/>
  <c r="AJ243" i="1"/>
  <c r="AI243" i="1"/>
  <c r="AH243" i="1"/>
  <c r="AC243" i="1"/>
  <c r="AB243" i="1"/>
  <c r="AA243" i="1"/>
  <c r="U243" i="1"/>
  <c r="T243" i="1"/>
  <c r="S243" i="1"/>
  <c r="R243" i="1"/>
  <c r="Q243" i="1"/>
  <c r="P243" i="1"/>
  <c r="BZ242" i="1"/>
  <c r="BY242" i="1"/>
  <c r="BX242" i="1"/>
  <c r="BU242" i="1"/>
  <c r="BT242" i="1"/>
  <c r="BS242" i="1"/>
  <c r="BO242" i="1"/>
  <c r="BN242" i="1"/>
  <c r="BM242" i="1"/>
  <c r="BJ242" i="1"/>
  <c r="BI242" i="1"/>
  <c r="BH242" i="1"/>
  <c r="BD242" i="1"/>
  <c r="BC242" i="1"/>
  <c r="BB242" i="1"/>
  <c r="AX242" i="1"/>
  <c r="AW242" i="1"/>
  <c r="AV242" i="1"/>
  <c r="AR242" i="1"/>
  <c r="AQ242" i="1"/>
  <c r="AP242" i="1"/>
  <c r="AJ242" i="1"/>
  <c r="AI242" i="1"/>
  <c r="AH242" i="1"/>
  <c r="AC242" i="1"/>
  <c r="AB242" i="1"/>
  <c r="AA242" i="1"/>
  <c r="U242" i="1"/>
  <c r="T242" i="1"/>
  <c r="S242" i="1"/>
  <c r="R242" i="1"/>
  <c r="Q242" i="1"/>
  <c r="P242" i="1"/>
  <c r="BZ241" i="1"/>
  <c r="BY241" i="1"/>
  <c r="BX241" i="1"/>
  <c r="BU241" i="1"/>
  <c r="BT241" i="1"/>
  <c r="BS241" i="1"/>
  <c r="BO241" i="1"/>
  <c r="BN241" i="1"/>
  <c r="BM241" i="1"/>
  <c r="BJ241" i="1"/>
  <c r="BI241" i="1"/>
  <c r="BH241" i="1"/>
  <c r="BD241" i="1"/>
  <c r="BC241" i="1"/>
  <c r="BB241" i="1"/>
  <c r="AX241" i="1"/>
  <c r="AW241" i="1"/>
  <c r="AV241" i="1"/>
  <c r="AR241" i="1"/>
  <c r="AQ241" i="1"/>
  <c r="AP241" i="1"/>
  <c r="AJ241" i="1"/>
  <c r="AI241" i="1"/>
  <c r="AH241" i="1"/>
  <c r="AC241" i="1"/>
  <c r="AB241" i="1"/>
  <c r="AA241" i="1"/>
  <c r="U241" i="1"/>
  <c r="T241" i="1"/>
  <c r="S241" i="1"/>
  <c r="R241" i="1"/>
  <c r="Q241" i="1"/>
  <c r="P241" i="1"/>
  <c r="BZ240" i="1"/>
  <c r="BY240" i="1"/>
  <c r="BX240" i="1"/>
  <c r="BU240" i="1"/>
  <c r="BT240" i="1"/>
  <c r="BS240" i="1"/>
  <c r="BO240" i="1"/>
  <c r="BN240" i="1"/>
  <c r="BM240" i="1"/>
  <c r="BJ240" i="1"/>
  <c r="BI240" i="1"/>
  <c r="BH240" i="1"/>
  <c r="BD240" i="1"/>
  <c r="BC240" i="1"/>
  <c r="BB240" i="1"/>
  <c r="AX240" i="1"/>
  <c r="AW240" i="1"/>
  <c r="AV240" i="1"/>
  <c r="AR240" i="1"/>
  <c r="AQ240" i="1"/>
  <c r="AP240" i="1"/>
  <c r="Y240" i="1" s="1"/>
  <c r="AJ240" i="1"/>
  <c r="AI240" i="1"/>
  <c r="AH240" i="1"/>
  <c r="AC240" i="1"/>
  <c r="AB240" i="1"/>
  <c r="AA240" i="1"/>
  <c r="U240" i="1"/>
  <c r="T240" i="1"/>
  <c r="S240" i="1"/>
  <c r="R240" i="1"/>
  <c r="Q240" i="1"/>
  <c r="P240" i="1"/>
  <c r="BZ239" i="1"/>
  <c r="BY239" i="1"/>
  <c r="BX239" i="1"/>
  <c r="BU239" i="1"/>
  <c r="BT239" i="1"/>
  <c r="BS239" i="1"/>
  <c r="BO239" i="1"/>
  <c r="BN239" i="1"/>
  <c r="BM239" i="1"/>
  <c r="BJ239" i="1"/>
  <c r="BI239" i="1"/>
  <c r="BH239" i="1"/>
  <c r="BD239" i="1"/>
  <c r="BC239" i="1"/>
  <c r="BB239" i="1"/>
  <c r="AX239" i="1"/>
  <c r="AW239" i="1"/>
  <c r="AV239" i="1"/>
  <c r="AR239" i="1"/>
  <c r="AQ239" i="1"/>
  <c r="AP239" i="1"/>
  <c r="AJ239" i="1"/>
  <c r="AI239" i="1"/>
  <c r="AH239" i="1"/>
  <c r="AC239" i="1"/>
  <c r="AB239" i="1"/>
  <c r="AA239" i="1"/>
  <c r="Y239" i="1"/>
  <c r="U239" i="1"/>
  <c r="T239" i="1"/>
  <c r="S239" i="1"/>
  <c r="R239" i="1"/>
  <c r="Q239" i="1"/>
  <c r="P239" i="1"/>
  <c r="BZ238" i="1"/>
  <c r="BY238" i="1"/>
  <c r="BX238" i="1"/>
  <c r="BU238" i="1"/>
  <c r="BT238" i="1"/>
  <c r="BS238" i="1"/>
  <c r="BO238" i="1"/>
  <c r="BN238" i="1"/>
  <c r="BM238" i="1"/>
  <c r="BJ238" i="1"/>
  <c r="BI238" i="1"/>
  <c r="BH238" i="1"/>
  <c r="BD238" i="1"/>
  <c r="BC238" i="1"/>
  <c r="BB238" i="1"/>
  <c r="AX238" i="1"/>
  <c r="AW238" i="1"/>
  <c r="AV238" i="1"/>
  <c r="AR238" i="1"/>
  <c r="AQ238" i="1"/>
  <c r="AP238" i="1"/>
  <c r="Y238" i="1" s="1"/>
  <c r="AJ238" i="1"/>
  <c r="AI238" i="1"/>
  <c r="AH238" i="1"/>
  <c r="AC238" i="1"/>
  <c r="AB238" i="1"/>
  <c r="AA238" i="1"/>
  <c r="U238" i="1"/>
  <c r="T238" i="1"/>
  <c r="S238" i="1"/>
  <c r="R238" i="1"/>
  <c r="Q238" i="1"/>
  <c r="P238" i="1"/>
  <c r="BZ237" i="1"/>
  <c r="BY237" i="1"/>
  <c r="BX237" i="1"/>
  <c r="BU237" i="1"/>
  <c r="BT237" i="1"/>
  <c r="BS237" i="1"/>
  <c r="BO237" i="1"/>
  <c r="BN237" i="1"/>
  <c r="BM237" i="1"/>
  <c r="BJ237" i="1"/>
  <c r="BI237" i="1"/>
  <c r="BH237" i="1"/>
  <c r="BD237" i="1"/>
  <c r="BC237" i="1"/>
  <c r="BB237" i="1"/>
  <c r="AX237" i="1"/>
  <c r="AW237" i="1"/>
  <c r="AV237" i="1"/>
  <c r="AR237" i="1"/>
  <c r="AQ237" i="1"/>
  <c r="AP237" i="1"/>
  <c r="AJ237" i="1"/>
  <c r="AI237" i="1"/>
  <c r="AH237" i="1"/>
  <c r="AC237" i="1"/>
  <c r="AB237" i="1"/>
  <c r="AA237" i="1"/>
  <c r="U237" i="1"/>
  <c r="T237" i="1"/>
  <c r="S237" i="1"/>
  <c r="R237" i="1"/>
  <c r="Q237" i="1"/>
  <c r="P237" i="1"/>
  <c r="BZ236" i="1"/>
  <c r="BY236" i="1"/>
  <c r="BX236" i="1"/>
  <c r="BU236" i="1"/>
  <c r="BT236" i="1"/>
  <c r="BS236" i="1"/>
  <c r="BO236" i="1"/>
  <c r="BN236" i="1"/>
  <c r="BM236" i="1"/>
  <c r="BJ236" i="1"/>
  <c r="BI236" i="1"/>
  <c r="BH236" i="1"/>
  <c r="BD236" i="1"/>
  <c r="BC236" i="1"/>
  <c r="BB236" i="1"/>
  <c r="AX236" i="1"/>
  <c r="AW236" i="1"/>
  <c r="AV236" i="1"/>
  <c r="AR236" i="1"/>
  <c r="AQ236" i="1"/>
  <c r="AP236" i="1"/>
  <c r="AJ236" i="1"/>
  <c r="AI236" i="1"/>
  <c r="AH236" i="1"/>
  <c r="AC236" i="1"/>
  <c r="AB236" i="1"/>
  <c r="AA236" i="1"/>
  <c r="U236" i="1"/>
  <c r="T236" i="1"/>
  <c r="S236" i="1"/>
  <c r="R236" i="1"/>
  <c r="Q236" i="1"/>
  <c r="P236" i="1"/>
  <c r="BZ235" i="1"/>
  <c r="BY235" i="1"/>
  <c r="BX235" i="1"/>
  <c r="BU235" i="1"/>
  <c r="BT235" i="1"/>
  <c r="BS235" i="1"/>
  <c r="BO235" i="1"/>
  <c r="BN235" i="1"/>
  <c r="BM235" i="1"/>
  <c r="BJ235" i="1"/>
  <c r="BI235" i="1"/>
  <c r="BH235" i="1"/>
  <c r="BD235" i="1"/>
  <c r="BC235" i="1"/>
  <c r="BB235" i="1"/>
  <c r="AX235" i="1"/>
  <c r="AW235" i="1"/>
  <c r="AV235" i="1"/>
  <c r="AR235" i="1"/>
  <c r="AQ235" i="1"/>
  <c r="AP235" i="1"/>
  <c r="Y235" i="1" s="1"/>
  <c r="AJ235" i="1"/>
  <c r="AI235" i="1"/>
  <c r="AH235" i="1"/>
  <c r="AC235" i="1"/>
  <c r="AB235" i="1"/>
  <c r="AA235" i="1"/>
  <c r="U235" i="1"/>
  <c r="T235" i="1"/>
  <c r="S235" i="1"/>
  <c r="R235" i="1"/>
  <c r="Q235" i="1"/>
  <c r="P235" i="1"/>
  <c r="BZ234" i="1"/>
  <c r="BY234" i="1"/>
  <c r="BX234" i="1"/>
  <c r="BU234" i="1"/>
  <c r="BT234" i="1"/>
  <c r="BS234" i="1"/>
  <c r="BO234" i="1"/>
  <c r="BN234" i="1"/>
  <c r="BM234" i="1"/>
  <c r="BJ234" i="1"/>
  <c r="BI234" i="1"/>
  <c r="BH234" i="1"/>
  <c r="Y234" i="1" s="1"/>
  <c r="BD234" i="1"/>
  <c r="BC234" i="1"/>
  <c r="BB234" i="1"/>
  <c r="AX234" i="1"/>
  <c r="AW234" i="1"/>
  <c r="AV234" i="1"/>
  <c r="AR234" i="1"/>
  <c r="AQ234" i="1"/>
  <c r="AP234" i="1"/>
  <c r="AJ234" i="1"/>
  <c r="AI234" i="1"/>
  <c r="AH234" i="1"/>
  <c r="AC234" i="1"/>
  <c r="AB234" i="1"/>
  <c r="AA234" i="1"/>
  <c r="U234" i="1"/>
  <c r="T234" i="1"/>
  <c r="S234" i="1"/>
  <c r="R234" i="1"/>
  <c r="Q234" i="1"/>
  <c r="P234" i="1"/>
  <c r="BZ233" i="1"/>
  <c r="BY233" i="1"/>
  <c r="BX233" i="1"/>
  <c r="BU233" i="1"/>
  <c r="BT233" i="1"/>
  <c r="BS233" i="1"/>
  <c r="BO233" i="1"/>
  <c r="BN233" i="1"/>
  <c r="BM233" i="1"/>
  <c r="Y233" i="1" s="1"/>
  <c r="BJ233" i="1"/>
  <c r="BI233" i="1"/>
  <c r="BH233" i="1"/>
  <c r="BD233" i="1"/>
  <c r="BC233" i="1"/>
  <c r="BB233" i="1"/>
  <c r="AX233" i="1"/>
  <c r="AW233" i="1"/>
  <c r="AV233" i="1"/>
  <c r="AR233" i="1"/>
  <c r="AQ233" i="1"/>
  <c r="AP233" i="1"/>
  <c r="AJ233" i="1"/>
  <c r="AI233" i="1"/>
  <c r="AH233" i="1"/>
  <c r="AC233" i="1"/>
  <c r="AB233" i="1"/>
  <c r="AA233" i="1"/>
  <c r="U233" i="1"/>
  <c r="T233" i="1"/>
  <c r="S233" i="1"/>
  <c r="R233" i="1"/>
  <c r="Q233" i="1"/>
  <c r="P233" i="1"/>
  <c r="BZ232" i="1"/>
  <c r="BY232" i="1"/>
  <c r="BX232" i="1"/>
  <c r="BU232" i="1"/>
  <c r="BT232" i="1"/>
  <c r="BS232" i="1"/>
  <c r="BO232" i="1"/>
  <c r="BN232" i="1"/>
  <c r="BM232" i="1"/>
  <c r="BJ232" i="1"/>
  <c r="BI232" i="1"/>
  <c r="BH232" i="1"/>
  <c r="BD232" i="1"/>
  <c r="BC232" i="1"/>
  <c r="BB232" i="1"/>
  <c r="AX232" i="1"/>
  <c r="AW232" i="1"/>
  <c r="AV232" i="1"/>
  <c r="AR232" i="1"/>
  <c r="AQ232" i="1"/>
  <c r="AP232" i="1"/>
  <c r="AJ232" i="1"/>
  <c r="AI232" i="1"/>
  <c r="AH232" i="1"/>
  <c r="AC232" i="1"/>
  <c r="AB232" i="1"/>
  <c r="AA232" i="1"/>
  <c r="U232" i="1"/>
  <c r="T232" i="1"/>
  <c r="S232" i="1"/>
  <c r="R232" i="1"/>
  <c r="Q232" i="1"/>
  <c r="P232" i="1"/>
  <c r="BZ231" i="1"/>
  <c r="BY231" i="1"/>
  <c r="BX231" i="1"/>
  <c r="BU231" i="1"/>
  <c r="BT231" i="1"/>
  <c r="BS231" i="1"/>
  <c r="BO231" i="1"/>
  <c r="BN231" i="1"/>
  <c r="BM231" i="1"/>
  <c r="BJ231" i="1"/>
  <c r="BI231" i="1"/>
  <c r="BH231" i="1"/>
  <c r="BD231" i="1"/>
  <c r="BC231" i="1"/>
  <c r="BB231" i="1"/>
  <c r="AX231" i="1"/>
  <c r="AW231" i="1"/>
  <c r="AV231" i="1"/>
  <c r="AR231" i="1"/>
  <c r="AQ231" i="1"/>
  <c r="AP231" i="1"/>
  <c r="Y231" i="1" s="1"/>
  <c r="AJ231" i="1"/>
  <c r="AI231" i="1"/>
  <c r="AH231" i="1"/>
  <c r="AC231" i="1"/>
  <c r="AB231" i="1"/>
  <c r="AA231" i="1"/>
  <c r="U231" i="1"/>
  <c r="T231" i="1"/>
  <c r="S231" i="1"/>
  <c r="R231" i="1"/>
  <c r="Q231" i="1"/>
  <c r="P231" i="1"/>
  <c r="BZ230" i="1"/>
  <c r="BY230" i="1"/>
  <c r="BX230" i="1"/>
  <c r="BU230" i="1"/>
  <c r="BT230" i="1"/>
  <c r="BS230" i="1"/>
  <c r="BO230" i="1"/>
  <c r="BN230" i="1"/>
  <c r="BM230" i="1"/>
  <c r="BJ230" i="1"/>
  <c r="BI230" i="1"/>
  <c r="BH230" i="1"/>
  <c r="BD230" i="1"/>
  <c r="BC230" i="1"/>
  <c r="BB230" i="1"/>
  <c r="AX230" i="1"/>
  <c r="AW230" i="1"/>
  <c r="AV230" i="1"/>
  <c r="AR230" i="1"/>
  <c r="AQ230" i="1"/>
  <c r="AP230" i="1"/>
  <c r="AJ230" i="1"/>
  <c r="AI230" i="1"/>
  <c r="AH230" i="1"/>
  <c r="AC230" i="1"/>
  <c r="AB230" i="1"/>
  <c r="AA230" i="1"/>
  <c r="U230" i="1"/>
  <c r="T230" i="1"/>
  <c r="S230" i="1"/>
  <c r="R230" i="1"/>
  <c r="Q230" i="1"/>
  <c r="P230" i="1"/>
  <c r="BZ229" i="1"/>
  <c r="BY229" i="1"/>
  <c r="BX229" i="1"/>
  <c r="BU229" i="1"/>
  <c r="BT229" i="1"/>
  <c r="BS229" i="1"/>
  <c r="BO229" i="1"/>
  <c r="BN229" i="1"/>
  <c r="BM229" i="1"/>
  <c r="BJ229" i="1"/>
  <c r="BI229" i="1"/>
  <c r="BH229" i="1"/>
  <c r="BD229" i="1"/>
  <c r="BC229" i="1"/>
  <c r="BB229" i="1"/>
  <c r="AX229" i="1"/>
  <c r="AW229" i="1"/>
  <c r="AV229" i="1"/>
  <c r="AR229" i="1"/>
  <c r="AQ229" i="1"/>
  <c r="AP229" i="1"/>
  <c r="AJ229" i="1"/>
  <c r="AI229" i="1"/>
  <c r="AH229" i="1"/>
  <c r="AC229" i="1"/>
  <c r="AB229" i="1"/>
  <c r="AA229" i="1"/>
  <c r="U229" i="1"/>
  <c r="T229" i="1"/>
  <c r="S229" i="1"/>
  <c r="R229" i="1"/>
  <c r="Q229" i="1"/>
  <c r="P229" i="1"/>
  <c r="BZ228" i="1"/>
  <c r="BY228" i="1"/>
  <c r="BX228" i="1"/>
  <c r="BU228" i="1"/>
  <c r="BT228" i="1"/>
  <c r="BS228" i="1"/>
  <c r="BO228" i="1"/>
  <c r="BN228" i="1"/>
  <c r="BM228" i="1"/>
  <c r="BJ228" i="1"/>
  <c r="BI228" i="1"/>
  <c r="BH228" i="1"/>
  <c r="BD228" i="1"/>
  <c r="BC228" i="1"/>
  <c r="BB228" i="1"/>
  <c r="AX228" i="1"/>
  <c r="AW228" i="1"/>
  <c r="AV228" i="1"/>
  <c r="AR228" i="1"/>
  <c r="AQ228" i="1"/>
  <c r="AP228" i="1"/>
  <c r="AJ228" i="1"/>
  <c r="AI228" i="1"/>
  <c r="AH228" i="1"/>
  <c r="AC228" i="1"/>
  <c r="AB228" i="1"/>
  <c r="AA228" i="1"/>
  <c r="U228" i="1"/>
  <c r="T228" i="1"/>
  <c r="S228" i="1"/>
  <c r="R228" i="1"/>
  <c r="Q228" i="1"/>
  <c r="P228" i="1"/>
  <c r="BZ227" i="1"/>
  <c r="BY227" i="1"/>
  <c r="BX227" i="1"/>
  <c r="BU227" i="1"/>
  <c r="BT227" i="1"/>
  <c r="BS227" i="1"/>
  <c r="BO227" i="1"/>
  <c r="BN227" i="1"/>
  <c r="BM227" i="1"/>
  <c r="BJ227" i="1"/>
  <c r="BI227" i="1"/>
  <c r="BH227" i="1"/>
  <c r="BD227" i="1"/>
  <c r="BC227" i="1"/>
  <c r="BB227" i="1"/>
  <c r="AX227" i="1"/>
  <c r="AW227" i="1"/>
  <c r="AV227" i="1"/>
  <c r="AR227" i="1"/>
  <c r="AQ227" i="1"/>
  <c r="AP227" i="1"/>
  <c r="AJ227" i="1"/>
  <c r="AI227" i="1"/>
  <c r="AH227" i="1"/>
  <c r="AC227" i="1"/>
  <c r="AB227" i="1"/>
  <c r="AA227" i="1"/>
  <c r="U227" i="1"/>
  <c r="T227" i="1"/>
  <c r="S227" i="1"/>
  <c r="R227" i="1"/>
  <c r="Q227" i="1"/>
  <c r="P227" i="1"/>
  <c r="BZ226" i="1"/>
  <c r="BY226" i="1"/>
  <c r="BX226" i="1"/>
  <c r="BU226" i="1"/>
  <c r="BT226" i="1"/>
  <c r="BS226" i="1"/>
  <c r="BO226" i="1"/>
  <c r="BN226" i="1"/>
  <c r="BM226" i="1"/>
  <c r="BJ226" i="1"/>
  <c r="BI226" i="1"/>
  <c r="BH226" i="1"/>
  <c r="BD226" i="1"/>
  <c r="BC226" i="1"/>
  <c r="BB226" i="1"/>
  <c r="AX226" i="1"/>
  <c r="AW226" i="1"/>
  <c r="AV226" i="1"/>
  <c r="AR226" i="1"/>
  <c r="AQ226" i="1"/>
  <c r="AP226" i="1"/>
  <c r="AJ226" i="1"/>
  <c r="AI226" i="1"/>
  <c r="AH226" i="1"/>
  <c r="AC226" i="1"/>
  <c r="AB226" i="1"/>
  <c r="AA226" i="1"/>
  <c r="U226" i="1"/>
  <c r="T226" i="1"/>
  <c r="S226" i="1"/>
  <c r="R226" i="1"/>
  <c r="Q226" i="1"/>
  <c r="P226" i="1"/>
  <c r="BZ225" i="1"/>
  <c r="BY225" i="1"/>
  <c r="BX225" i="1"/>
  <c r="BU225" i="1"/>
  <c r="BT225" i="1"/>
  <c r="BS225" i="1"/>
  <c r="BO225" i="1"/>
  <c r="BN225" i="1"/>
  <c r="BM225" i="1"/>
  <c r="BJ225" i="1"/>
  <c r="BI225" i="1"/>
  <c r="BH225" i="1"/>
  <c r="BD225" i="1"/>
  <c r="BC225" i="1"/>
  <c r="BB225" i="1"/>
  <c r="AX225" i="1"/>
  <c r="AW225" i="1"/>
  <c r="AV225" i="1"/>
  <c r="AR225" i="1"/>
  <c r="AQ225" i="1"/>
  <c r="AP225" i="1"/>
  <c r="AJ225" i="1"/>
  <c r="AI225" i="1"/>
  <c r="AH225" i="1"/>
  <c r="AC225" i="1"/>
  <c r="AB225" i="1"/>
  <c r="AA225" i="1"/>
  <c r="U225" i="1"/>
  <c r="T225" i="1"/>
  <c r="S225" i="1"/>
  <c r="R225" i="1"/>
  <c r="Q225" i="1"/>
  <c r="P225" i="1"/>
  <c r="BZ224" i="1"/>
  <c r="BY224" i="1"/>
  <c r="BX224" i="1"/>
  <c r="BU224" i="1"/>
  <c r="BT224" i="1"/>
  <c r="BS224" i="1"/>
  <c r="BO224" i="1"/>
  <c r="BN224" i="1"/>
  <c r="BM224" i="1"/>
  <c r="BJ224" i="1"/>
  <c r="BI224" i="1"/>
  <c r="BH224" i="1"/>
  <c r="BD224" i="1"/>
  <c r="BC224" i="1"/>
  <c r="BB224" i="1"/>
  <c r="AX224" i="1"/>
  <c r="AW224" i="1"/>
  <c r="AV224" i="1"/>
  <c r="AR224" i="1"/>
  <c r="AQ224" i="1"/>
  <c r="AP224" i="1"/>
  <c r="AJ224" i="1"/>
  <c r="AI224" i="1"/>
  <c r="AH224" i="1"/>
  <c r="AC224" i="1"/>
  <c r="AB224" i="1"/>
  <c r="AA224" i="1"/>
  <c r="U224" i="1"/>
  <c r="T224" i="1"/>
  <c r="S224" i="1"/>
  <c r="R224" i="1"/>
  <c r="Q224" i="1"/>
  <c r="P224" i="1"/>
  <c r="BZ223" i="1"/>
  <c r="BY223" i="1"/>
  <c r="BX223" i="1"/>
  <c r="BU223" i="1"/>
  <c r="BT223" i="1"/>
  <c r="BS223" i="1"/>
  <c r="BO223" i="1"/>
  <c r="BN223" i="1"/>
  <c r="BM223" i="1"/>
  <c r="BJ223" i="1"/>
  <c r="BI223" i="1"/>
  <c r="BH223" i="1"/>
  <c r="BD223" i="1"/>
  <c r="BC223" i="1"/>
  <c r="BB223" i="1"/>
  <c r="AX223" i="1"/>
  <c r="AW223" i="1"/>
  <c r="AV223" i="1"/>
  <c r="AR223" i="1"/>
  <c r="AQ223" i="1"/>
  <c r="AP223" i="1"/>
  <c r="AJ223" i="1"/>
  <c r="AI223" i="1"/>
  <c r="AH223" i="1"/>
  <c r="AC223" i="1"/>
  <c r="AB223" i="1"/>
  <c r="AA223" i="1"/>
  <c r="U223" i="1"/>
  <c r="T223" i="1"/>
  <c r="S223" i="1"/>
  <c r="R223" i="1"/>
  <c r="Q223" i="1"/>
  <c r="P223" i="1"/>
  <c r="BZ222" i="1"/>
  <c r="BY222" i="1"/>
  <c r="BX222" i="1"/>
  <c r="BU222" i="1"/>
  <c r="BT222" i="1"/>
  <c r="BS222" i="1"/>
  <c r="BO222" i="1"/>
  <c r="BN222" i="1"/>
  <c r="BM222" i="1"/>
  <c r="BJ222" i="1"/>
  <c r="BI222" i="1"/>
  <c r="BH222" i="1"/>
  <c r="BD222" i="1"/>
  <c r="BC222" i="1"/>
  <c r="BB222" i="1"/>
  <c r="AX222" i="1"/>
  <c r="AW222" i="1"/>
  <c r="AV222" i="1"/>
  <c r="AR222" i="1"/>
  <c r="AQ222" i="1"/>
  <c r="AP222" i="1"/>
  <c r="AJ222" i="1"/>
  <c r="AI222" i="1"/>
  <c r="AH222" i="1"/>
  <c r="AC222" i="1"/>
  <c r="AB222" i="1"/>
  <c r="AA222" i="1"/>
  <c r="U222" i="1"/>
  <c r="T222" i="1"/>
  <c r="S222" i="1"/>
  <c r="R222" i="1"/>
  <c r="Q222" i="1"/>
  <c r="P222" i="1"/>
  <c r="BZ221" i="1"/>
  <c r="BY221" i="1"/>
  <c r="BX221" i="1"/>
  <c r="BU221" i="1"/>
  <c r="BT221" i="1"/>
  <c r="BS221" i="1"/>
  <c r="BO221" i="1"/>
  <c r="BN221" i="1"/>
  <c r="BM221" i="1"/>
  <c r="BJ221" i="1"/>
  <c r="BI221" i="1"/>
  <c r="BH221" i="1"/>
  <c r="BD221" i="1"/>
  <c r="BC221" i="1"/>
  <c r="BB221" i="1"/>
  <c r="AX221" i="1"/>
  <c r="AW221" i="1"/>
  <c r="AV221" i="1"/>
  <c r="AR221" i="1"/>
  <c r="AQ221" i="1"/>
  <c r="AP221" i="1"/>
  <c r="Y221" i="1" s="1"/>
  <c r="AJ221" i="1"/>
  <c r="AI221" i="1"/>
  <c r="AH221" i="1"/>
  <c r="AC221" i="1"/>
  <c r="AB221" i="1"/>
  <c r="AA221" i="1"/>
  <c r="U221" i="1"/>
  <c r="T221" i="1"/>
  <c r="S221" i="1"/>
  <c r="R221" i="1"/>
  <c r="Q221" i="1"/>
  <c r="P221" i="1"/>
  <c r="BZ220" i="1"/>
  <c r="BY220" i="1"/>
  <c r="BX220" i="1"/>
  <c r="BU220" i="1"/>
  <c r="BT220" i="1"/>
  <c r="BS220" i="1"/>
  <c r="BO220" i="1"/>
  <c r="BN220" i="1"/>
  <c r="BM220" i="1"/>
  <c r="BJ220" i="1"/>
  <c r="BI220" i="1"/>
  <c r="BH220" i="1"/>
  <c r="BD220" i="1"/>
  <c r="BC220" i="1"/>
  <c r="BB220" i="1"/>
  <c r="AX220" i="1"/>
  <c r="AW220" i="1"/>
  <c r="AV220" i="1"/>
  <c r="AR220" i="1"/>
  <c r="AQ220" i="1"/>
  <c r="AP220" i="1"/>
  <c r="AJ220" i="1"/>
  <c r="AI220" i="1"/>
  <c r="AH220" i="1"/>
  <c r="AC220" i="1"/>
  <c r="AB220" i="1"/>
  <c r="AA220" i="1"/>
  <c r="U220" i="1"/>
  <c r="T220" i="1"/>
  <c r="S220" i="1"/>
  <c r="R220" i="1"/>
  <c r="Q220" i="1"/>
  <c r="P220" i="1"/>
  <c r="BZ219" i="1"/>
  <c r="BY219" i="1"/>
  <c r="BX219" i="1"/>
  <c r="BU219" i="1"/>
  <c r="BT219" i="1"/>
  <c r="BS219" i="1"/>
  <c r="BO219" i="1"/>
  <c r="BN219" i="1"/>
  <c r="BM219" i="1"/>
  <c r="BJ219" i="1"/>
  <c r="BI219" i="1"/>
  <c r="BH219" i="1"/>
  <c r="BD219" i="1"/>
  <c r="BC219" i="1"/>
  <c r="BB219" i="1"/>
  <c r="AX219" i="1"/>
  <c r="AW219" i="1"/>
  <c r="AV219" i="1"/>
  <c r="AR219" i="1"/>
  <c r="AQ219" i="1"/>
  <c r="AP219" i="1"/>
  <c r="AJ219" i="1"/>
  <c r="AI219" i="1"/>
  <c r="AH219" i="1"/>
  <c r="AC219" i="1"/>
  <c r="AB219" i="1"/>
  <c r="AA219" i="1"/>
  <c r="U219" i="1"/>
  <c r="T219" i="1"/>
  <c r="S219" i="1"/>
  <c r="R219" i="1"/>
  <c r="Q219" i="1"/>
  <c r="P219" i="1"/>
  <c r="BZ218" i="1"/>
  <c r="BY218" i="1"/>
  <c r="BX218" i="1"/>
  <c r="BU218" i="1"/>
  <c r="BT218" i="1"/>
  <c r="BS218" i="1"/>
  <c r="BO218" i="1"/>
  <c r="BN218" i="1"/>
  <c r="BM218" i="1"/>
  <c r="BJ218" i="1"/>
  <c r="BI218" i="1"/>
  <c r="BH218" i="1"/>
  <c r="BD218" i="1"/>
  <c r="BC218" i="1"/>
  <c r="BB218" i="1"/>
  <c r="AX218" i="1"/>
  <c r="AW218" i="1"/>
  <c r="AV218" i="1"/>
  <c r="AR218" i="1"/>
  <c r="AQ218" i="1"/>
  <c r="AP218" i="1"/>
  <c r="Y218" i="1" s="1"/>
  <c r="AJ218" i="1"/>
  <c r="AI218" i="1"/>
  <c r="AH218" i="1"/>
  <c r="AC218" i="1"/>
  <c r="AB218" i="1"/>
  <c r="AA218" i="1"/>
  <c r="U218" i="1"/>
  <c r="T218" i="1"/>
  <c r="S218" i="1"/>
  <c r="R218" i="1"/>
  <c r="Q218" i="1"/>
  <c r="P218" i="1"/>
  <c r="BZ217" i="1"/>
  <c r="BY217" i="1"/>
  <c r="BX217" i="1"/>
  <c r="BU217" i="1"/>
  <c r="BT217" i="1"/>
  <c r="BS217" i="1"/>
  <c r="BO217" i="1"/>
  <c r="BN217" i="1"/>
  <c r="BM217" i="1"/>
  <c r="BJ217" i="1"/>
  <c r="BI217" i="1"/>
  <c r="BH217" i="1"/>
  <c r="BD217" i="1"/>
  <c r="BC217" i="1"/>
  <c r="BB217" i="1"/>
  <c r="AX217" i="1"/>
  <c r="AW217" i="1"/>
  <c r="AV217" i="1"/>
  <c r="AR217" i="1"/>
  <c r="AQ217" i="1"/>
  <c r="AP217" i="1"/>
  <c r="AJ217" i="1"/>
  <c r="AI217" i="1"/>
  <c r="AH217" i="1"/>
  <c r="AC217" i="1"/>
  <c r="AB217" i="1"/>
  <c r="AA217" i="1"/>
  <c r="U217" i="1"/>
  <c r="T217" i="1"/>
  <c r="S217" i="1"/>
  <c r="R217" i="1"/>
  <c r="Q217" i="1"/>
  <c r="P217" i="1"/>
  <c r="BZ216" i="1"/>
  <c r="BY216" i="1"/>
  <c r="BX216" i="1"/>
  <c r="BU216" i="1"/>
  <c r="BT216" i="1"/>
  <c r="BS216" i="1"/>
  <c r="BO216" i="1"/>
  <c r="BN216" i="1"/>
  <c r="BM216" i="1"/>
  <c r="BJ216" i="1"/>
  <c r="BI216" i="1"/>
  <c r="BH216" i="1"/>
  <c r="BD216" i="1"/>
  <c r="BC216" i="1"/>
  <c r="BB216" i="1"/>
  <c r="AX216" i="1"/>
  <c r="AW216" i="1"/>
  <c r="AV216" i="1"/>
  <c r="AR216" i="1"/>
  <c r="AQ216" i="1"/>
  <c r="AP216" i="1"/>
  <c r="AJ216" i="1"/>
  <c r="AI216" i="1"/>
  <c r="AH216" i="1"/>
  <c r="AC216" i="1"/>
  <c r="AB216" i="1"/>
  <c r="AA216" i="1"/>
  <c r="U216" i="1"/>
  <c r="T216" i="1"/>
  <c r="S216" i="1"/>
  <c r="R216" i="1"/>
  <c r="Q216" i="1"/>
  <c r="P216" i="1"/>
  <c r="BZ215" i="1"/>
  <c r="BY215" i="1"/>
  <c r="BX215" i="1"/>
  <c r="BU215" i="1"/>
  <c r="BT215" i="1"/>
  <c r="BS215" i="1"/>
  <c r="BO215" i="1"/>
  <c r="BN215" i="1"/>
  <c r="BM215" i="1"/>
  <c r="BJ215" i="1"/>
  <c r="BI215" i="1"/>
  <c r="BH215" i="1"/>
  <c r="Y215" i="1" s="1"/>
  <c r="BD215" i="1"/>
  <c r="BC215" i="1"/>
  <c r="BB215" i="1"/>
  <c r="AX215" i="1"/>
  <c r="AW215" i="1"/>
  <c r="AV215" i="1"/>
  <c r="AR215" i="1"/>
  <c r="AQ215" i="1"/>
  <c r="AP215" i="1"/>
  <c r="AJ215" i="1"/>
  <c r="AI215" i="1"/>
  <c r="AH215" i="1"/>
  <c r="AC215" i="1"/>
  <c r="AB215" i="1"/>
  <c r="AA215" i="1"/>
  <c r="U215" i="1"/>
  <c r="T215" i="1"/>
  <c r="S215" i="1"/>
  <c r="R215" i="1"/>
  <c r="Q215" i="1"/>
  <c r="P215" i="1"/>
  <c r="BZ214" i="1"/>
  <c r="BY214" i="1"/>
  <c r="BX214" i="1"/>
  <c r="BU214" i="1"/>
  <c r="BT214" i="1"/>
  <c r="BS214" i="1"/>
  <c r="BO214" i="1"/>
  <c r="BN214" i="1"/>
  <c r="BM214" i="1"/>
  <c r="BJ214" i="1"/>
  <c r="BI214" i="1"/>
  <c r="BH214" i="1"/>
  <c r="BD214" i="1"/>
  <c r="BC214" i="1"/>
  <c r="BB214" i="1"/>
  <c r="AX214" i="1"/>
  <c r="AW214" i="1"/>
  <c r="AV214" i="1"/>
  <c r="AR214" i="1"/>
  <c r="AQ214" i="1"/>
  <c r="AP214" i="1"/>
  <c r="Y214" i="1" s="1"/>
  <c r="AJ214" i="1"/>
  <c r="AI214" i="1"/>
  <c r="AH214" i="1"/>
  <c r="AC214" i="1"/>
  <c r="AB214" i="1"/>
  <c r="AA214" i="1"/>
  <c r="U214" i="1"/>
  <c r="T214" i="1"/>
  <c r="S214" i="1"/>
  <c r="R214" i="1"/>
  <c r="Q214" i="1"/>
  <c r="P214" i="1"/>
  <c r="BZ213" i="1"/>
  <c r="BY213" i="1"/>
  <c r="BX213" i="1"/>
  <c r="BU213" i="1"/>
  <c r="BT213" i="1"/>
  <c r="BS213" i="1"/>
  <c r="BO213" i="1"/>
  <c r="BN213" i="1"/>
  <c r="BM213" i="1"/>
  <c r="BJ213" i="1"/>
  <c r="BI213" i="1"/>
  <c r="BH213" i="1"/>
  <c r="BD213" i="1"/>
  <c r="BC213" i="1"/>
  <c r="BB213" i="1"/>
  <c r="AX213" i="1"/>
  <c r="AW213" i="1"/>
  <c r="AV213" i="1"/>
  <c r="AR213" i="1"/>
  <c r="AQ213" i="1"/>
  <c r="AP213" i="1"/>
  <c r="AJ213" i="1"/>
  <c r="AI213" i="1"/>
  <c r="AH213" i="1"/>
  <c r="AC213" i="1"/>
  <c r="AB213" i="1"/>
  <c r="AA213" i="1"/>
  <c r="U213" i="1"/>
  <c r="T213" i="1"/>
  <c r="S213" i="1"/>
  <c r="R213" i="1"/>
  <c r="Q213" i="1"/>
  <c r="P213" i="1"/>
  <c r="BZ212" i="1"/>
  <c r="BY212" i="1"/>
  <c r="BX212" i="1"/>
  <c r="BU212" i="1"/>
  <c r="BT212" i="1"/>
  <c r="BS212" i="1"/>
  <c r="BO212" i="1"/>
  <c r="BN212" i="1"/>
  <c r="BM212" i="1"/>
  <c r="BJ212" i="1"/>
  <c r="BI212" i="1"/>
  <c r="BH212" i="1"/>
  <c r="BD212" i="1"/>
  <c r="BC212" i="1"/>
  <c r="BB212" i="1"/>
  <c r="AX212" i="1"/>
  <c r="AW212" i="1"/>
  <c r="AV212" i="1"/>
  <c r="AR212" i="1"/>
  <c r="AQ212" i="1"/>
  <c r="AP212" i="1"/>
  <c r="AJ212" i="1"/>
  <c r="AI212" i="1"/>
  <c r="AH212" i="1"/>
  <c r="AC212" i="1"/>
  <c r="AB212" i="1"/>
  <c r="AA212" i="1"/>
  <c r="U212" i="1"/>
  <c r="T212" i="1"/>
  <c r="S212" i="1"/>
  <c r="R212" i="1"/>
  <c r="Q212" i="1"/>
  <c r="P212" i="1"/>
  <c r="BZ211" i="1"/>
  <c r="BY211" i="1"/>
  <c r="BX211" i="1"/>
  <c r="BU211" i="1"/>
  <c r="BT211" i="1"/>
  <c r="BS211" i="1"/>
  <c r="BO211" i="1"/>
  <c r="BN211" i="1"/>
  <c r="BM211" i="1"/>
  <c r="BJ211" i="1"/>
  <c r="BI211" i="1"/>
  <c r="BH211" i="1"/>
  <c r="BD211" i="1"/>
  <c r="BC211" i="1"/>
  <c r="BB211" i="1"/>
  <c r="AX211" i="1"/>
  <c r="AW211" i="1"/>
  <c r="AV211" i="1"/>
  <c r="AR211" i="1"/>
  <c r="AQ211" i="1"/>
  <c r="AP211" i="1"/>
  <c r="AJ211" i="1"/>
  <c r="AI211" i="1"/>
  <c r="AH211" i="1"/>
  <c r="AC211" i="1"/>
  <c r="AB211" i="1"/>
  <c r="AA211" i="1"/>
  <c r="U211" i="1"/>
  <c r="T211" i="1"/>
  <c r="S211" i="1"/>
  <c r="R211" i="1"/>
  <c r="Q211" i="1"/>
  <c r="P211" i="1"/>
  <c r="BZ210" i="1"/>
  <c r="BY210" i="1"/>
  <c r="BX210" i="1"/>
  <c r="BU210" i="1"/>
  <c r="BT210" i="1"/>
  <c r="BS210" i="1"/>
  <c r="BO210" i="1"/>
  <c r="BN210" i="1"/>
  <c r="BM210" i="1"/>
  <c r="BJ210" i="1"/>
  <c r="BI210" i="1"/>
  <c r="BH210" i="1"/>
  <c r="BD210" i="1"/>
  <c r="BC210" i="1"/>
  <c r="BB210" i="1"/>
  <c r="AX210" i="1"/>
  <c r="AW210" i="1"/>
  <c r="AV210" i="1"/>
  <c r="AR210" i="1"/>
  <c r="AQ210" i="1"/>
  <c r="AP210" i="1"/>
  <c r="AJ210" i="1"/>
  <c r="AI210" i="1"/>
  <c r="AH210" i="1"/>
  <c r="AC210" i="1"/>
  <c r="AB210" i="1"/>
  <c r="AA210" i="1"/>
  <c r="U210" i="1"/>
  <c r="T210" i="1"/>
  <c r="S210" i="1"/>
  <c r="R210" i="1"/>
  <c r="Q210" i="1"/>
  <c r="P210" i="1"/>
  <c r="BZ209" i="1"/>
  <c r="BY209" i="1"/>
  <c r="BX209" i="1"/>
  <c r="BU209" i="1"/>
  <c r="BT209" i="1"/>
  <c r="BS209" i="1"/>
  <c r="BO209" i="1"/>
  <c r="BN209" i="1"/>
  <c r="BM209" i="1"/>
  <c r="BJ209" i="1"/>
  <c r="BI209" i="1"/>
  <c r="BH209" i="1"/>
  <c r="BD209" i="1"/>
  <c r="BC209" i="1"/>
  <c r="BB209" i="1"/>
  <c r="AX209" i="1"/>
  <c r="AW209" i="1"/>
  <c r="AV209" i="1"/>
  <c r="AR209" i="1"/>
  <c r="AQ209" i="1"/>
  <c r="AP209" i="1"/>
  <c r="AJ209" i="1"/>
  <c r="AI209" i="1"/>
  <c r="AH209" i="1"/>
  <c r="AC209" i="1"/>
  <c r="AB209" i="1"/>
  <c r="AA209" i="1"/>
  <c r="U209" i="1"/>
  <c r="T209" i="1"/>
  <c r="S209" i="1"/>
  <c r="R209" i="1"/>
  <c r="Q209" i="1"/>
  <c r="P209" i="1"/>
  <c r="BZ208" i="1"/>
  <c r="BY208" i="1"/>
  <c r="BX208" i="1"/>
  <c r="BU208" i="1"/>
  <c r="BT208" i="1"/>
  <c r="BS208" i="1"/>
  <c r="BO208" i="1"/>
  <c r="BN208" i="1"/>
  <c r="BM208" i="1"/>
  <c r="BJ208" i="1"/>
  <c r="BI208" i="1"/>
  <c r="BH208" i="1"/>
  <c r="BD208" i="1"/>
  <c r="BC208" i="1"/>
  <c r="BB208" i="1"/>
  <c r="AX208" i="1"/>
  <c r="AW208" i="1"/>
  <c r="AV208" i="1"/>
  <c r="AR208" i="1"/>
  <c r="AQ208" i="1"/>
  <c r="AP208" i="1"/>
  <c r="Y208" i="1" s="1"/>
  <c r="AJ208" i="1"/>
  <c r="AI208" i="1"/>
  <c r="AH208" i="1"/>
  <c r="AC208" i="1"/>
  <c r="AB208" i="1"/>
  <c r="AA208" i="1"/>
  <c r="U208" i="1"/>
  <c r="T208" i="1"/>
  <c r="S208" i="1"/>
  <c r="R208" i="1"/>
  <c r="Q208" i="1"/>
  <c r="P208" i="1"/>
  <c r="BZ207" i="1"/>
  <c r="BY207" i="1"/>
  <c r="BX207" i="1"/>
  <c r="BU207" i="1"/>
  <c r="BT207" i="1"/>
  <c r="BS207" i="1"/>
  <c r="BO207" i="1"/>
  <c r="BN207" i="1"/>
  <c r="BM207" i="1"/>
  <c r="BJ207" i="1"/>
  <c r="BI207" i="1"/>
  <c r="BH207" i="1"/>
  <c r="BD207" i="1"/>
  <c r="BC207" i="1"/>
  <c r="BB207" i="1"/>
  <c r="AX207" i="1"/>
  <c r="AW207" i="1"/>
  <c r="AV207" i="1"/>
  <c r="AR207" i="1"/>
  <c r="AQ207" i="1"/>
  <c r="AP207" i="1"/>
  <c r="AJ207" i="1"/>
  <c r="AI207" i="1"/>
  <c r="AH207" i="1"/>
  <c r="AC207" i="1"/>
  <c r="AB207" i="1"/>
  <c r="AA207" i="1"/>
  <c r="U207" i="1"/>
  <c r="T207" i="1"/>
  <c r="S207" i="1"/>
  <c r="R207" i="1"/>
  <c r="Q207" i="1"/>
  <c r="P207" i="1"/>
  <c r="BZ206" i="1"/>
  <c r="BY206" i="1"/>
  <c r="BX206" i="1"/>
  <c r="BU206" i="1"/>
  <c r="BT206" i="1"/>
  <c r="BS206" i="1"/>
  <c r="BO206" i="1"/>
  <c r="BN206" i="1"/>
  <c r="BM206" i="1"/>
  <c r="BJ206" i="1"/>
  <c r="BI206" i="1"/>
  <c r="BH206" i="1"/>
  <c r="BD206" i="1"/>
  <c r="BC206" i="1"/>
  <c r="BB206" i="1"/>
  <c r="AX206" i="1"/>
  <c r="AW206" i="1"/>
  <c r="AV206" i="1"/>
  <c r="AR206" i="1"/>
  <c r="AQ206" i="1"/>
  <c r="AP206" i="1"/>
  <c r="AJ206" i="1"/>
  <c r="AI206" i="1"/>
  <c r="AH206" i="1"/>
  <c r="AC206" i="1"/>
  <c r="AB206" i="1"/>
  <c r="AA206" i="1"/>
  <c r="U206" i="1"/>
  <c r="T206" i="1"/>
  <c r="S206" i="1"/>
  <c r="R206" i="1"/>
  <c r="Q206" i="1"/>
  <c r="P206" i="1"/>
  <c r="BZ205" i="1"/>
  <c r="BY205" i="1"/>
  <c r="BX205" i="1"/>
  <c r="BU205" i="1"/>
  <c r="BT205" i="1"/>
  <c r="BS205" i="1"/>
  <c r="BO205" i="1"/>
  <c r="BN205" i="1"/>
  <c r="BM205" i="1"/>
  <c r="BJ205" i="1"/>
  <c r="BI205" i="1"/>
  <c r="BH205" i="1"/>
  <c r="BD205" i="1"/>
  <c r="BC205" i="1"/>
  <c r="BB205" i="1"/>
  <c r="AX205" i="1"/>
  <c r="AW205" i="1"/>
  <c r="AV205" i="1"/>
  <c r="AR205" i="1"/>
  <c r="AQ205" i="1"/>
  <c r="AP205" i="1"/>
  <c r="AJ205" i="1"/>
  <c r="AI205" i="1"/>
  <c r="AH205" i="1"/>
  <c r="AC205" i="1"/>
  <c r="AB205" i="1"/>
  <c r="AA205" i="1"/>
  <c r="U205" i="1"/>
  <c r="T205" i="1"/>
  <c r="S205" i="1"/>
  <c r="R205" i="1"/>
  <c r="Q205" i="1"/>
  <c r="P205" i="1"/>
  <c r="BZ204" i="1"/>
  <c r="BY204" i="1"/>
  <c r="BX204" i="1"/>
  <c r="BU204" i="1"/>
  <c r="BT204" i="1"/>
  <c r="BS204" i="1"/>
  <c r="BO204" i="1"/>
  <c r="BN204" i="1"/>
  <c r="BM204" i="1"/>
  <c r="BJ204" i="1"/>
  <c r="BI204" i="1"/>
  <c r="BH204" i="1"/>
  <c r="BD204" i="1"/>
  <c r="BC204" i="1"/>
  <c r="BB204" i="1"/>
  <c r="AX204" i="1"/>
  <c r="AW204" i="1"/>
  <c r="AV204" i="1"/>
  <c r="AR204" i="1"/>
  <c r="AQ204" i="1"/>
  <c r="AP204" i="1"/>
  <c r="AJ204" i="1"/>
  <c r="AI204" i="1"/>
  <c r="AH204" i="1"/>
  <c r="AC204" i="1"/>
  <c r="AB204" i="1"/>
  <c r="AA204" i="1"/>
  <c r="Y204" i="1"/>
  <c r="U204" i="1"/>
  <c r="T204" i="1"/>
  <c r="S204" i="1"/>
  <c r="R204" i="1"/>
  <c r="Q204" i="1"/>
  <c r="P204" i="1"/>
  <c r="BZ203" i="1"/>
  <c r="BY203" i="1"/>
  <c r="BX203" i="1"/>
  <c r="BU203" i="1"/>
  <c r="BT203" i="1"/>
  <c r="BS203" i="1"/>
  <c r="BO203" i="1"/>
  <c r="BN203" i="1"/>
  <c r="BM203" i="1"/>
  <c r="BJ203" i="1"/>
  <c r="BI203" i="1"/>
  <c r="BH203" i="1"/>
  <c r="BD203" i="1"/>
  <c r="BC203" i="1"/>
  <c r="BB203" i="1"/>
  <c r="AX203" i="1"/>
  <c r="AW203" i="1"/>
  <c r="AV203" i="1"/>
  <c r="AR203" i="1"/>
  <c r="AQ203" i="1"/>
  <c r="AP203" i="1"/>
  <c r="AJ203" i="1"/>
  <c r="AI203" i="1"/>
  <c r="AH203" i="1"/>
  <c r="AC203" i="1"/>
  <c r="AB203" i="1"/>
  <c r="AA203" i="1"/>
  <c r="U203" i="1"/>
  <c r="T203" i="1"/>
  <c r="S203" i="1"/>
  <c r="R203" i="1"/>
  <c r="Q203" i="1"/>
  <c r="P203" i="1"/>
  <c r="BZ202" i="1"/>
  <c r="BY202" i="1"/>
  <c r="BX202" i="1"/>
  <c r="BU202" i="1"/>
  <c r="BT202" i="1"/>
  <c r="BS202" i="1"/>
  <c r="BO202" i="1"/>
  <c r="BN202" i="1"/>
  <c r="BM202" i="1"/>
  <c r="BJ202" i="1"/>
  <c r="BI202" i="1"/>
  <c r="BH202" i="1"/>
  <c r="BD202" i="1"/>
  <c r="BC202" i="1"/>
  <c r="BB202" i="1"/>
  <c r="AX202" i="1"/>
  <c r="AW202" i="1"/>
  <c r="AV202" i="1"/>
  <c r="AR202" i="1"/>
  <c r="AQ202" i="1"/>
  <c r="AP202" i="1"/>
  <c r="AJ202" i="1"/>
  <c r="AI202" i="1"/>
  <c r="AH202" i="1"/>
  <c r="AC202" i="1"/>
  <c r="AB202" i="1"/>
  <c r="AA202" i="1"/>
  <c r="U202" i="1"/>
  <c r="T202" i="1"/>
  <c r="S202" i="1"/>
  <c r="R202" i="1"/>
  <c r="Q202" i="1"/>
  <c r="P202" i="1"/>
  <c r="BZ201" i="1"/>
  <c r="BY201" i="1"/>
  <c r="BX201" i="1"/>
  <c r="BU201" i="1"/>
  <c r="BT201" i="1"/>
  <c r="BS201" i="1"/>
  <c r="BO201" i="1"/>
  <c r="BN201" i="1"/>
  <c r="BM201" i="1"/>
  <c r="BJ201" i="1"/>
  <c r="BI201" i="1"/>
  <c r="BH201" i="1"/>
  <c r="BD201" i="1"/>
  <c r="BC201" i="1"/>
  <c r="BB201" i="1"/>
  <c r="AX201" i="1"/>
  <c r="AW201" i="1"/>
  <c r="AV201" i="1"/>
  <c r="AR201" i="1"/>
  <c r="AQ201" i="1"/>
  <c r="AP201" i="1"/>
  <c r="AJ201" i="1"/>
  <c r="AI201" i="1"/>
  <c r="AH201" i="1"/>
  <c r="AC201" i="1"/>
  <c r="AB201" i="1"/>
  <c r="AA201" i="1"/>
  <c r="U201" i="1"/>
  <c r="T201" i="1"/>
  <c r="S201" i="1"/>
  <c r="R201" i="1"/>
  <c r="Q201" i="1"/>
  <c r="P201" i="1"/>
  <c r="BZ199" i="1"/>
  <c r="BY199" i="1"/>
  <c r="BX199" i="1"/>
  <c r="BU199" i="1"/>
  <c r="BT199" i="1"/>
  <c r="BS199" i="1"/>
  <c r="BO199" i="1"/>
  <c r="BN199" i="1"/>
  <c r="BM199" i="1"/>
  <c r="BJ199" i="1"/>
  <c r="BI199" i="1"/>
  <c r="BH199" i="1"/>
  <c r="BD199" i="1"/>
  <c r="BC199" i="1"/>
  <c r="BB199" i="1"/>
  <c r="AX199" i="1"/>
  <c r="AW199" i="1"/>
  <c r="AV199" i="1"/>
  <c r="AR199" i="1"/>
  <c r="AQ199" i="1"/>
  <c r="AP199" i="1"/>
  <c r="AJ199" i="1"/>
  <c r="AI199" i="1"/>
  <c r="AH199" i="1"/>
  <c r="AC199" i="1"/>
  <c r="AB199" i="1"/>
  <c r="AA199" i="1"/>
  <c r="U199" i="1"/>
  <c r="T199" i="1"/>
  <c r="S199" i="1"/>
  <c r="R199" i="1"/>
  <c r="Q199" i="1"/>
  <c r="P199" i="1"/>
  <c r="BZ198" i="1"/>
  <c r="BY198" i="1"/>
  <c r="BX198" i="1"/>
  <c r="BU198" i="1"/>
  <c r="BT198" i="1"/>
  <c r="BS198" i="1"/>
  <c r="BO198" i="1"/>
  <c r="BN198" i="1"/>
  <c r="BM198" i="1"/>
  <c r="BJ198" i="1"/>
  <c r="BI198" i="1"/>
  <c r="BH198" i="1"/>
  <c r="BD198" i="1"/>
  <c r="BC198" i="1"/>
  <c r="BB198" i="1"/>
  <c r="Y198" i="1" s="1"/>
  <c r="AX198" i="1"/>
  <c r="AW198" i="1"/>
  <c r="AV198" i="1"/>
  <c r="AR198" i="1"/>
  <c r="AQ198" i="1"/>
  <c r="AP198" i="1"/>
  <c r="AJ198" i="1"/>
  <c r="AI198" i="1"/>
  <c r="AH198" i="1"/>
  <c r="AC198" i="1"/>
  <c r="AB198" i="1"/>
  <c r="AA198" i="1"/>
  <c r="U198" i="1"/>
  <c r="T198" i="1"/>
  <c r="S198" i="1"/>
  <c r="R198" i="1"/>
  <c r="Q198" i="1"/>
  <c r="P198" i="1"/>
  <c r="BZ197" i="1"/>
  <c r="BY197" i="1"/>
  <c r="BX197" i="1"/>
  <c r="BU197" i="1"/>
  <c r="BT197" i="1"/>
  <c r="BS197" i="1"/>
  <c r="BO197" i="1"/>
  <c r="BN197" i="1"/>
  <c r="BM197" i="1"/>
  <c r="BJ197" i="1"/>
  <c r="BI197" i="1"/>
  <c r="BH197" i="1"/>
  <c r="BD197" i="1"/>
  <c r="BC197" i="1"/>
  <c r="BB197" i="1"/>
  <c r="AX197" i="1"/>
  <c r="AW197" i="1"/>
  <c r="AV197" i="1"/>
  <c r="AR197" i="1"/>
  <c r="AQ197" i="1"/>
  <c r="AP197" i="1"/>
  <c r="AJ197" i="1"/>
  <c r="AI197" i="1"/>
  <c r="AH197" i="1"/>
  <c r="AC197" i="1"/>
  <c r="AB197" i="1"/>
  <c r="AA197" i="1"/>
  <c r="U197" i="1"/>
  <c r="T197" i="1"/>
  <c r="S197" i="1"/>
  <c r="R197" i="1"/>
  <c r="Q197" i="1"/>
  <c r="P197" i="1"/>
  <c r="BZ196" i="1"/>
  <c r="BY196" i="1"/>
  <c r="BX196" i="1"/>
  <c r="BU196" i="1"/>
  <c r="BT196" i="1"/>
  <c r="BS196" i="1"/>
  <c r="BO196" i="1"/>
  <c r="BN196" i="1"/>
  <c r="BM196" i="1"/>
  <c r="BJ196" i="1"/>
  <c r="BI196" i="1"/>
  <c r="BH196" i="1"/>
  <c r="BD196" i="1"/>
  <c r="BC196" i="1"/>
  <c r="BB196" i="1"/>
  <c r="AX196" i="1"/>
  <c r="AW196" i="1"/>
  <c r="AV196" i="1"/>
  <c r="AR196" i="1"/>
  <c r="AQ196" i="1"/>
  <c r="AP196" i="1"/>
  <c r="AJ196" i="1"/>
  <c r="AI196" i="1"/>
  <c r="AH196" i="1"/>
  <c r="AC196" i="1"/>
  <c r="AB196" i="1"/>
  <c r="AA196" i="1"/>
  <c r="U196" i="1"/>
  <c r="T196" i="1"/>
  <c r="S196" i="1"/>
  <c r="R196" i="1"/>
  <c r="Q196" i="1"/>
  <c r="P196" i="1"/>
  <c r="BZ195" i="1"/>
  <c r="BY195" i="1"/>
  <c r="BX195" i="1"/>
  <c r="BU195" i="1"/>
  <c r="BT195" i="1"/>
  <c r="BS195" i="1"/>
  <c r="BO195" i="1"/>
  <c r="BN195" i="1"/>
  <c r="BM195" i="1"/>
  <c r="BJ195" i="1"/>
  <c r="BI195" i="1"/>
  <c r="BH195" i="1"/>
  <c r="BD195" i="1"/>
  <c r="BC195" i="1"/>
  <c r="BB195" i="1"/>
  <c r="AX195" i="1"/>
  <c r="AW195" i="1"/>
  <c r="AV195" i="1"/>
  <c r="AR195" i="1"/>
  <c r="AQ195" i="1"/>
  <c r="AP195" i="1"/>
  <c r="AJ195" i="1"/>
  <c r="AI195" i="1"/>
  <c r="AH195" i="1"/>
  <c r="AC195" i="1"/>
  <c r="AB195" i="1"/>
  <c r="AA195" i="1"/>
  <c r="U195" i="1"/>
  <c r="T195" i="1"/>
  <c r="S195" i="1"/>
  <c r="R195" i="1"/>
  <c r="Q195" i="1"/>
  <c r="P195" i="1"/>
  <c r="BZ194" i="1"/>
  <c r="BY194" i="1"/>
  <c r="BX194" i="1"/>
  <c r="BU194" i="1"/>
  <c r="BT194" i="1"/>
  <c r="BS194" i="1"/>
  <c r="BO194" i="1"/>
  <c r="BN194" i="1"/>
  <c r="BM194" i="1"/>
  <c r="BJ194" i="1"/>
  <c r="BI194" i="1"/>
  <c r="BH194" i="1"/>
  <c r="BD194" i="1"/>
  <c r="BC194" i="1"/>
  <c r="BB194" i="1"/>
  <c r="AX194" i="1"/>
  <c r="AW194" i="1"/>
  <c r="AV194" i="1"/>
  <c r="AR194" i="1"/>
  <c r="AQ194" i="1"/>
  <c r="AP194" i="1"/>
  <c r="AJ194" i="1"/>
  <c r="AI194" i="1"/>
  <c r="AH194" i="1"/>
  <c r="AC194" i="1"/>
  <c r="AB194" i="1"/>
  <c r="AA194" i="1"/>
  <c r="U194" i="1"/>
  <c r="T194" i="1"/>
  <c r="S194" i="1"/>
  <c r="R194" i="1"/>
  <c r="Q194" i="1"/>
  <c r="P194" i="1"/>
  <c r="BZ193" i="1"/>
  <c r="BY193" i="1"/>
  <c r="BX193" i="1"/>
  <c r="BU193" i="1"/>
  <c r="BT193" i="1"/>
  <c r="BS193" i="1"/>
  <c r="BO193" i="1"/>
  <c r="BN193" i="1"/>
  <c r="BM193" i="1"/>
  <c r="BJ193" i="1"/>
  <c r="BI193" i="1"/>
  <c r="BH193" i="1"/>
  <c r="BD193" i="1"/>
  <c r="BC193" i="1"/>
  <c r="BB193" i="1"/>
  <c r="AX193" i="1"/>
  <c r="AW193" i="1"/>
  <c r="AV193" i="1"/>
  <c r="AR193" i="1"/>
  <c r="AQ193" i="1"/>
  <c r="AP193" i="1"/>
  <c r="AJ193" i="1"/>
  <c r="AI193" i="1"/>
  <c r="AH193" i="1"/>
  <c r="AC193" i="1"/>
  <c r="AB193" i="1"/>
  <c r="AA193" i="1"/>
  <c r="Y193" i="1"/>
  <c r="U193" i="1"/>
  <c r="T193" i="1"/>
  <c r="S193" i="1"/>
  <c r="R193" i="1"/>
  <c r="Q193" i="1"/>
  <c r="P193" i="1"/>
  <c r="BZ192" i="1"/>
  <c r="BY192" i="1"/>
  <c r="BX192" i="1"/>
  <c r="BU192" i="1"/>
  <c r="BT192" i="1"/>
  <c r="BS192" i="1"/>
  <c r="BO192" i="1"/>
  <c r="BN192" i="1"/>
  <c r="BM192" i="1"/>
  <c r="BJ192" i="1"/>
  <c r="BI192" i="1"/>
  <c r="BH192" i="1"/>
  <c r="BD192" i="1"/>
  <c r="BC192" i="1"/>
  <c r="BB192" i="1"/>
  <c r="AX192" i="1"/>
  <c r="AW192" i="1"/>
  <c r="AV192" i="1"/>
  <c r="AR192" i="1"/>
  <c r="AQ192" i="1"/>
  <c r="AP192" i="1"/>
  <c r="Y192" i="1" s="1"/>
  <c r="AJ192" i="1"/>
  <c r="AI192" i="1"/>
  <c r="AH192" i="1"/>
  <c r="AC192" i="1"/>
  <c r="AB192" i="1"/>
  <c r="AA192" i="1"/>
  <c r="U192" i="1"/>
  <c r="T192" i="1"/>
  <c r="S192" i="1"/>
  <c r="R192" i="1"/>
  <c r="Q192" i="1"/>
  <c r="P192" i="1"/>
  <c r="BZ191" i="1"/>
  <c r="BY191" i="1"/>
  <c r="BX191" i="1"/>
  <c r="BU191" i="1"/>
  <c r="BT191" i="1"/>
  <c r="BS191" i="1"/>
  <c r="BO191" i="1"/>
  <c r="BN191" i="1"/>
  <c r="BM191" i="1"/>
  <c r="BJ191" i="1"/>
  <c r="BI191" i="1"/>
  <c r="BH191" i="1"/>
  <c r="BD191" i="1"/>
  <c r="BC191" i="1"/>
  <c r="BB191" i="1"/>
  <c r="AX191" i="1"/>
  <c r="AW191" i="1"/>
  <c r="AV191" i="1"/>
  <c r="AR191" i="1"/>
  <c r="AQ191" i="1"/>
  <c r="AP191" i="1"/>
  <c r="AJ191" i="1"/>
  <c r="AI191" i="1"/>
  <c r="AH191" i="1"/>
  <c r="AC191" i="1"/>
  <c r="AB191" i="1"/>
  <c r="AA191" i="1"/>
  <c r="U191" i="1"/>
  <c r="T191" i="1"/>
  <c r="S191" i="1"/>
  <c r="R191" i="1"/>
  <c r="Q191" i="1"/>
  <c r="P191" i="1"/>
  <c r="BZ190" i="1"/>
  <c r="BY190" i="1"/>
  <c r="BX190" i="1"/>
  <c r="BU190" i="1"/>
  <c r="BT190" i="1"/>
  <c r="BS190" i="1"/>
  <c r="BO190" i="1"/>
  <c r="BN190" i="1"/>
  <c r="BM190" i="1"/>
  <c r="BJ190" i="1"/>
  <c r="BI190" i="1"/>
  <c r="BH190" i="1"/>
  <c r="BD190" i="1"/>
  <c r="BC190" i="1"/>
  <c r="BB190" i="1"/>
  <c r="AX190" i="1"/>
  <c r="AW190" i="1"/>
  <c r="AV190" i="1"/>
  <c r="AR190" i="1"/>
  <c r="AQ190" i="1"/>
  <c r="AP190" i="1"/>
  <c r="AJ190" i="1"/>
  <c r="AI190" i="1"/>
  <c r="AH190" i="1"/>
  <c r="AC190" i="1"/>
  <c r="AB190" i="1"/>
  <c r="AA190" i="1"/>
  <c r="U190" i="1"/>
  <c r="T190" i="1"/>
  <c r="S190" i="1"/>
  <c r="R190" i="1"/>
  <c r="Q190" i="1"/>
  <c r="P190" i="1"/>
  <c r="BZ189" i="1"/>
  <c r="BY189" i="1"/>
  <c r="BX189" i="1"/>
  <c r="BU189" i="1"/>
  <c r="BT189" i="1"/>
  <c r="BS189" i="1"/>
  <c r="BO189" i="1"/>
  <c r="BN189" i="1"/>
  <c r="BM189" i="1"/>
  <c r="BJ189" i="1"/>
  <c r="BI189" i="1"/>
  <c r="BH189" i="1"/>
  <c r="BD189" i="1"/>
  <c r="BC189" i="1"/>
  <c r="BB189" i="1"/>
  <c r="AX189" i="1"/>
  <c r="AW189" i="1"/>
  <c r="AV189" i="1"/>
  <c r="AR189" i="1"/>
  <c r="AQ189" i="1"/>
  <c r="AP189" i="1"/>
  <c r="AJ189" i="1"/>
  <c r="AI189" i="1"/>
  <c r="AH189" i="1"/>
  <c r="AC189" i="1"/>
  <c r="AB189" i="1"/>
  <c r="AA189" i="1"/>
  <c r="U189" i="1"/>
  <c r="T189" i="1"/>
  <c r="S189" i="1"/>
  <c r="R189" i="1"/>
  <c r="Q189" i="1"/>
  <c r="P189" i="1"/>
  <c r="BZ188" i="1"/>
  <c r="BY188" i="1"/>
  <c r="BX188" i="1"/>
  <c r="BU188" i="1"/>
  <c r="BT188" i="1"/>
  <c r="BS188" i="1"/>
  <c r="BO188" i="1"/>
  <c r="BN188" i="1"/>
  <c r="BM188" i="1"/>
  <c r="BJ188" i="1"/>
  <c r="BI188" i="1"/>
  <c r="BH188" i="1"/>
  <c r="BD188" i="1"/>
  <c r="BC188" i="1"/>
  <c r="BB188" i="1"/>
  <c r="AX188" i="1"/>
  <c r="AW188" i="1"/>
  <c r="AV188" i="1"/>
  <c r="AR188" i="1"/>
  <c r="AQ188" i="1"/>
  <c r="AP188" i="1"/>
  <c r="AJ188" i="1"/>
  <c r="AI188" i="1"/>
  <c r="AH188" i="1"/>
  <c r="AC188" i="1"/>
  <c r="AB188" i="1"/>
  <c r="AA188" i="1"/>
  <c r="U188" i="1"/>
  <c r="T188" i="1"/>
  <c r="S188" i="1"/>
  <c r="R188" i="1"/>
  <c r="Q188" i="1"/>
  <c r="P188" i="1"/>
  <c r="BZ187" i="1"/>
  <c r="BY187" i="1"/>
  <c r="BX187" i="1"/>
  <c r="BU187" i="1"/>
  <c r="BT187" i="1"/>
  <c r="BS187" i="1"/>
  <c r="BO187" i="1"/>
  <c r="BN187" i="1"/>
  <c r="BM187" i="1"/>
  <c r="BJ187" i="1"/>
  <c r="BI187" i="1"/>
  <c r="BH187" i="1"/>
  <c r="BD187" i="1"/>
  <c r="BC187" i="1"/>
  <c r="BB187" i="1"/>
  <c r="AX187" i="1"/>
  <c r="AW187" i="1"/>
  <c r="AV187" i="1"/>
  <c r="AR187" i="1"/>
  <c r="AQ187" i="1"/>
  <c r="AP187" i="1"/>
  <c r="AJ187" i="1"/>
  <c r="AI187" i="1"/>
  <c r="AH187" i="1"/>
  <c r="AC187" i="1"/>
  <c r="AB187" i="1"/>
  <c r="AA187" i="1"/>
  <c r="U187" i="1"/>
  <c r="T187" i="1"/>
  <c r="S187" i="1"/>
  <c r="R187" i="1"/>
  <c r="Q187" i="1"/>
  <c r="P187" i="1"/>
  <c r="BZ186" i="1"/>
  <c r="BY186" i="1"/>
  <c r="BX186" i="1"/>
  <c r="BU186" i="1"/>
  <c r="BT186" i="1"/>
  <c r="BS186" i="1"/>
  <c r="BO186" i="1"/>
  <c r="BN186" i="1"/>
  <c r="BM186" i="1"/>
  <c r="BJ186" i="1"/>
  <c r="BI186" i="1"/>
  <c r="BH186" i="1"/>
  <c r="BD186" i="1"/>
  <c r="BC186" i="1"/>
  <c r="BB186" i="1"/>
  <c r="AX186" i="1"/>
  <c r="AW186" i="1"/>
  <c r="AV186" i="1"/>
  <c r="AR186" i="1"/>
  <c r="AQ186" i="1"/>
  <c r="AP186" i="1"/>
  <c r="AJ186" i="1"/>
  <c r="AI186" i="1"/>
  <c r="AH186" i="1"/>
  <c r="AC186" i="1"/>
  <c r="AB186" i="1"/>
  <c r="AA186" i="1"/>
  <c r="U186" i="1"/>
  <c r="T186" i="1"/>
  <c r="S186" i="1"/>
  <c r="R186" i="1"/>
  <c r="Q186" i="1"/>
  <c r="P186" i="1"/>
  <c r="BZ185" i="1"/>
  <c r="BY185" i="1"/>
  <c r="BX185" i="1"/>
  <c r="BU185" i="1"/>
  <c r="BT185" i="1"/>
  <c r="BS185" i="1"/>
  <c r="BO185" i="1"/>
  <c r="BN185" i="1"/>
  <c r="BM185" i="1"/>
  <c r="BJ185" i="1"/>
  <c r="BI185" i="1"/>
  <c r="BH185" i="1"/>
  <c r="BD185" i="1"/>
  <c r="BC185" i="1"/>
  <c r="BB185" i="1"/>
  <c r="AX185" i="1"/>
  <c r="AW185" i="1"/>
  <c r="AV185" i="1"/>
  <c r="AR185" i="1"/>
  <c r="AQ185" i="1"/>
  <c r="AP185" i="1"/>
  <c r="AJ185" i="1"/>
  <c r="AI185" i="1"/>
  <c r="AH185" i="1"/>
  <c r="AC185" i="1"/>
  <c r="AB185" i="1"/>
  <c r="AA185" i="1"/>
  <c r="U185" i="1"/>
  <c r="T185" i="1"/>
  <c r="S185" i="1"/>
  <c r="R185" i="1"/>
  <c r="Q185" i="1"/>
  <c r="P185" i="1"/>
  <c r="BZ184" i="1"/>
  <c r="BY184" i="1"/>
  <c r="BX184" i="1"/>
  <c r="BU184" i="1"/>
  <c r="BT184" i="1"/>
  <c r="BS184" i="1"/>
  <c r="BO184" i="1"/>
  <c r="BN184" i="1"/>
  <c r="BM184" i="1"/>
  <c r="BJ184" i="1"/>
  <c r="BI184" i="1"/>
  <c r="BH184" i="1"/>
  <c r="BD184" i="1"/>
  <c r="BC184" i="1"/>
  <c r="BB184" i="1"/>
  <c r="AX184" i="1"/>
  <c r="AW184" i="1"/>
  <c r="AV184" i="1"/>
  <c r="AR184" i="1"/>
  <c r="AQ184" i="1"/>
  <c r="AP184" i="1"/>
  <c r="AJ184" i="1"/>
  <c r="AI184" i="1"/>
  <c r="AH184" i="1"/>
  <c r="AC184" i="1"/>
  <c r="AB184" i="1"/>
  <c r="AA184" i="1"/>
  <c r="U184" i="1"/>
  <c r="T184" i="1"/>
  <c r="S184" i="1"/>
  <c r="R184" i="1"/>
  <c r="Q184" i="1"/>
  <c r="P184" i="1"/>
  <c r="BZ183" i="1"/>
  <c r="BY183" i="1"/>
  <c r="BX183" i="1"/>
  <c r="BU183" i="1"/>
  <c r="BT183" i="1"/>
  <c r="BS183" i="1"/>
  <c r="BO183" i="1"/>
  <c r="BN183" i="1"/>
  <c r="BM183" i="1"/>
  <c r="BJ183" i="1"/>
  <c r="BI183" i="1"/>
  <c r="BH183" i="1"/>
  <c r="BD183" i="1"/>
  <c r="BC183" i="1"/>
  <c r="BB183" i="1"/>
  <c r="AX183" i="1"/>
  <c r="AW183" i="1"/>
  <c r="AV183" i="1"/>
  <c r="AR183" i="1"/>
  <c r="AQ183" i="1"/>
  <c r="AP183" i="1"/>
  <c r="AJ183" i="1"/>
  <c r="AI183" i="1"/>
  <c r="AH183" i="1"/>
  <c r="AC183" i="1"/>
  <c r="AB183" i="1"/>
  <c r="AA183" i="1"/>
  <c r="U183" i="1"/>
  <c r="T183" i="1"/>
  <c r="S183" i="1"/>
  <c r="R183" i="1"/>
  <c r="Q183" i="1"/>
  <c r="P183" i="1"/>
  <c r="BZ182" i="1"/>
  <c r="BY182" i="1"/>
  <c r="BX182" i="1"/>
  <c r="BU182" i="1"/>
  <c r="BT182" i="1"/>
  <c r="BS182" i="1"/>
  <c r="BO182" i="1"/>
  <c r="BN182" i="1"/>
  <c r="BM182" i="1"/>
  <c r="BJ182" i="1"/>
  <c r="BI182" i="1"/>
  <c r="BH182" i="1"/>
  <c r="BD182" i="1"/>
  <c r="BC182" i="1"/>
  <c r="BB182" i="1"/>
  <c r="AX182" i="1"/>
  <c r="AW182" i="1"/>
  <c r="AV182" i="1"/>
  <c r="AR182" i="1"/>
  <c r="AQ182" i="1"/>
  <c r="AP182" i="1"/>
  <c r="Y182" i="1" s="1"/>
  <c r="AJ182" i="1"/>
  <c r="AI182" i="1"/>
  <c r="AH182" i="1"/>
  <c r="AC182" i="1"/>
  <c r="AB182" i="1"/>
  <c r="AA182" i="1"/>
  <c r="U182" i="1"/>
  <c r="T182" i="1"/>
  <c r="S182" i="1"/>
  <c r="R182" i="1"/>
  <c r="Q182" i="1"/>
  <c r="P182" i="1"/>
  <c r="BZ181" i="1"/>
  <c r="BY181" i="1"/>
  <c r="BX181" i="1"/>
  <c r="BU181" i="1"/>
  <c r="BT181" i="1"/>
  <c r="BS181" i="1"/>
  <c r="BO181" i="1"/>
  <c r="BN181" i="1"/>
  <c r="BM181" i="1"/>
  <c r="BJ181" i="1"/>
  <c r="BI181" i="1"/>
  <c r="BH181" i="1"/>
  <c r="BD181" i="1"/>
  <c r="BC181" i="1"/>
  <c r="BB181" i="1"/>
  <c r="AX181" i="1"/>
  <c r="AW181" i="1"/>
  <c r="AV181" i="1"/>
  <c r="AR181" i="1"/>
  <c r="AQ181" i="1"/>
  <c r="AP181" i="1"/>
  <c r="AJ181" i="1"/>
  <c r="AI181" i="1"/>
  <c r="AH181" i="1"/>
  <c r="AC181" i="1"/>
  <c r="AB181" i="1"/>
  <c r="AA181" i="1"/>
  <c r="U181" i="1"/>
  <c r="T181" i="1"/>
  <c r="S181" i="1"/>
  <c r="R181" i="1"/>
  <c r="Q181" i="1"/>
  <c r="P181" i="1"/>
  <c r="BZ180" i="1"/>
  <c r="BY180" i="1"/>
  <c r="BX180" i="1"/>
  <c r="BU180" i="1"/>
  <c r="BT180" i="1"/>
  <c r="BS180" i="1"/>
  <c r="BO180" i="1"/>
  <c r="BN180" i="1"/>
  <c r="BM180" i="1"/>
  <c r="BJ180" i="1"/>
  <c r="BI180" i="1"/>
  <c r="BH180" i="1"/>
  <c r="BD180" i="1"/>
  <c r="BC180" i="1"/>
  <c r="BB180" i="1"/>
  <c r="AX180" i="1"/>
  <c r="AW180" i="1"/>
  <c r="AV180" i="1"/>
  <c r="AR180" i="1"/>
  <c r="AQ180" i="1"/>
  <c r="AP180" i="1"/>
  <c r="AJ180" i="1"/>
  <c r="AI180" i="1"/>
  <c r="AH180" i="1"/>
  <c r="AC180" i="1"/>
  <c r="AB180" i="1"/>
  <c r="AA180" i="1"/>
  <c r="U180" i="1"/>
  <c r="T180" i="1"/>
  <c r="S180" i="1"/>
  <c r="R180" i="1"/>
  <c r="Q180" i="1"/>
  <c r="P180" i="1"/>
  <c r="BZ179" i="1"/>
  <c r="BY179" i="1"/>
  <c r="BX179" i="1"/>
  <c r="BU179" i="1"/>
  <c r="BT179" i="1"/>
  <c r="BS179" i="1"/>
  <c r="BO179" i="1"/>
  <c r="BN179" i="1"/>
  <c r="BM179" i="1"/>
  <c r="BJ179" i="1"/>
  <c r="BI179" i="1"/>
  <c r="BH179" i="1"/>
  <c r="BD179" i="1"/>
  <c r="BC179" i="1"/>
  <c r="BB179" i="1"/>
  <c r="AX179" i="1"/>
  <c r="AW179" i="1"/>
  <c r="AV179" i="1"/>
  <c r="AR179" i="1"/>
  <c r="AQ179" i="1"/>
  <c r="AP179" i="1"/>
  <c r="AJ179" i="1"/>
  <c r="AI179" i="1"/>
  <c r="AH179" i="1"/>
  <c r="AC179" i="1"/>
  <c r="AB179" i="1"/>
  <c r="AA179" i="1"/>
  <c r="U179" i="1"/>
  <c r="T179" i="1"/>
  <c r="S179" i="1"/>
  <c r="R179" i="1"/>
  <c r="Q179" i="1"/>
  <c r="P179" i="1"/>
  <c r="BZ178" i="1"/>
  <c r="BY178" i="1"/>
  <c r="BX178" i="1"/>
  <c r="BU178" i="1"/>
  <c r="BT178" i="1"/>
  <c r="BS178" i="1"/>
  <c r="BO178" i="1"/>
  <c r="BN178" i="1"/>
  <c r="BM178" i="1"/>
  <c r="BJ178" i="1"/>
  <c r="BI178" i="1"/>
  <c r="BH178" i="1"/>
  <c r="BD178" i="1"/>
  <c r="BC178" i="1"/>
  <c r="BB178" i="1"/>
  <c r="AX178" i="1"/>
  <c r="AW178" i="1"/>
  <c r="AV178" i="1"/>
  <c r="AR178" i="1"/>
  <c r="AQ178" i="1"/>
  <c r="AP178" i="1"/>
  <c r="AJ178" i="1"/>
  <c r="AI178" i="1"/>
  <c r="AH178" i="1"/>
  <c r="AC178" i="1"/>
  <c r="AB178" i="1"/>
  <c r="AA178" i="1"/>
  <c r="Y178" i="1"/>
  <c r="U178" i="1"/>
  <c r="T178" i="1"/>
  <c r="S178" i="1"/>
  <c r="R178" i="1"/>
  <c r="Q178" i="1"/>
  <c r="P178" i="1"/>
  <c r="BZ177" i="1"/>
  <c r="BY177" i="1"/>
  <c r="BX177" i="1"/>
  <c r="BU177" i="1"/>
  <c r="BT177" i="1"/>
  <c r="BS177" i="1"/>
  <c r="BO177" i="1"/>
  <c r="BN177" i="1"/>
  <c r="BM177" i="1"/>
  <c r="BJ177" i="1"/>
  <c r="BI177" i="1"/>
  <c r="BH177" i="1"/>
  <c r="BD177" i="1"/>
  <c r="BC177" i="1"/>
  <c r="BB177" i="1"/>
  <c r="AX177" i="1"/>
  <c r="AW177" i="1"/>
  <c r="AV177" i="1"/>
  <c r="AR177" i="1"/>
  <c r="AQ177" i="1"/>
  <c r="AP177" i="1"/>
  <c r="AJ177" i="1"/>
  <c r="AI177" i="1"/>
  <c r="AH177" i="1"/>
  <c r="AC177" i="1"/>
  <c r="AB177" i="1"/>
  <c r="AA177" i="1"/>
  <c r="U177" i="1"/>
  <c r="T177" i="1"/>
  <c r="S177" i="1"/>
  <c r="R177" i="1"/>
  <c r="Q177" i="1"/>
  <c r="P177" i="1"/>
  <c r="BZ176" i="1"/>
  <c r="BY176" i="1"/>
  <c r="BX176" i="1"/>
  <c r="BU176" i="1"/>
  <c r="BT176" i="1"/>
  <c r="BS176" i="1"/>
  <c r="BO176" i="1"/>
  <c r="BN176" i="1"/>
  <c r="BM176" i="1"/>
  <c r="BJ176" i="1"/>
  <c r="BI176" i="1"/>
  <c r="BH176" i="1"/>
  <c r="BD176" i="1"/>
  <c r="BC176" i="1"/>
  <c r="BB176" i="1"/>
  <c r="AX176" i="1"/>
  <c r="AW176" i="1"/>
  <c r="AV176" i="1"/>
  <c r="AR176" i="1"/>
  <c r="AQ176" i="1"/>
  <c r="AP176" i="1"/>
  <c r="AJ176" i="1"/>
  <c r="AI176" i="1"/>
  <c r="AH176" i="1"/>
  <c r="AC176" i="1"/>
  <c r="AB176" i="1"/>
  <c r="AA176" i="1"/>
  <c r="U176" i="1"/>
  <c r="T176" i="1"/>
  <c r="S176" i="1"/>
  <c r="R176" i="1"/>
  <c r="Q176" i="1"/>
  <c r="P176" i="1"/>
  <c r="BZ175" i="1"/>
  <c r="BY175" i="1"/>
  <c r="BX175" i="1"/>
  <c r="BU175" i="1"/>
  <c r="BT175" i="1"/>
  <c r="BS175" i="1"/>
  <c r="BO175" i="1"/>
  <c r="BN175" i="1"/>
  <c r="BM175" i="1"/>
  <c r="BJ175" i="1"/>
  <c r="BI175" i="1"/>
  <c r="BH175" i="1"/>
  <c r="BD175" i="1"/>
  <c r="BC175" i="1"/>
  <c r="BB175" i="1"/>
  <c r="AX175" i="1"/>
  <c r="AW175" i="1"/>
  <c r="AV175" i="1"/>
  <c r="AR175" i="1"/>
  <c r="AQ175" i="1"/>
  <c r="AP175" i="1"/>
  <c r="AJ175" i="1"/>
  <c r="AI175" i="1"/>
  <c r="AH175" i="1"/>
  <c r="AC175" i="1"/>
  <c r="AB175" i="1"/>
  <c r="AA175" i="1"/>
  <c r="U175" i="1"/>
  <c r="T175" i="1"/>
  <c r="S175" i="1"/>
  <c r="R175" i="1"/>
  <c r="Q175" i="1"/>
  <c r="P175" i="1"/>
  <c r="BZ174" i="1"/>
  <c r="BY174" i="1"/>
  <c r="BX174" i="1"/>
  <c r="BU174" i="1"/>
  <c r="BT174" i="1"/>
  <c r="BS174" i="1"/>
  <c r="BO174" i="1"/>
  <c r="BN174" i="1"/>
  <c r="BM174" i="1"/>
  <c r="BJ174" i="1"/>
  <c r="BI174" i="1"/>
  <c r="BH174" i="1"/>
  <c r="BD174" i="1"/>
  <c r="BC174" i="1"/>
  <c r="BB174" i="1"/>
  <c r="AX174" i="1"/>
  <c r="AW174" i="1"/>
  <c r="AV174" i="1"/>
  <c r="AR174" i="1"/>
  <c r="AQ174" i="1"/>
  <c r="AP174" i="1"/>
  <c r="AJ174" i="1"/>
  <c r="AI174" i="1"/>
  <c r="AH174" i="1"/>
  <c r="AC174" i="1"/>
  <c r="AB174" i="1"/>
  <c r="AA174" i="1"/>
  <c r="U174" i="1"/>
  <c r="T174" i="1"/>
  <c r="S174" i="1"/>
  <c r="R174" i="1"/>
  <c r="Q174" i="1"/>
  <c r="P174" i="1"/>
  <c r="BZ173" i="1"/>
  <c r="BY173" i="1"/>
  <c r="BX173" i="1"/>
  <c r="BU173" i="1"/>
  <c r="BT173" i="1"/>
  <c r="BS173" i="1"/>
  <c r="BO173" i="1"/>
  <c r="BN173" i="1"/>
  <c r="BM173" i="1"/>
  <c r="BJ173" i="1"/>
  <c r="BI173" i="1"/>
  <c r="BH173" i="1"/>
  <c r="BD173" i="1"/>
  <c r="BC173" i="1"/>
  <c r="BB173" i="1"/>
  <c r="AX173" i="1"/>
  <c r="AW173" i="1"/>
  <c r="AV173" i="1"/>
  <c r="AR173" i="1"/>
  <c r="AQ173" i="1"/>
  <c r="AP173" i="1"/>
  <c r="Y173" i="1" s="1"/>
  <c r="AJ173" i="1"/>
  <c r="AI173" i="1"/>
  <c r="AH173" i="1"/>
  <c r="AC173" i="1"/>
  <c r="AB173" i="1"/>
  <c r="AA173" i="1"/>
  <c r="U173" i="1"/>
  <c r="T173" i="1"/>
  <c r="S173" i="1"/>
  <c r="R173" i="1"/>
  <c r="Q173" i="1"/>
  <c r="P173" i="1"/>
  <c r="BZ172" i="1"/>
  <c r="BY172" i="1"/>
  <c r="BX172" i="1"/>
  <c r="BU172" i="1"/>
  <c r="BT172" i="1"/>
  <c r="BS172" i="1"/>
  <c r="BO172" i="1"/>
  <c r="BN172" i="1"/>
  <c r="BM172" i="1"/>
  <c r="BJ172" i="1"/>
  <c r="BI172" i="1"/>
  <c r="BH172" i="1"/>
  <c r="BD172" i="1"/>
  <c r="BC172" i="1"/>
  <c r="BB172" i="1"/>
  <c r="AX172" i="1"/>
  <c r="AW172" i="1"/>
  <c r="AV172" i="1"/>
  <c r="AR172" i="1"/>
  <c r="AQ172" i="1"/>
  <c r="AP172" i="1"/>
  <c r="AJ172" i="1"/>
  <c r="AI172" i="1"/>
  <c r="AH172" i="1"/>
  <c r="AC172" i="1"/>
  <c r="AB172" i="1"/>
  <c r="AA172" i="1"/>
  <c r="U172" i="1"/>
  <c r="T172" i="1"/>
  <c r="S172" i="1"/>
  <c r="R172" i="1"/>
  <c r="Q172" i="1"/>
  <c r="P172" i="1"/>
  <c r="BZ171" i="1"/>
  <c r="BY171" i="1"/>
  <c r="BX171" i="1"/>
  <c r="BU171" i="1"/>
  <c r="BT171" i="1"/>
  <c r="BS171" i="1"/>
  <c r="BO171" i="1"/>
  <c r="BN171" i="1"/>
  <c r="BM171" i="1"/>
  <c r="BJ171" i="1"/>
  <c r="BI171" i="1"/>
  <c r="BH171" i="1"/>
  <c r="BD171" i="1"/>
  <c r="BC171" i="1"/>
  <c r="BB171" i="1"/>
  <c r="AX171" i="1"/>
  <c r="AW171" i="1"/>
  <c r="AV171" i="1"/>
  <c r="AR171" i="1"/>
  <c r="AQ171" i="1"/>
  <c r="AP171" i="1"/>
  <c r="AJ171" i="1"/>
  <c r="AI171" i="1"/>
  <c r="AH171" i="1"/>
  <c r="AC171" i="1"/>
  <c r="AB171" i="1"/>
  <c r="AA171" i="1"/>
  <c r="U171" i="1"/>
  <c r="T171" i="1"/>
  <c r="S171" i="1"/>
  <c r="R171" i="1"/>
  <c r="Q171" i="1"/>
  <c r="P171" i="1"/>
  <c r="BZ170" i="1"/>
  <c r="BY170" i="1"/>
  <c r="BX170" i="1"/>
  <c r="BU170" i="1"/>
  <c r="BT170" i="1"/>
  <c r="BS170" i="1"/>
  <c r="BO170" i="1"/>
  <c r="BN170" i="1"/>
  <c r="BM170" i="1"/>
  <c r="BJ170" i="1"/>
  <c r="BI170" i="1"/>
  <c r="BH170" i="1"/>
  <c r="BD170" i="1"/>
  <c r="BC170" i="1"/>
  <c r="BB170" i="1"/>
  <c r="AX170" i="1"/>
  <c r="AW170" i="1"/>
  <c r="AV170" i="1"/>
  <c r="AR170" i="1"/>
  <c r="AQ170" i="1"/>
  <c r="AP170" i="1"/>
  <c r="AJ170" i="1"/>
  <c r="AI170" i="1"/>
  <c r="AH170" i="1"/>
  <c r="AC170" i="1"/>
  <c r="AB170" i="1"/>
  <c r="AA170" i="1"/>
  <c r="U170" i="1"/>
  <c r="T170" i="1"/>
  <c r="S170" i="1"/>
  <c r="R170" i="1"/>
  <c r="Q170" i="1"/>
  <c r="P170" i="1"/>
  <c r="BZ169" i="1"/>
  <c r="BY169" i="1"/>
  <c r="BX169" i="1"/>
  <c r="BU169" i="1"/>
  <c r="BT169" i="1"/>
  <c r="BS169" i="1"/>
  <c r="BO169" i="1"/>
  <c r="BN169" i="1"/>
  <c r="BM169" i="1"/>
  <c r="BJ169" i="1"/>
  <c r="BI169" i="1"/>
  <c r="BH169" i="1"/>
  <c r="BD169" i="1"/>
  <c r="BC169" i="1"/>
  <c r="BB169" i="1"/>
  <c r="AX169" i="1"/>
  <c r="AW169" i="1"/>
  <c r="AV169" i="1"/>
  <c r="AR169" i="1"/>
  <c r="AQ169" i="1"/>
  <c r="AP169" i="1"/>
  <c r="AJ169" i="1"/>
  <c r="AI169" i="1"/>
  <c r="AH169" i="1"/>
  <c r="AC169" i="1"/>
  <c r="AB169" i="1"/>
  <c r="AA169" i="1"/>
  <c r="U169" i="1"/>
  <c r="T169" i="1"/>
  <c r="S169" i="1"/>
  <c r="R169" i="1"/>
  <c r="Q169" i="1"/>
  <c r="P169" i="1"/>
  <c r="BZ168" i="1"/>
  <c r="BY168" i="1"/>
  <c r="BX168" i="1"/>
  <c r="BU168" i="1"/>
  <c r="BT168" i="1"/>
  <c r="BS168" i="1"/>
  <c r="BO168" i="1"/>
  <c r="BN168" i="1"/>
  <c r="BM168" i="1"/>
  <c r="Y168" i="1" s="1"/>
  <c r="BJ168" i="1"/>
  <c r="BI168" i="1"/>
  <c r="BH168" i="1"/>
  <c r="BD168" i="1"/>
  <c r="BC168" i="1"/>
  <c r="BB168" i="1"/>
  <c r="AX168" i="1"/>
  <c r="AW168" i="1"/>
  <c r="AV168" i="1"/>
  <c r="AR168" i="1"/>
  <c r="AQ168" i="1"/>
  <c r="AP168" i="1"/>
  <c r="AJ168" i="1"/>
  <c r="AI168" i="1"/>
  <c r="AH168" i="1"/>
  <c r="AC168" i="1"/>
  <c r="AB168" i="1"/>
  <c r="AA168" i="1"/>
  <c r="U168" i="1"/>
  <c r="T168" i="1"/>
  <c r="S168" i="1"/>
  <c r="R168" i="1"/>
  <c r="Q168" i="1"/>
  <c r="P168" i="1"/>
  <c r="BZ167" i="1"/>
  <c r="BY167" i="1"/>
  <c r="BX167" i="1"/>
  <c r="BU167" i="1"/>
  <c r="BT167" i="1"/>
  <c r="BS167" i="1"/>
  <c r="BO167" i="1"/>
  <c r="BN167" i="1"/>
  <c r="BM167" i="1"/>
  <c r="BJ167" i="1"/>
  <c r="BI167" i="1"/>
  <c r="BH167" i="1"/>
  <c r="BD167" i="1"/>
  <c r="BC167" i="1"/>
  <c r="BB167" i="1"/>
  <c r="AX167" i="1"/>
  <c r="AW167" i="1"/>
  <c r="AV167" i="1"/>
  <c r="AR167" i="1"/>
  <c r="AQ167" i="1"/>
  <c r="AP167" i="1"/>
  <c r="Y167" i="1" s="1"/>
  <c r="AJ167" i="1"/>
  <c r="AI167" i="1"/>
  <c r="AH167" i="1"/>
  <c r="AC167" i="1"/>
  <c r="AB167" i="1"/>
  <c r="AA167" i="1"/>
  <c r="U167" i="1"/>
  <c r="T167" i="1"/>
  <c r="S167" i="1"/>
  <c r="R167" i="1"/>
  <c r="Q167" i="1"/>
  <c r="P167" i="1"/>
  <c r="BZ166" i="1"/>
  <c r="BY166" i="1"/>
  <c r="BX166" i="1"/>
  <c r="BU166" i="1"/>
  <c r="BT166" i="1"/>
  <c r="BS166" i="1"/>
  <c r="BO166" i="1"/>
  <c r="BN166" i="1"/>
  <c r="BM166" i="1"/>
  <c r="BJ166" i="1"/>
  <c r="BI166" i="1"/>
  <c r="BH166" i="1"/>
  <c r="BD166" i="1"/>
  <c r="BC166" i="1"/>
  <c r="BB166" i="1"/>
  <c r="AX166" i="1"/>
  <c r="AW166" i="1"/>
  <c r="AV166" i="1"/>
  <c r="AR166" i="1"/>
  <c r="AQ166" i="1"/>
  <c r="AP166" i="1"/>
  <c r="AJ166" i="1"/>
  <c r="AI166" i="1"/>
  <c r="AH166" i="1"/>
  <c r="AC166" i="1"/>
  <c r="AB166" i="1"/>
  <c r="AA166" i="1"/>
  <c r="U166" i="1"/>
  <c r="T166" i="1"/>
  <c r="S166" i="1"/>
  <c r="R166" i="1"/>
  <c r="Q166" i="1"/>
  <c r="P166" i="1"/>
  <c r="BZ165" i="1"/>
  <c r="BY165" i="1"/>
  <c r="BX165" i="1"/>
  <c r="BU165" i="1"/>
  <c r="BT165" i="1"/>
  <c r="BS165" i="1"/>
  <c r="BO165" i="1"/>
  <c r="BN165" i="1"/>
  <c r="BM165" i="1"/>
  <c r="BJ165" i="1"/>
  <c r="BI165" i="1"/>
  <c r="BH165" i="1"/>
  <c r="BD165" i="1"/>
  <c r="BC165" i="1"/>
  <c r="BB165" i="1"/>
  <c r="AX165" i="1"/>
  <c r="AW165" i="1"/>
  <c r="AV165" i="1"/>
  <c r="AR165" i="1"/>
  <c r="AQ165" i="1"/>
  <c r="AP165" i="1"/>
  <c r="AJ165" i="1"/>
  <c r="AI165" i="1"/>
  <c r="AH165" i="1"/>
  <c r="AC165" i="1"/>
  <c r="AB165" i="1"/>
  <c r="AA165" i="1"/>
  <c r="U165" i="1"/>
  <c r="T165" i="1"/>
  <c r="S165" i="1"/>
  <c r="R165" i="1"/>
  <c r="Q165" i="1"/>
  <c r="P165" i="1"/>
  <c r="BZ164" i="1"/>
  <c r="BY164" i="1"/>
  <c r="BX164" i="1"/>
  <c r="BU164" i="1"/>
  <c r="BT164" i="1"/>
  <c r="BS164" i="1"/>
  <c r="BO164" i="1"/>
  <c r="BN164" i="1"/>
  <c r="BM164" i="1"/>
  <c r="BJ164" i="1"/>
  <c r="BI164" i="1"/>
  <c r="BH164" i="1"/>
  <c r="BD164" i="1"/>
  <c r="BC164" i="1"/>
  <c r="BB164" i="1"/>
  <c r="AX164" i="1"/>
  <c r="AW164" i="1"/>
  <c r="AV164" i="1"/>
  <c r="AR164" i="1"/>
  <c r="AQ164" i="1"/>
  <c r="AP164" i="1"/>
  <c r="AJ164" i="1"/>
  <c r="AI164" i="1"/>
  <c r="AH164" i="1"/>
  <c r="AC164" i="1"/>
  <c r="AB164" i="1"/>
  <c r="AA164" i="1"/>
  <c r="U164" i="1"/>
  <c r="T164" i="1"/>
  <c r="S164" i="1"/>
  <c r="R164" i="1"/>
  <c r="Q164" i="1"/>
  <c r="P164" i="1"/>
  <c r="BZ163" i="1"/>
  <c r="BY163" i="1"/>
  <c r="BX163" i="1"/>
  <c r="BU163" i="1"/>
  <c r="BT163" i="1"/>
  <c r="BS163" i="1"/>
  <c r="BO163" i="1"/>
  <c r="BN163" i="1"/>
  <c r="BM163" i="1"/>
  <c r="BJ163" i="1"/>
  <c r="BI163" i="1"/>
  <c r="BH163" i="1"/>
  <c r="BD163" i="1"/>
  <c r="BC163" i="1"/>
  <c r="BB163" i="1"/>
  <c r="AX163" i="1"/>
  <c r="AW163" i="1"/>
  <c r="AV163" i="1"/>
  <c r="AR163" i="1"/>
  <c r="AQ163" i="1"/>
  <c r="AP163" i="1"/>
  <c r="AJ163" i="1"/>
  <c r="AI163" i="1"/>
  <c r="AH163" i="1"/>
  <c r="AC163" i="1"/>
  <c r="AB163" i="1"/>
  <c r="AA163" i="1"/>
  <c r="U163" i="1"/>
  <c r="T163" i="1"/>
  <c r="S163" i="1"/>
  <c r="R163" i="1"/>
  <c r="Q163" i="1"/>
  <c r="P163" i="1"/>
  <c r="BZ162" i="1"/>
  <c r="BY162" i="1"/>
  <c r="BX162" i="1"/>
  <c r="BU162" i="1"/>
  <c r="BT162" i="1"/>
  <c r="BS162" i="1"/>
  <c r="BO162" i="1"/>
  <c r="BN162" i="1"/>
  <c r="BM162" i="1"/>
  <c r="BJ162" i="1"/>
  <c r="BI162" i="1"/>
  <c r="BH162" i="1"/>
  <c r="BD162" i="1"/>
  <c r="BC162" i="1"/>
  <c r="BB162" i="1"/>
  <c r="AX162" i="1"/>
  <c r="AW162" i="1"/>
  <c r="AV162" i="1"/>
  <c r="AR162" i="1"/>
  <c r="AQ162" i="1"/>
  <c r="AP162" i="1"/>
  <c r="AJ162" i="1"/>
  <c r="AI162" i="1"/>
  <c r="AH162" i="1"/>
  <c r="AC162" i="1"/>
  <c r="AB162" i="1"/>
  <c r="AA162" i="1"/>
  <c r="U162" i="1"/>
  <c r="T162" i="1"/>
  <c r="S162" i="1"/>
  <c r="R162" i="1"/>
  <c r="Q162" i="1"/>
  <c r="P162" i="1"/>
  <c r="BZ161" i="1"/>
  <c r="BY161" i="1"/>
  <c r="BX161" i="1"/>
  <c r="BU161" i="1"/>
  <c r="BT161" i="1"/>
  <c r="BS161" i="1"/>
  <c r="BO161" i="1"/>
  <c r="BN161" i="1"/>
  <c r="BM161" i="1"/>
  <c r="BJ161" i="1"/>
  <c r="BI161" i="1"/>
  <c r="BH161" i="1"/>
  <c r="BD161" i="1"/>
  <c r="BC161" i="1"/>
  <c r="BB161" i="1"/>
  <c r="AX161" i="1"/>
  <c r="AW161" i="1"/>
  <c r="AV161" i="1"/>
  <c r="AR161" i="1"/>
  <c r="AQ161" i="1"/>
  <c r="AP161" i="1"/>
  <c r="AJ161" i="1"/>
  <c r="AI161" i="1"/>
  <c r="AH161" i="1"/>
  <c r="AC161" i="1"/>
  <c r="AB161" i="1"/>
  <c r="AA161" i="1"/>
  <c r="U161" i="1"/>
  <c r="T161" i="1"/>
  <c r="S161" i="1"/>
  <c r="R161" i="1"/>
  <c r="Q161" i="1"/>
  <c r="P161" i="1"/>
  <c r="BZ160" i="1"/>
  <c r="BY160" i="1"/>
  <c r="BX160" i="1"/>
  <c r="BU160" i="1"/>
  <c r="BT160" i="1"/>
  <c r="BS160" i="1"/>
  <c r="BO160" i="1"/>
  <c r="BN160" i="1"/>
  <c r="BM160" i="1"/>
  <c r="BJ160" i="1"/>
  <c r="BI160" i="1"/>
  <c r="BH160" i="1"/>
  <c r="BD160" i="1"/>
  <c r="BC160" i="1"/>
  <c r="BB160" i="1"/>
  <c r="AX160" i="1"/>
  <c r="AW160" i="1"/>
  <c r="AV160" i="1"/>
  <c r="AR160" i="1"/>
  <c r="AQ160" i="1"/>
  <c r="AP160" i="1"/>
  <c r="AJ160" i="1"/>
  <c r="AI160" i="1"/>
  <c r="AH160" i="1"/>
  <c r="AC160" i="1"/>
  <c r="AB160" i="1"/>
  <c r="AA160" i="1"/>
  <c r="U160" i="1"/>
  <c r="T160" i="1"/>
  <c r="S160" i="1"/>
  <c r="R160" i="1"/>
  <c r="Q160" i="1"/>
  <c r="P160" i="1"/>
  <c r="BZ159" i="1"/>
  <c r="BY159" i="1"/>
  <c r="BX159" i="1"/>
  <c r="BU159" i="1"/>
  <c r="BT159" i="1"/>
  <c r="BS159" i="1"/>
  <c r="BO159" i="1"/>
  <c r="BN159" i="1"/>
  <c r="BM159" i="1"/>
  <c r="BJ159" i="1"/>
  <c r="BI159" i="1"/>
  <c r="BH159" i="1"/>
  <c r="BD159" i="1"/>
  <c r="BC159" i="1"/>
  <c r="BB159" i="1"/>
  <c r="AX159" i="1"/>
  <c r="AW159" i="1"/>
  <c r="AV159" i="1"/>
  <c r="AR159" i="1"/>
  <c r="AQ159" i="1"/>
  <c r="AP159" i="1"/>
  <c r="AJ159" i="1"/>
  <c r="AI159" i="1"/>
  <c r="AH159" i="1"/>
  <c r="AC159" i="1"/>
  <c r="AB159" i="1"/>
  <c r="AA159" i="1"/>
  <c r="U159" i="1"/>
  <c r="T159" i="1"/>
  <c r="S159" i="1"/>
  <c r="R159" i="1"/>
  <c r="Q159" i="1"/>
  <c r="P159" i="1"/>
  <c r="BZ158" i="1"/>
  <c r="BY158" i="1"/>
  <c r="BX158" i="1"/>
  <c r="BU158" i="1"/>
  <c r="BT158" i="1"/>
  <c r="BS158" i="1"/>
  <c r="BO158" i="1"/>
  <c r="BN158" i="1"/>
  <c r="BM158" i="1"/>
  <c r="BJ158" i="1"/>
  <c r="BI158" i="1"/>
  <c r="BH158" i="1"/>
  <c r="BD158" i="1"/>
  <c r="BC158" i="1"/>
  <c r="BB158" i="1"/>
  <c r="Y158" i="1" s="1"/>
  <c r="AX158" i="1"/>
  <c r="AW158" i="1"/>
  <c r="AV158" i="1"/>
  <c r="AR158" i="1"/>
  <c r="AQ158" i="1"/>
  <c r="AP158" i="1"/>
  <c r="AJ158" i="1"/>
  <c r="AI158" i="1"/>
  <c r="AH158" i="1"/>
  <c r="AC158" i="1"/>
  <c r="AB158" i="1"/>
  <c r="AA158" i="1"/>
  <c r="U158" i="1"/>
  <c r="T158" i="1"/>
  <c r="S158" i="1"/>
  <c r="R158" i="1"/>
  <c r="Q158" i="1"/>
  <c r="P158" i="1"/>
  <c r="BZ157" i="1"/>
  <c r="BY157" i="1"/>
  <c r="BX157" i="1"/>
  <c r="BU157" i="1"/>
  <c r="BT157" i="1"/>
  <c r="BS157" i="1"/>
  <c r="BO157" i="1"/>
  <c r="BN157" i="1"/>
  <c r="BM157" i="1"/>
  <c r="BJ157" i="1"/>
  <c r="BI157" i="1"/>
  <c r="BH157" i="1"/>
  <c r="BD157" i="1"/>
  <c r="BC157" i="1"/>
  <c r="BB157" i="1"/>
  <c r="AX157" i="1"/>
  <c r="AW157" i="1"/>
  <c r="AV157" i="1"/>
  <c r="AR157" i="1"/>
  <c r="AQ157" i="1"/>
  <c r="AP157" i="1"/>
  <c r="Y157" i="1" s="1"/>
  <c r="AJ157" i="1"/>
  <c r="AI157" i="1"/>
  <c r="AH157" i="1"/>
  <c r="AC157" i="1"/>
  <c r="AB157" i="1"/>
  <c r="AA157" i="1"/>
  <c r="U157" i="1"/>
  <c r="T157" i="1"/>
  <c r="S157" i="1"/>
  <c r="R157" i="1"/>
  <c r="Q157" i="1"/>
  <c r="P157" i="1"/>
  <c r="BZ156" i="1"/>
  <c r="BY156" i="1"/>
  <c r="BX156" i="1"/>
  <c r="BU156" i="1"/>
  <c r="BT156" i="1"/>
  <c r="BS156" i="1"/>
  <c r="BO156" i="1"/>
  <c r="BN156" i="1"/>
  <c r="BM156" i="1"/>
  <c r="BJ156" i="1"/>
  <c r="BI156" i="1"/>
  <c r="BH156" i="1"/>
  <c r="BD156" i="1"/>
  <c r="BC156" i="1"/>
  <c r="BB156" i="1"/>
  <c r="AX156" i="1"/>
  <c r="AW156" i="1"/>
  <c r="AV156" i="1"/>
  <c r="AR156" i="1"/>
  <c r="AQ156" i="1"/>
  <c r="AP156" i="1"/>
  <c r="AJ156" i="1"/>
  <c r="AI156" i="1"/>
  <c r="AH156" i="1"/>
  <c r="AC156" i="1"/>
  <c r="AB156" i="1"/>
  <c r="AA156" i="1"/>
  <c r="U156" i="1"/>
  <c r="T156" i="1"/>
  <c r="S156" i="1"/>
  <c r="R156" i="1"/>
  <c r="Q156" i="1"/>
  <c r="P156" i="1"/>
  <c r="BZ155" i="1"/>
  <c r="BY155" i="1"/>
  <c r="BX155" i="1"/>
  <c r="BU155" i="1"/>
  <c r="BT155" i="1"/>
  <c r="BS155" i="1"/>
  <c r="BO155" i="1"/>
  <c r="BN155" i="1"/>
  <c r="BM155" i="1"/>
  <c r="BJ155" i="1"/>
  <c r="BI155" i="1"/>
  <c r="BH155" i="1"/>
  <c r="BD155" i="1"/>
  <c r="BC155" i="1"/>
  <c r="BB155" i="1"/>
  <c r="AX155" i="1"/>
  <c r="AW155" i="1"/>
  <c r="AV155" i="1"/>
  <c r="AR155" i="1"/>
  <c r="AQ155" i="1"/>
  <c r="AP155" i="1"/>
  <c r="AJ155" i="1"/>
  <c r="AI155" i="1"/>
  <c r="AH155" i="1"/>
  <c r="AC155" i="1"/>
  <c r="AB155" i="1"/>
  <c r="AA155" i="1"/>
  <c r="U155" i="1"/>
  <c r="T155" i="1"/>
  <c r="S155" i="1"/>
  <c r="R155" i="1"/>
  <c r="Q155" i="1"/>
  <c r="P155" i="1"/>
  <c r="BZ154" i="1"/>
  <c r="BY154" i="1"/>
  <c r="BX154" i="1"/>
  <c r="BU154" i="1"/>
  <c r="BT154" i="1"/>
  <c r="BS154" i="1"/>
  <c r="BO154" i="1"/>
  <c r="BN154" i="1"/>
  <c r="BM154" i="1"/>
  <c r="BJ154" i="1"/>
  <c r="BI154" i="1"/>
  <c r="BH154" i="1"/>
  <c r="Y154" i="1" s="1"/>
  <c r="BD154" i="1"/>
  <c r="BC154" i="1"/>
  <c r="BB154" i="1"/>
  <c r="AX154" i="1"/>
  <c r="AW154" i="1"/>
  <c r="AV154" i="1"/>
  <c r="AR154" i="1"/>
  <c r="AQ154" i="1"/>
  <c r="AP154" i="1"/>
  <c r="AJ154" i="1"/>
  <c r="AI154" i="1"/>
  <c r="AH154" i="1"/>
  <c r="AC154" i="1"/>
  <c r="AB154" i="1"/>
  <c r="AA154" i="1"/>
  <c r="U154" i="1"/>
  <c r="T154" i="1"/>
  <c r="S154" i="1"/>
  <c r="R154" i="1"/>
  <c r="Q154" i="1"/>
  <c r="P154" i="1"/>
  <c r="BZ153" i="1"/>
  <c r="BY153" i="1"/>
  <c r="BX153" i="1"/>
  <c r="BU153" i="1"/>
  <c r="BT153" i="1"/>
  <c r="BS153" i="1"/>
  <c r="BO153" i="1"/>
  <c r="BN153" i="1"/>
  <c r="BM153" i="1"/>
  <c r="BJ153" i="1"/>
  <c r="BI153" i="1"/>
  <c r="BH153" i="1"/>
  <c r="BD153" i="1"/>
  <c r="BC153" i="1"/>
  <c r="BB153" i="1"/>
  <c r="AX153" i="1"/>
  <c r="AW153" i="1"/>
  <c r="AV153" i="1"/>
  <c r="AR153" i="1"/>
  <c r="AQ153" i="1"/>
  <c r="AP153" i="1"/>
  <c r="AJ153" i="1"/>
  <c r="AI153" i="1"/>
  <c r="AH153" i="1"/>
  <c r="AC153" i="1"/>
  <c r="AB153" i="1"/>
  <c r="AA153" i="1"/>
  <c r="U153" i="1"/>
  <c r="T153" i="1"/>
  <c r="S153" i="1"/>
  <c r="R153" i="1"/>
  <c r="Q153" i="1"/>
  <c r="P153" i="1"/>
  <c r="BZ152" i="1"/>
  <c r="BY152" i="1"/>
  <c r="BX152" i="1"/>
  <c r="BU152" i="1"/>
  <c r="BT152" i="1"/>
  <c r="BS152" i="1"/>
  <c r="BO152" i="1"/>
  <c r="BN152" i="1"/>
  <c r="BM152" i="1"/>
  <c r="BJ152" i="1"/>
  <c r="BI152" i="1"/>
  <c r="BH152" i="1"/>
  <c r="BD152" i="1"/>
  <c r="BC152" i="1"/>
  <c r="BB152" i="1"/>
  <c r="AX152" i="1"/>
  <c r="AW152" i="1"/>
  <c r="AV152" i="1"/>
  <c r="AR152" i="1"/>
  <c r="AQ152" i="1"/>
  <c r="AP152" i="1"/>
  <c r="AJ152" i="1"/>
  <c r="AI152" i="1"/>
  <c r="AH152" i="1"/>
  <c r="AC152" i="1"/>
  <c r="AB152" i="1"/>
  <c r="AA152" i="1"/>
  <c r="U152" i="1"/>
  <c r="T152" i="1"/>
  <c r="S152" i="1"/>
  <c r="R152" i="1"/>
  <c r="Q152" i="1"/>
  <c r="P152" i="1"/>
  <c r="BZ151" i="1"/>
  <c r="BY151" i="1"/>
  <c r="BX151" i="1"/>
  <c r="BU151" i="1"/>
  <c r="BT151" i="1"/>
  <c r="BS151" i="1"/>
  <c r="BO151" i="1"/>
  <c r="BN151" i="1"/>
  <c r="BM151" i="1"/>
  <c r="BJ151" i="1"/>
  <c r="BI151" i="1"/>
  <c r="BH151" i="1"/>
  <c r="BD151" i="1"/>
  <c r="BC151" i="1"/>
  <c r="BB151" i="1"/>
  <c r="AX151" i="1"/>
  <c r="AW151" i="1"/>
  <c r="AV151" i="1"/>
  <c r="AR151" i="1"/>
  <c r="AQ151" i="1"/>
  <c r="AP151" i="1"/>
  <c r="AJ151" i="1"/>
  <c r="AI151" i="1"/>
  <c r="AH151" i="1"/>
  <c r="AC151" i="1"/>
  <c r="AB151" i="1"/>
  <c r="AA151" i="1"/>
  <c r="U151" i="1"/>
  <c r="T151" i="1"/>
  <c r="S151" i="1"/>
  <c r="R151" i="1"/>
  <c r="Q151" i="1"/>
  <c r="P151" i="1"/>
  <c r="BZ150" i="1"/>
  <c r="BY150" i="1"/>
  <c r="BX150" i="1"/>
  <c r="BU150" i="1"/>
  <c r="BT150" i="1"/>
  <c r="BS150" i="1"/>
  <c r="BO150" i="1"/>
  <c r="BN150" i="1"/>
  <c r="BM150" i="1"/>
  <c r="BJ150" i="1"/>
  <c r="BI150" i="1"/>
  <c r="BH150" i="1"/>
  <c r="BD150" i="1"/>
  <c r="BC150" i="1"/>
  <c r="BB150" i="1"/>
  <c r="AX150" i="1"/>
  <c r="AW150" i="1"/>
  <c r="AV150" i="1"/>
  <c r="AR150" i="1"/>
  <c r="AQ150" i="1"/>
  <c r="AP150" i="1"/>
  <c r="AJ150" i="1"/>
  <c r="AI150" i="1"/>
  <c r="AH150" i="1"/>
  <c r="AC150" i="1"/>
  <c r="AB150" i="1"/>
  <c r="AA150" i="1"/>
  <c r="U150" i="1"/>
  <c r="T150" i="1"/>
  <c r="S150" i="1"/>
  <c r="R150" i="1"/>
  <c r="Q150" i="1"/>
  <c r="P150" i="1"/>
  <c r="BZ149" i="1"/>
  <c r="BY149" i="1"/>
  <c r="BX149" i="1"/>
  <c r="BU149" i="1"/>
  <c r="BT149" i="1"/>
  <c r="BS149" i="1"/>
  <c r="BO149" i="1"/>
  <c r="BN149" i="1"/>
  <c r="BM149" i="1"/>
  <c r="BJ149" i="1"/>
  <c r="BI149" i="1"/>
  <c r="BH149" i="1"/>
  <c r="BD149" i="1"/>
  <c r="BC149" i="1"/>
  <c r="BB149" i="1"/>
  <c r="AX149" i="1"/>
  <c r="AW149" i="1"/>
  <c r="AV149" i="1"/>
  <c r="AR149" i="1"/>
  <c r="AQ149" i="1"/>
  <c r="AP149" i="1"/>
  <c r="AJ149" i="1"/>
  <c r="AI149" i="1"/>
  <c r="AH149" i="1"/>
  <c r="AC149" i="1"/>
  <c r="AB149" i="1"/>
  <c r="AA149" i="1"/>
  <c r="U149" i="1"/>
  <c r="T149" i="1"/>
  <c r="S149" i="1"/>
  <c r="R149" i="1"/>
  <c r="Q149" i="1"/>
  <c r="P149" i="1"/>
  <c r="BZ148" i="1"/>
  <c r="BY148" i="1"/>
  <c r="BX148" i="1"/>
  <c r="BU148" i="1"/>
  <c r="BT148" i="1"/>
  <c r="BS148" i="1"/>
  <c r="BO148" i="1"/>
  <c r="BN148" i="1"/>
  <c r="BM148" i="1"/>
  <c r="BJ148" i="1"/>
  <c r="BI148" i="1"/>
  <c r="BH148" i="1"/>
  <c r="BD148" i="1"/>
  <c r="BC148" i="1"/>
  <c r="BB148" i="1"/>
  <c r="AX148" i="1"/>
  <c r="AW148" i="1"/>
  <c r="AV148" i="1"/>
  <c r="AR148" i="1"/>
  <c r="AQ148" i="1"/>
  <c r="AP148" i="1"/>
  <c r="Y148" i="1" s="1"/>
  <c r="AJ148" i="1"/>
  <c r="AI148" i="1"/>
  <c r="AH148" i="1"/>
  <c r="AC148" i="1"/>
  <c r="AB148" i="1"/>
  <c r="AA148" i="1"/>
  <c r="U148" i="1"/>
  <c r="T148" i="1"/>
  <c r="S148" i="1"/>
  <c r="R148" i="1"/>
  <c r="Q148" i="1"/>
  <c r="P148" i="1"/>
  <c r="BZ147" i="1"/>
  <c r="BY147" i="1"/>
  <c r="BX147" i="1"/>
  <c r="BU147" i="1"/>
  <c r="BT147" i="1"/>
  <c r="BS147" i="1"/>
  <c r="BO147" i="1"/>
  <c r="BN147" i="1"/>
  <c r="BM147" i="1"/>
  <c r="BJ147" i="1"/>
  <c r="BI147" i="1"/>
  <c r="BH147" i="1"/>
  <c r="BD147" i="1"/>
  <c r="BC147" i="1"/>
  <c r="BB147" i="1"/>
  <c r="AX147" i="1"/>
  <c r="AW147" i="1"/>
  <c r="AV147" i="1"/>
  <c r="AR147" i="1"/>
  <c r="AQ147" i="1"/>
  <c r="AP147" i="1"/>
  <c r="Y147" i="1" s="1"/>
  <c r="AJ147" i="1"/>
  <c r="AI147" i="1"/>
  <c r="AH147" i="1"/>
  <c r="AC147" i="1"/>
  <c r="AB147" i="1"/>
  <c r="AA147" i="1"/>
  <c r="U147" i="1"/>
  <c r="T147" i="1"/>
  <c r="S147" i="1"/>
  <c r="R147" i="1"/>
  <c r="Q147" i="1"/>
  <c r="P147" i="1"/>
  <c r="BZ146" i="1"/>
  <c r="BY146" i="1"/>
  <c r="BX146" i="1"/>
  <c r="BU146" i="1"/>
  <c r="BT146" i="1"/>
  <c r="BS146" i="1"/>
  <c r="BO146" i="1"/>
  <c r="BN146" i="1"/>
  <c r="BM146" i="1"/>
  <c r="BJ146" i="1"/>
  <c r="BI146" i="1"/>
  <c r="BH146" i="1"/>
  <c r="BD146" i="1"/>
  <c r="BC146" i="1"/>
  <c r="BB146" i="1"/>
  <c r="AX146" i="1"/>
  <c r="AW146" i="1"/>
  <c r="AV146" i="1"/>
  <c r="AR146" i="1"/>
  <c r="AQ146" i="1"/>
  <c r="AP146" i="1"/>
  <c r="AJ146" i="1"/>
  <c r="AI146" i="1"/>
  <c r="AH146" i="1"/>
  <c r="AC146" i="1"/>
  <c r="AB146" i="1"/>
  <c r="AA146" i="1"/>
  <c r="U146" i="1"/>
  <c r="T146" i="1"/>
  <c r="S146" i="1"/>
  <c r="R146" i="1"/>
  <c r="Q146" i="1"/>
  <c r="P146" i="1"/>
  <c r="BZ145" i="1"/>
  <c r="BY145" i="1"/>
  <c r="BX145" i="1"/>
  <c r="BU145" i="1"/>
  <c r="BT145" i="1"/>
  <c r="BS145" i="1"/>
  <c r="BO145" i="1"/>
  <c r="BN145" i="1"/>
  <c r="BM145" i="1"/>
  <c r="BJ145" i="1"/>
  <c r="BI145" i="1"/>
  <c r="BH145" i="1"/>
  <c r="BD145" i="1"/>
  <c r="BC145" i="1"/>
  <c r="BB145" i="1"/>
  <c r="AX145" i="1"/>
  <c r="AW145" i="1"/>
  <c r="AV145" i="1"/>
  <c r="AR145" i="1"/>
  <c r="AQ145" i="1"/>
  <c r="AP145" i="1"/>
  <c r="AJ145" i="1"/>
  <c r="AI145" i="1"/>
  <c r="AH145" i="1"/>
  <c r="AC145" i="1"/>
  <c r="AB145" i="1"/>
  <c r="AA145" i="1"/>
  <c r="U145" i="1"/>
  <c r="T145" i="1"/>
  <c r="S145" i="1"/>
  <c r="R145" i="1"/>
  <c r="Q145" i="1"/>
  <c r="P145" i="1"/>
  <c r="BZ144" i="1"/>
  <c r="BY144" i="1"/>
  <c r="BX144" i="1"/>
  <c r="BU144" i="1"/>
  <c r="BT144" i="1"/>
  <c r="BS144" i="1"/>
  <c r="BO144" i="1"/>
  <c r="BN144" i="1"/>
  <c r="BM144" i="1"/>
  <c r="BJ144" i="1"/>
  <c r="BI144" i="1"/>
  <c r="BH144" i="1"/>
  <c r="BD144" i="1"/>
  <c r="BC144" i="1"/>
  <c r="BB144" i="1"/>
  <c r="AX144" i="1"/>
  <c r="AW144" i="1"/>
  <c r="AV144" i="1"/>
  <c r="AR144" i="1"/>
  <c r="AQ144" i="1"/>
  <c r="AP144" i="1"/>
  <c r="AJ144" i="1"/>
  <c r="AI144" i="1"/>
  <c r="AH144" i="1"/>
  <c r="AC144" i="1"/>
  <c r="AB144" i="1"/>
  <c r="AA144" i="1"/>
  <c r="U144" i="1"/>
  <c r="T144" i="1"/>
  <c r="S144" i="1"/>
  <c r="R144" i="1"/>
  <c r="Q144" i="1"/>
  <c r="P144" i="1"/>
  <c r="BZ143" i="1"/>
  <c r="BY143" i="1"/>
  <c r="BX143" i="1"/>
  <c r="BU143" i="1"/>
  <c r="BT143" i="1"/>
  <c r="BS143" i="1"/>
  <c r="BO143" i="1"/>
  <c r="BN143" i="1"/>
  <c r="BM143" i="1"/>
  <c r="BJ143" i="1"/>
  <c r="BI143" i="1"/>
  <c r="BH143" i="1"/>
  <c r="BD143" i="1"/>
  <c r="BC143" i="1"/>
  <c r="BB143" i="1"/>
  <c r="AX143" i="1"/>
  <c r="AW143" i="1"/>
  <c r="AV143" i="1"/>
  <c r="AR143" i="1"/>
  <c r="AQ143" i="1"/>
  <c r="AP143" i="1"/>
  <c r="AJ143" i="1"/>
  <c r="AI143" i="1"/>
  <c r="AH143" i="1"/>
  <c r="AC143" i="1"/>
  <c r="AB143" i="1"/>
  <c r="AA143" i="1"/>
  <c r="U143" i="1"/>
  <c r="T143" i="1"/>
  <c r="S143" i="1"/>
  <c r="R143" i="1"/>
  <c r="Q143" i="1"/>
  <c r="P143" i="1"/>
  <c r="BZ142" i="1"/>
  <c r="BY142" i="1"/>
  <c r="BX142" i="1"/>
  <c r="BU142" i="1"/>
  <c r="BT142" i="1"/>
  <c r="BS142" i="1"/>
  <c r="BO142" i="1"/>
  <c r="BN142" i="1"/>
  <c r="BM142" i="1"/>
  <c r="BJ142" i="1"/>
  <c r="BI142" i="1"/>
  <c r="BH142" i="1"/>
  <c r="BD142" i="1"/>
  <c r="BC142" i="1"/>
  <c r="BB142" i="1"/>
  <c r="AX142" i="1"/>
  <c r="AW142" i="1"/>
  <c r="AV142" i="1"/>
  <c r="AR142" i="1"/>
  <c r="AQ142" i="1"/>
  <c r="AP142" i="1"/>
  <c r="AJ142" i="1"/>
  <c r="AI142" i="1"/>
  <c r="AH142" i="1"/>
  <c r="AC142" i="1"/>
  <c r="AB142" i="1"/>
  <c r="AA142" i="1"/>
  <c r="U142" i="1"/>
  <c r="T142" i="1"/>
  <c r="S142" i="1"/>
  <c r="R142" i="1"/>
  <c r="Q142" i="1"/>
  <c r="P142" i="1"/>
  <c r="BZ141" i="1"/>
  <c r="BY141" i="1"/>
  <c r="BX141" i="1"/>
  <c r="BU141" i="1"/>
  <c r="BT141" i="1"/>
  <c r="BS141" i="1"/>
  <c r="BO141" i="1"/>
  <c r="BN141" i="1"/>
  <c r="BM141" i="1"/>
  <c r="BJ141" i="1"/>
  <c r="BI141" i="1"/>
  <c r="BH141" i="1"/>
  <c r="BD141" i="1"/>
  <c r="BC141" i="1"/>
  <c r="BB141" i="1"/>
  <c r="AX141" i="1"/>
  <c r="AW141" i="1"/>
  <c r="AV141" i="1"/>
  <c r="AR141" i="1"/>
  <c r="AQ141" i="1"/>
  <c r="AP141" i="1"/>
  <c r="AJ141" i="1"/>
  <c r="AI141" i="1"/>
  <c r="AH141" i="1"/>
  <c r="AC141" i="1"/>
  <c r="AB141" i="1"/>
  <c r="AA141" i="1"/>
  <c r="U141" i="1"/>
  <c r="T141" i="1"/>
  <c r="S141" i="1"/>
  <c r="R141" i="1"/>
  <c r="Q141" i="1"/>
  <c r="P141" i="1"/>
  <c r="BZ140" i="1"/>
  <c r="BY140" i="1"/>
  <c r="BX140" i="1"/>
  <c r="BU140" i="1"/>
  <c r="BT140" i="1"/>
  <c r="BS140" i="1"/>
  <c r="BO140" i="1"/>
  <c r="BN140" i="1"/>
  <c r="BM140" i="1"/>
  <c r="BJ140" i="1"/>
  <c r="BI140" i="1"/>
  <c r="BH140" i="1"/>
  <c r="BD140" i="1"/>
  <c r="BC140" i="1"/>
  <c r="BB140" i="1"/>
  <c r="AX140" i="1"/>
  <c r="AW140" i="1"/>
  <c r="AV140" i="1"/>
  <c r="AR140" i="1"/>
  <c r="AQ140" i="1"/>
  <c r="AP140" i="1"/>
  <c r="AJ140" i="1"/>
  <c r="AI140" i="1"/>
  <c r="AH140" i="1"/>
  <c r="AC140" i="1"/>
  <c r="AB140" i="1"/>
  <c r="AA140" i="1"/>
  <c r="U140" i="1"/>
  <c r="T140" i="1"/>
  <c r="S140" i="1"/>
  <c r="R140" i="1"/>
  <c r="Q140" i="1"/>
  <c r="P140" i="1"/>
  <c r="BZ139" i="1"/>
  <c r="BY139" i="1"/>
  <c r="BX139" i="1"/>
  <c r="BU139" i="1"/>
  <c r="BT139" i="1"/>
  <c r="BS139" i="1"/>
  <c r="BO139" i="1"/>
  <c r="BN139" i="1"/>
  <c r="BM139" i="1"/>
  <c r="BJ139" i="1"/>
  <c r="BI139" i="1"/>
  <c r="BH139" i="1"/>
  <c r="BD139" i="1"/>
  <c r="BC139" i="1"/>
  <c r="BB139" i="1"/>
  <c r="AX139" i="1"/>
  <c r="AW139" i="1"/>
  <c r="AV139" i="1"/>
  <c r="AR139" i="1"/>
  <c r="AQ139" i="1"/>
  <c r="AP139" i="1"/>
  <c r="AJ139" i="1"/>
  <c r="AI139" i="1"/>
  <c r="AH139" i="1"/>
  <c r="AC139" i="1"/>
  <c r="AB139" i="1"/>
  <c r="AA139" i="1"/>
  <c r="U139" i="1"/>
  <c r="T139" i="1"/>
  <c r="S139" i="1"/>
  <c r="R139" i="1"/>
  <c r="Q139" i="1"/>
  <c r="P139" i="1"/>
  <c r="BZ138" i="1"/>
  <c r="BY138" i="1"/>
  <c r="BX138" i="1"/>
  <c r="BU138" i="1"/>
  <c r="BT138" i="1"/>
  <c r="BS138" i="1"/>
  <c r="BO138" i="1"/>
  <c r="BN138" i="1"/>
  <c r="BM138" i="1"/>
  <c r="BJ138" i="1"/>
  <c r="BI138" i="1"/>
  <c r="BH138" i="1"/>
  <c r="BD138" i="1"/>
  <c r="BC138" i="1"/>
  <c r="BB138" i="1"/>
  <c r="AX138" i="1"/>
  <c r="AW138" i="1"/>
  <c r="AV138" i="1"/>
  <c r="AR138" i="1"/>
  <c r="AQ138" i="1"/>
  <c r="AP138" i="1"/>
  <c r="AJ138" i="1"/>
  <c r="AI138" i="1"/>
  <c r="AH138" i="1"/>
  <c r="AC138" i="1"/>
  <c r="AB138" i="1"/>
  <c r="AA138" i="1"/>
  <c r="U138" i="1"/>
  <c r="T138" i="1"/>
  <c r="S138" i="1"/>
  <c r="R138" i="1"/>
  <c r="Q138" i="1"/>
  <c r="P138" i="1"/>
  <c r="BZ137" i="1"/>
  <c r="BY137" i="1"/>
  <c r="BX137" i="1"/>
  <c r="BU137" i="1"/>
  <c r="BT137" i="1"/>
  <c r="BS137" i="1"/>
  <c r="BO137" i="1"/>
  <c r="BN137" i="1"/>
  <c r="BM137" i="1"/>
  <c r="BJ137" i="1"/>
  <c r="BI137" i="1"/>
  <c r="BH137" i="1"/>
  <c r="BD137" i="1"/>
  <c r="BC137" i="1"/>
  <c r="BB137" i="1"/>
  <c r="AX137" i="1"/>
  <c r="AW137" i="1"/>
  <c r="AV137" i="1"/>
  <c r="AR137" i="1"/>
  <c r="AQ137" i="1"/>
  <c r="AP137" i="1"/>
  <c r="AJ137" i="1"/>
  <c r="AI137" i="1"/>
  <c r="AH137" i="1"/>
  <c r="AC137" i="1"/>
  <c r="AB137" i="1"/>
  <c r="AA137" i="1"/>
  <c r="U137" i="1"/>
  <c r="T137" i="1"/>
  <c r="S137" i="1"/>
  <c r="R137" i="1"/>
  <c r="Q137" i="1"/>
  <c r="P137" i="1"/>
  <c r="BZ136" i="1"/>
  <c r="BY136" i="1"/>
  <c r="BX136" i="1"/>
  <c r="BU136" i="1"/>
  <c r="BT136" i="1"/>
  <c r="BS136" i="1"/>
  <c r="BO136" i="1"/>
  <c r="BN136" i="1"/>
  <c r="BM136" i="1"/>
  <c r="BJ136" i="1"/>
  <c r="BI136" i="1"/>
  <c r="BH136" i="1"/>
  <c r="BD136" i="1"/>
  <c r="BC136" i="1"/>
  <c r="BB136" i="1"/>
  <c r="AX136" i="1"/>
  <c r="AW136" i="1"/>
  <c r="AV136" i="1"/>
  <c r="AR136" i="1"/>
  <c r="AQ136" i="1"/>
  <c r="AP136" i="1"/>
  <c r="AJ136" i="1"/>
  <c r="AI136" i="1"/>
  <c r="AH136" i="1"/>
  <c r="AC136" i="1"/>
  <c r="AB136" i="1"/>
  <c r="AA136" i="1"/>
  <c r="U136" i="1"/>
  <c r="T136" i="1"/>
  <c r="S136" i="1"/>
  <c r="R136" i="1"/>
  <c r="Q136" i="1"/>
  <c r="P136" i="1"/>
  <c r="BZ135" i="1"/>
  <c r="BY135" i="1"/>
  <c r="BX135" i="1"/>
  <c r="BU135" i="1"/>
  <c r="BT135" i="1"/>
  <c r="BS135" i="1"/>
  <c r="BO135" i="1"/>
  <c r="BN135" i="1"/>
  <c r="BM135" i="1"/>
  <c r="BJ135" i="1"/>
  <c r="BI135" i="1"/>
  <c r="BH135" i="1"/>
  <c r="BD135" i="1"/>
  <c r="BC135" i="1"/>
  <c r="BB135" i="1"/>
  <c r="AX135" i="1"/>
  <c r="AW135" i="1"/>
  <c r="AV135" i="1"/>
  <c r="AR135" i="1"/>
  <c r="AQ135" i="1"/>
  <c r="AP135" i="1"/>
  <c r="AJ135" i="1"/>
  <c r="AI135" i="1"/>
  <c r="AH135" i="1"/>
  <c r="AC135" i="1"/>
  <c r="AB135" i="1"/>
  <c r="AA135" i="1"/>
  <c r="U135" i="1"/>
  <c r="T135" i="1"/>
  <c r="S135" i="1"/>
  <c r="R135" i="1"/>
  <c r="Q135" i="1"/>
  <c r="P135" i="1"/>
  <c r="BZ134" i="1"/>
  <c r="BY134" i="1"/>
  <c r="BX134" i="1"/>
  <c r="BU134" i="1"/>
  <c r="BT134" i="1"/>
  <c r="BS134" i="1"/>
  <c r="BO134" i="1"/>
  <c r="BN134" i="1"/>
  <c r="BM134" i="1"/>
  <c r="BJ134" i="1"/>
  <c r="BI134" i="1"/>
  <c r="BH134" i="1"/>
  <c r="BD134" i="1"/>
  <c r="BC134" i="1"/>
  <c r="BB134" i="1"/>
  <c r="AX134" i="1"/>
  <c r="AW134" i="1"/>
  <c r="AV134" i="1"/>
  <c r="AR134" i="1"/>
  <c r="AQ134" i="1"/>
  <c r="AP134" i="1"/>
  <c r="AJ134" i="1"/>
  <c r="AI134" i="1"/>
  <c r="AH134" i="1"/>
  <c r="AC134" i="1"/>
  <c r="AB134" i="1"/>
  <c r="AA134" i="1"/>
  <c r="U134" i="1"/>
  <c r="T134" i="1"/>
  <c r="S134" i="1"/>
  <c r="R134" i="1"/>
  <c r="Q134" i="1"/>
  <c r="P134" i="1"/>
  <c r="BZ133" i="1"/>
  <c r="BY133" i="1"/>
  <c r="BX133" i="1"/>
  <c r="BU133" i="1"/>
  <c r="BT133" i="1"/>
  <c r="BS133" i="1"/>
  <c r="BO133" i="1"/>
  <c r="BN133" i="1"/>
  <c r="BM133" i="1"/>
  <c r="BJ133" i="1"/>
  <c r="BI133" i="1"/>
  <c r="BH133" i="1"/>
  <c r="BD133" i="1"/>
  <c r="BC133" i="1"/>
  <c r="BB133" i="1"/>
  <c r="AX133" i="1"/>
  <c r="AW133" i="1"/>
  <c r="AV133" i="1"/>
  <c r="AR133" i="1"/>
  <c r="AQ133" i="1"/>
  <c r="AP133" i="1"/>
  <c r="AJ133" i="1"/>
  <c r="AI133" i="1"/>
  <c r="AH133" i="1"/>
  <c r="AC133" i="1"/>
  <c r="AB133" i="1"/>
  <c r="AA133" i="1"/>
  <c r="U133" i="1"/>
  <c r="T133" i="1"/>
  <c r="S133" i="1"/>
  <c r="R133" i="1"/>
  <c r="Q133" i="1"/>
  <c r="P133" i="1"/>
  <c r="BZ132" i="1"/>
  <c r="BY132" i="1"/>
  <c r="BX132" i="1"/>
  <c r="BU132" i="1"/>
  <c r="BT132" i="1"/>
  <c r="BS132" i="1"/>
  <c r="BO132" i="1"/>
  <c r="BN132" i="1"/>
  <c r="BM132" i="1"/>
  <c r="BJ132" i="1"/>
  <c r="BI132" i="1"/>
  <c r="BH132" i="1"/>
  <c r="BD132" i="1"/>
  <c r="BC132" i="1"/>
  <c r="BB132" i="1"/>
  <c r="AX132" i="1"/>
  <c r="AW132" i="1"/>
  <c r="AV132" i="1"/>
  <c r="AR132" i="1"/>
  <c r="AQ132" i="1"/>
  <c r="AP132" i="1"/>
  <c r="AJ132" i="1"/>
  <c r="AI132" i="1"/>
  <c r="AH132" i="1"/>
  <c r="AC132" i="1"/>
  <c r="AB132" i="1"/>
  <c r="AA132" i="1"/>
  <c r="U132" i="1"/>
  <c r="T132" i="1"/>
  <c r="S132" i="1"/>
  <c r="R132" i="1"/>
  <c r="Q132" i="1"/>
  <c r="P132" i="1"/>
  <c r="BZ131" i="1"/>
  <c r="BY131" i="1"/>
  <c r="BX131" i="1"/>
  <c r="BU131" i="1"/>
  <c r="BT131" i="1"/>
  <c r="BS131" i="1"/>
  <c r="BO131" i="1"/>
  <c r="BN131" i="1"/>
  <c r="BM131" i="1"/>
  <c r="BJ131" i="1"/>
  <c r="BI131" i="1"/>
  <c r="BH131" i="1"/>
  <c r="BD131" i="1"/>
  <c r="BC131" i="1"/>
  <c r="BB131" i="1"/>
  <c r="AX131" i="1"/>
  <c r="AW131" i="1"/>
  <c r="AV131" i="1"/>
  <c r="AR131" i="1"/>
  <c r="AQ131" i="1"/>
  <c r="AP131" i="1"/>
  <c r="AJ131" i="1"/>
  <c r="AI131" i="1"/>
  <c r="AH131" i="1"/>
  <c r="AC131" i="1"/>
  <c r="AB131" i="1"/>
  <c r="AA131" i="1"/>
  <c r="U131" i="1"/>
  <c r="T131" i="1"/>
  <c r="S131" i="1"/>
  <c r="R131" i="1"/>
  <c r="Q131" i="1"/>
  <c r="P131" i="1"/>
  <c r="BZ130" i="1"/>
  <c r="BY130" i="1"/>
  <c r="BX130" i="1"/>
  <c r="BU130" i="1"/>
  <c r="BT130" i="1"/>
  <c r="BS130" i="1"/>
  <c r="BO130" i="1"/>
  <c r="BN130" i="1"/>
  <c r="BM130" i="1"/>
  <c r="BJ130" i="1"/>
  <c r="BI130" i="1"/>
  <c r="BH130" i="1"/>
  <c r="BD130" i="1"/>
  <c r="BC130" i="1"/>
  <c r="BB130" i="1"/>
  <c r="AX130" i="1"/>
  <c r="AW130" i="1"/>
  <c r="AV130" i="1"/>
  <c r="AR130" i="1"/>
  <c r="AQ130" i="1"/>
  <c r="AP130" i="1"/>
  <c r="AJ130" i="1"/>
  <c r="AI130" i="1"/>
  <c r="AH130" i="1"/>
  <c r="AC130" i="1"/>
  <c r="AB130" i="1"/>
  <c r="AA130" i="1"/>
  <c r="U130" i="1"/>
  <c r="T130" i="1"/>
  <c r="S130" i="1"/>
  <c r="R130" i="1"/>
  <c r="Q130" i="1"/>
  <c r="P130" i="1"/>
  <c r="BZ129" i="1"/>
  <c r="BY129" i="1"/>
  <c r="BX129" i="1"/>
  <c r="BU129" i="1"/>
  <c r="BT129" i="1"/>
  <c r="BS129" i="1"/>
  <c r="BO129" i="1"/>
  <c r="BN129" i="1"/>
  <c r="BM129" i="1"/>
  <c r="BJ129" i="1"/>
  <c r="BI129" i="1"/>
  <c r="BH129" i="1"/>
  <c r="BD129" i="1"/>
  <c r="BC129" i="1"/>
  <c r="BB129" i="1"/>
  <c r="AX129" i="1"/>
  <c r="AW129" i="1"/>
  <c r="AV129" i="1"/>
  <c r="AR129" i="1"/>
  <c r="AQ129" i="1"/>
  <c r="AP129" i="1"/>
  <c r="AJ129" i="1"/>
  <c r="AI129" i="1"/>
  <c r="AH129" i="1"/>
  <c r="AC129" i="1"/>
  <c r="AB129" i="1"/>
  <c r="AA129" i="1"/>
  <c r="U129" i="1"/>
  <c r="T129" i="1"/>
  <c r="S129" i="1"/>
  <c r="R129" i="1"/>
  <c r="Q129" i="1"/>
  <c r="P129" i="1"/>
  <c r="BZ128" i="1"/>
  <c r="BY128" i="1"/>
  <c r="BX128" i="1"/>
  <c r="BU128" i="1"/>
  <c r="BT128" i="1"/>
  <c r="BS128" i="1"/>
  <c r="BO128" i="1"/>
  <c r="BN128" i="1"/>
  <c r="BM128" i="1"/>
  <c r="BJ128" i="1"/>
  <c r="BI128" i="1"/>
  <c r="BH128" i="1"/>
  <c r="Y128" i="1" s="1"/>
  <c r="BD128" i="1"/>
  <c r="BC128" i="1"/>
  <c r="BB128" i="1"/>
  <c r="AX128" i="1"/>
  <c r="AW128" i="1"/>
  <c r="AV128" i="1"/>
  <c r="AR128" i="1"/>
  <c r="AQ128" i="1"/>
  <c r="AP128" i="1"/>
  <c r="AJ128" i="1"/>
  <c r="AI128" i="1"/>
  <c r="AH128" i="1"/>
  <c r="AC128" i="1"/>
  <c r="AB128" i="1"/>
  <c r="AA128" i="1"/>
  <c r="U128" i="1"/>
  <c r="T128" i="1"/>
  <c r="S128" i="1"/>
  <c r="R128" i="1"/>
  <c r="Q128" i="1"/>
  <c r="P128" i="1"/>
  <c r="BZ127" i="1"/>
  <c r="BY127" i="1"/>
  <c r="BX127" i="1"/>
  <c r="BU127" i="1"/>
  <c r="BT127" i="1"/>
  <c r="BS127" i="1"/>
  <c r="BO127" i="1"/>
  <c r="BN127" i="1"/>
  <c r="BM127" i="1"/>
  <c r="BJ127" i="1"/>
  <c r="BI127" i="1"/>
  <c r="BH127" i="1"/>
  <c r="BD127" i="1"/>
  <c r="BC127" i="1"/>
  <c r="BB127" i="1"/>
  <c r="AX127" i="1"/>
  <c r="AW127" i="1"/>
  <c r="AV127" i="1"/>
  <c r="AR127" i="1"/>
  <c r="AQ127" i="1"/>
  <c r="AP127" i="1"/>
  <c r="AJ127" i="1"/>
  <c r="AI127" i="1"/>
  <c r="AH127" i="1"/>
  <c r="AC127" i="1"/>
  <c r="AB127" i="1"/>
  <c r="AA127" i="1"/>
  <c r="U127" i="1"/>
  <c r="T127" i="1"/>
  <c r="S127" i="1"/>
  <c r="R127" i="1"/>
  <c r="Q127" i="1"/>
  <c r="P127" i="1"/>
  <c r="BZ126" i="1"/>
  <c r="BY126" i="1"/>
  <c r="BX126" i="1"/>
  <c r="BU126" i="1"/>
  <c r="BT126" i="1"/>
  <c r="BS126" i="1"/>
  <c r="BO126" i="1"/>
  <c r="BN126" i="1"/>
  <c r="BM126" i="1"/>
  <c r="BJ126" i="1"/>
  <c r="BI126" i="1"/>
  <c r="BH126" i="1"/>
  <c r="BD126" i="1"/>
  <c r="BC126" i="1"/>
  <c r="BB126" i="1"/>
  <c r="AX126" i="1"/>
  <c r="AW126" i="1"/>
  <c r="AV126" i="1"/>
  <c r="AR126" i="1"/>
  <c r="AQ126" i="1"/>
  <c r="AP126" i="1"/>
  <c r="AJ126" i="1"/>
  <c r="AI126" i="1"/>
  <c r="AH126" i="1"/>
  <c r="AC126" i="1"/>
  <c r="AB126" i="1"/>
  <c r="AA126" i="1"/>
  <c r="U126" i="1"/>
  <c r="T126" i="1"/>
  <c r="S126" i="1"/>
  <c r="R126" i="1"/>
  <c r="Q126" i="1"/>
  <c r="P126" i="1"/>
  <c r="BZ125" i="1"/>
  <c r="BY125" i="1"/>
  <c r="BX125" i="1"/>
  <c r="BU125" i="1"/>
  <c r="BT125" i="1"/>
  <c r="BS125" i="1"/>
  <c r="BO125" i="1"/>
  <c r="BN125" i="1"/>
  <c r="BM125" i="1"/>
  <c r="BJ125" i="1"/>
  <c r="BI125" i="1"/>
  <c r="BH125" i="1"/>
  <c r="BD125" i="1"/>
  <c r="BC125" i="1"/>
  <c r="BB125" i="1"/>
  <c r="AX125" i="1"/>
  <c r="AW125" i="1"/>
  <c r="AV125" i="1"/>
  <c r="AR125" i="1"/>
  <c r="AQ125" i="1"/>
  <c r="AP125" i="1"/>
  <c r="AJ125" i="1"/>
  <c r="AI125" i="1"/>
  <c r="AH125" i="1"/>
  <c r="AC125" i="1"/>
  <c r="AB125" i="1"/>
  <c r="AA125" i="1"/>
  <c r="U125" i="1"/>
  <c r="T125" i="1"/>
  <c r="S125" i="1"/>
  <c r="R125" i="1"/>
  <c r="Q125" i="1"/>
  <c r="P125" i="1"/>
  <c r="BZ124" i="1"/>
  <c r="BY124" i="1"/>
  <c r="BX124" i="1"/>
  <c r="BU124" i="1"/>
  <c r="BT124" i="1"/>
  <c r="BS124" i="1"/>
  <c r="BO124" i="1"/>
  <c r="BN124" i="1"/>
  <c r="BM124" i="1"/>
  <c r="BJ124" i="1"/>
  <c r="BI124" i="1"/>
  <c r="BH124" i="1"/>
  <c r="BD124" i="1"/>
  <c r="BC124" i="1"/>
  <c r="BB124" i="1"/>
  <c r="AX124" i="1"/>
  <c r="AW124" i="1"/>
  <c r="AV124" i="1"/>
  <c r="AR124" i="1"/>
  <c r="AQ124" i="1"/>
  <c r="AP124" i="1"/>
  <c r="AJ124" i="1"/>
  <c r="AI124" i="1"/>
  <c r="AH124" i="1"/>
  <c r="AC124" i="1"/>
  <c r="AB124" i="1"/>
  <c r="AA124" i="1"/>
  <c r="U124" i="1"/>
  <c r="T124" i="1"/>
  <c r="S124" i="1"/>
  <c r="R124" i="1"/>
  <c r="Q124" i="1"/>
  <c r="P124" i="1"/>
  <c r="BZ123" i="1"/>
  <c r="BY123" i="1"/>
  <c r="BX123" i="1"/>
  <c r="BU123" i="1"/>
  <c r="BT123" i="1"/>
  <c r="BS123" i="1"/>
  <c r="BO123" i="1"/>
  <c r="BN123" i="1"/>
  <c r="BM123" i="1"/>
  <c r="BJ123" i="1"/>
  <c r="BI123" i="1"/>
  <c r="BH123" i="1"/>
  <c r="BD123" i="1"/>
  <c r="BC123" i="1"/>
  <c r="BB123" i="1"/>
  <c r="AX123" i="1"/>
  <c r="AW123" i="1"/>
  <c r="AV123" i="1"/>
  <c r="AR123" i="1"/>
  <c r="AQ123" i="1"/>
  <c r="AP123" i="1"/>
  <c r="AJ123" i="1"/>
  <c r="AI123" i="1"/>
  <c r="AH123" i="1"/>
  <c r="AC123" i="1"/>
  <c r="AB123" i="1"/>
  <c r="AA123" i="1"/>
  <c r="U123" i="1"/>
  <c r="T123" i="1"/>
  <c r="S123" i="1"/>
  <c r="R123" i="1"/>
  <c r="Q123" i="1"/>
  <c r="P123" i="1"/>
  <c r="BZ122" i="1"/>
  <c r="BY122" i="1"/>
  <c r="BX122" i="1"/>
  <c r="BU122" i="1"/>
  <c r="BT122" i="1"/>
  <c r="BS122" i="1"/>
  <c r="BO122" i="1"/>
  <c r="BN122" i="1"/>
  <c r="BM122" i="1"/>
  <c r="BJ122" i="1"/>
  <c r="BI122" i="1"/>
  <c r="BH122" i="1"/>
  <c r="BD122" i="1"/>
  <c r="BC122" i="1"/>
  <c r="BB122" i="1"/>
  <c r="AX122" i="1"/>
  <c r="AW122" i="1"/>
  <c r="AV122" i="1"/>
  <c r="AR122" i="1"/>
  <c r="AQ122" i="1"/>
  <c r="AP122" i="1"/>
  <c r="AJ122" i="1"/>
  <c r="AI122" i="1"/>
  <c r="AH122" i="1"/>
  <c r="AC122" i="1"/>
  <c r="AB122" i="1"/>
  <c r="AA122" i="1"/>
  <c r="U122" i="1"/>
  <c r="T122" i="1"/>
  <c r="S122" i="1"/>
  <c r="R122" i="1"/>
  <c r="Q122" i="1"/>
  <c r="P122" i="1"/>
  <c r="BZ121" i="1"/>
  <c r="BY121" i="1"/>
  <c r="BX121" i="1"/>
  <c r="BU121" i="1"/>
  <c r="BT121" i="1"/>
  <c r="BS121" i="1"/>
  <c r="BO121" i="1"/>
  <c r="BN121" i="1"/>
  <c r="BM121" i="1"/>
  <c r="BJ121" i="1"/>
  <c r="BI121" i="1"/>
  <c r="BH121" i="1"/>
  <c r="BD121" i="1"/>
  <c r="BC121" i="1"/>
  <c r="BB121" i="1"/>
  <c r="AX121" i="1"/>
  <c r="AW121" i="1"/>
  <c r="AV121" i="1"/>
  <c r="AR121" i="1"/>
  <c r="AQ121" i="1"/>
  <c r="AP121" i="1"/>
  <c r="AJ121" i="1"/>
  <c r="AI121" i="1"/>
  <c r="AH121" i="1"/>
  <c r="AC121" i="1"/>
  <c r="AB121" i="1"/>
  <c r="AA121" i="1"/>
  <c r="U121" i="1"/>
  <c r="T121" i="1"/>
  <c r="S121" i="1"/>
  <c r="R121" i="1"/>
  <c r="Q121" i="1"/>
  <c r="P121" i="1"/>
  <c r="BZ120" i="1"/>
  <c r="BY120" i="1"/>
  <c r="BX120" i="1"/>
  <c r="BU120" i="1"/>
  <c r="BT120" i="1"/>
  <c r="BS120" i="1"/>
  <c r="BO120" i="1"/>
  <c r="BN120" i="1"/>
  <c r="BM120" i="1"/>
  <c r="BJ120" i="1"/>
  <c r="BI120" i="1"/>
  <c r="BH120" i="1"/>
  <c r="BD120" i="1"/>
  <c r="BC120" i="1"/>
  <c r="BB120" i="1"/>
  <c r="AX120" i="1"/>
  <c r="AW120" i="1"/>
  <c r="AV120" i="1"/>
  <c r="AR120" i="1"/>
  <c r="AQ120" i="1"/>
  <c r="AP120" i="1"/>
  <c r="AJ120" i="1"/>
  <c r="AI120" i="1"/>
  <c r="AH120" i="1"/>
  <c r="AC120" i="1"/>
  <c r="AB120" i="1"/>
  <c r="AA120" i="1"/>
  <c r="U120" i="1"/>
  <c r="T120" i="1"/>
  <c r="S120" i="1"/>
  <c r="R120" i="1"/>
  <c r="Q120" i="1"/>
  <c r="P120" i="1"/>
  <c r="BZ119" i="1"/>
  <c r="BY119" i="1"/>
  <c r="BX119" i="1"/>
  <c r="BU119" i="1"/>
  <c r="BT119" i="1"/>
  <c r="BS119" i="1"/>
  <c r="BO119" i="1"/>
  <c r="BN119" i="1"/>
  <c r="BM119" i="1"/>
  <c r="BJ119" i="1"/>
  <c r="BI119" i="1"/>
  <c r="BH119" i="1"/>
  <c r="BD119" i="1"/>
  <c r="BC119" i="1"/>
  <c r="BB119" i="1"/>
  <c r="AX119" i="1"/>
  <c r="AW119" i="1"/>
  <c r="AV119" i="1"/>
  <c r="AR119" i="1"/>
  <c r="AQ119" i="1"/>
  <c r="AP119" i="1"/>
  <c r="AJ119" i="1"/>
  <c r="AI119" i="1"/>
  <c r="AH119" i="1"/>
  <c r="AC119" i="1"/>
  <c r="AB119" i="1"/>
  <c r="AA119" i="1"/>
  <c r="U119" i="1"/>
  <c r="T119" i="1"/>
  <c r="S119" i="1"/>
  <c r="R119" i="1"/>
  <c r="Q119" i="1"/>
  <c r="P119" i="1"/>
  <c r="BZ118" i="1"/>
  <c r="BY118" i="1"/>
  <c r="BX118" i="1"/>
  <c r="BU118" i="1"/>
  <c r="BT118" i="1"/>
  <c r="BS118" i="1"/>
  <c r="BO118" i="1"/>
  <c r="BN118" i="1"/>
  <c r="BM118" i="1"/>
  <c r="BJ118" i="1"/>
  <c r="BI118" i="1"/>
  <c r="BH118" i="1"/>
  <c r="BD118" i="1"/>
  <c r="BC118" i="1"/>
  <c r="BB118" i="1"/>
  <c r="AX118" i="1"/>
  <c r="AW118" i="1"/>
  <c r="AV118" i="1"/>
  <c r="AR118" i="1"/>
  <c r="AQ118" i="1"/>
  <c r="AP118" i="1"/>
  <c r="Y118" i="1" s="1"/>
  <c r="AJ118" i="1"/>
  <c r="AI118" i="1"/>
  <c r="AH118" i="1"/>
  <c r="AC118" i="1"/>
  <c r="AB118" i="1"/>
  <c r="AA118" i="1"/>
  <c r="U118" i="1"/>
  <c r="T118" i="1"/>
  <c r="S118" i="1"/>
  <c r="R118" i="1"/>
  <c r="Q118" i="1"/>
  <c r="P118" i="1"/>
  <c r="BZ117" i="1"/>
  <c r="BY117" i="1"/>
  <c r="BX117" i="1"/>
  <c r="BU117" i="1"/>
  <c r="BT117" i="1"/>
  <c r="BS117" i="1"/>
  <c r="BO117" i="1"/>
  <c r="BN117" i="1"/>
  <c r="BM117" i="1"/>
  <c r="BJ117" i="1"/>
  <c r="BI117" i="1"/>
  <c r="BH117" i="1"/>
  <c r="BD117" i="1"/>
  <c r="BC117" i="1"/>
  <c r="BB117" i="1"/>
  <c r="AX117" i="1"/>
  <c r="AW117" i="1"/>
  <c r="AV117" i="1"/>
  <c r="AR117" i="1"/>
  <c r="AQ117" i="1"/>
  <c r="AP117" i="1"/>
  <c r="AJ117" i="1"/>
  <c r="AI117" i="1"/>
  <c r="AH117" i="1"/>
  <c r="AC117" i="1"/>
  <c r="AB117" i="1"/>
  <c r="AA117" i="1"/>
  <c r="U117" i="1"/>
  <c r="T117" i="1"/>
  <c r="S117" i="1"/>
  <c r="R117" i="1"/>
  <c r="Q117" i="1"/>
  <c r="P117" i="1"/>
  <c r="BZ116" i="1"/>
  <c r="BY116" i="1"/>
  <c r="BX116" i="1"/>
  <c r="BU116" i="1"/>
  <c r="BT116" i="1"/>
  <c r="BS116" i="1"/>
  <c r="BO116" i="1"/>
  <c r="BN116" i="1"/>
  <c r="BM116" i="1"/>
  <c r="BJ116" i="1"/>
  <c r="BI116" i="1"/>
  <c r="BH116" i="1"/>
  <c r="BD116" i="1"/>
  <c r="BC116" i="1"/>
  <c r="BB116" i="1"/>
  <c r="AX116" i="1"/>
  <c r="AW116" i="1"/>
  <c r="AV116" i="1"/>
  <c r="AR116" i="1"/>
  <c r="AQ116" i="1"/>
  <c r="AP116" i="1"/>
  <c r="AJ116" i="1"/>
  <c r="AI116" i="1"/>
  <c r="AH116" i="1"/>
  <c r="AC116" i="1"/>
  <c r="AB116" i="1"/>
  <c r="AA116" i="1"/>
  <c r="U116" i="1"/>
  <c r="T116" i="1"/>
  <c r="S116" i="1"/>
  <c r="R116" i="1"/>
  <c r="Q116" i="1"/>
  <c r="P116" i="1"/>
  <c r="BZ115" i="1"/>
  <c r="BY115" i="1"/>
  <c r="BX115" i="1"/>
  <c r="BU115" i="1"/>
  <c r="BT115" i="1"/>
  <c r="BS115" i="1"/>
  <c r="BO115" i="1"/>
  <c r="BN115" i="1"/>
  <c r="BM115" i="1"/>
  <c r="BJ115" i="1"/>
  <c r="BI115" i="1"/>
  <c r="BH115" i="1"/>
  <c r="BD115" i="1"/>
  <c r="BC115" i="1"/>
  <c r="BB115" i="1"/>
  <c r="AX115" i="1"/>
  <c r="AW115" i="1"/>
  <c r="AV115" i="1"/>
  <c r="AR115" i="1"/>
  <c r="AQ115" i="1"/>
  <c r="AP115" i="1"/>
  <c r="Y115" i="1" s="1"/>
  <c r="AJ115" i="1"/>
  <c r="AI115" i="1"/>
  <c r="AH115" i="1"/>
  <c r="AC115" i="1"/>
  <c r="AB115" i="1"/>
  <c r="AA115" i="1"/>
  <c r="U115" i="1"/>
  <c r="T115" i="1"/>
  <c r="S115" i="1"/>
  <c r="R115" i="1"/>
  <c r="Q115" i="1"/>
  <c r="P115" i="1"/>
  <c r="BZ114" i="1"/>
  <c r="BY114" i="1"/>
  <c r="BX114" i="1"/>
  <c r="BU114" i="1"/>
  <c r="BT114" i="1"/>
  <c r="BS114" i="1"/>
  <c r="BO114" i="1"/>
  <c r="BN114" i="1"/>
  <c r="BM114" i="1"/>
  <c r="BJ114" i="1"/>
  <c r="BI114" i="1"/>
  <c r="BH114" i="1"/>
  <c r="BD114" i="1"/>
  <c r="BC114" i="1"/>
  <c r="BB114" i="1"/>
  <c r="AX114" i="1"/>
  <c r="AW114" i="1"/>
  <c r="AV114" i="1"/>
  <c r="AR114" i="1"/>
  <c r="AQ114" i="1"/>
  <c r="AP114" i="1"/>
  <c r="AJ114" i="1"/>
  <c r="AI114" i="1"/>
  <c r="AH114" i="1"/>
  <c r="AC114" i="1"/>
  <c r="AB114" i="1"/>
  <c r="AA114" i="1"/>
  <c r="U114" i="1"/>
  <c r="T114" i="1"/>
  <c r="S114" i="1"/>
  <c r="R114" i="1"/>
  <c r="Q114" i="1"/>
  <c r="P114" i="1"/>
  <c r="BZ113" i="1"/>
  <c r="BY113" i="1"/>
  <c r="BX113" i="1"/>
  <c r="BU113" i="1"/>
  <c r="BT113" i="1"/>
  <c r="BS113" i="1"/>
  <c r="BO113" i="1"/>
  <c r="BN113" i="1"/>
  <c r="BM113" i="1"/>
  <c r="BJ113" i="1"/>
  <c r="BI113" i="1"/>
  <c r="BH113" i="1"/>
  <c r="BD113" i="1"/>
  <c r="BC113" i="1"/>
  <c r="BB113" i="1"/>
  <c r="AX113" i="1"/>
  <c r="AW113" i="1"/>
  <c r="AV113" i="1"/>
  <c r="AR113" i="1"/>
  <c r="AQ113" i="1"/>
  <c r="AP113" i="1"/>
  <c r="AJ113" i="1"/>
  <c r="AI113" i="1"/>
  <c r="AH113" i="1"/>
  <c r="AC113" i="1"/>
  <c r="AB113" i="1"/>
  <c r="AA113" i="1"/>
  <c r="U113" i="1"/>
  <c r="T113" i="1"/>
  <c r="S113" i="1"/>
  <c r="R113" i="1"/>
  <c r="Q113" i="1"/>
  <c r="P113" i="1"/>
  <c r="BZ112" i="1"/>
  <c r="BY112" i="1"/>
  <c r="BX112" i="1"/>
  <c r="BU112" i="1"/>
  <c r="BT112" i="1"/>
  <c r="BS112" i="1"/>
  <c r="BO112" i="1"/>
  <c r="BN112" i="1"/>
  <c r="BM112" i="1"/>
  <c r="BJ112" i="1"/>
  <c r="BI112" i="1"/>
  <c r="BH112" i="1"/>
  <c r="BD112" i="1"/>
  <c r="BC112" i="1"/>
  <c r="BB112" i="1"/>
  <c r="AX112" i="1"/>
  <c r="AW112" i="1"/>
  <c r="AV112" i="1"/>
  <c r="AR112" i="1"/>
  <c r="AQ112" i="1"/>
  <c r="AP112" i="1"/>
  <c r="AJ112" i="1"/>
  <c r="AI112" i="1"/>
  <c r="AH112" i="1"/>
  <c r="AC112" i="1"/>
  <c r="AB112" i="1"/>
  <c r="AA112" i="1"/>
  <c r="U112" i="1"/>
  <c r="T112" i="1"/>
  <c r="S112" i="1"/>
  <c r="R112" i="1"/>
  <c r="Q112" i="1"/>
  <c r="P112" i="1"/>
  <c r="BZ111" i="1"/>
  <c r="BY111" i="1"/>
  <c r="BX111" i="1"/>
  <c r="BU111" i="1"/>
  <c r="BT111" i="1"/>
  <c r="BS111" i="1"/>
  <c r="BO111" i="1"/>
  <c r="BN111" i="1"/>
  <c r="BM111" i="1"/>
  <c r="BJ111" i="1"/>
  <c r="BI111" i="1"/>
  <c r="BH111" i="1"/>
  <c r="BD111" i="1"/>
  <c r="BC111" i="1"/>
  <c r="BB111" i="1"/>
  <c r="AX111" i="1"/>
  <c r="AW111" i="1"/>
  <c r="AV111" i="1"/>
  <c r="AR111" i="1"/>
  <c r="AQ111" i="1"/>
  <c r="AP111" i="1"/>
  <c r="AJ111" i="1"/>
  <c r="AI111" i="1"/>
  <c r="AH111" i="1"/>
  <c r="AC111" i="1"/>
  <c r="AB111" i="1"/>
  <c r="AA111" i="1"/>
  <c r="U111" i="1"/>
  <c r="T111" i="1"/>
  <c r="S111" i="1"/>
  <c r="R111" i="1"/>
  <c r="Q111" i="1"/>
  <c r="P111" i="1"/>
  <c r="BZ110" i="1"/>
  <c r="BY110" i="1"/>
  <c r="BX110" i="1"/>
  <c r="BU110" i="1"/>
  <c r="BT110" i="1"/>
  <c r="BS110" i="1"/>
  <c r="BO110" i="1"/>
  <c r="BN110" i="1"/>
  <c r="BM110" i="1"/>
  <c r="BJ110" i="1"/>
  <c r="BI110" i="1"/>
  <c r="BH110" i="1"/>
  <c r="BD110" i="1"/>
  <c r="BC110" i="1"/>
  <c r="BB110" i="1"/>
  <c r="AX110" i="1"/>
  <c r="AW110" i="1"/>
  <c r="AV110" i="1"/>
  <c r="AR110" i="1"/>
  <c r="AQ110" i="1"/>
  <c r="AP110" i="1"/>
  <c r="AJ110" i="1"/>
  <c r="AI110" i="1"/>
  <c r="AH110" i="1"/>
  <c r="AC110" i="1"/>
  <c r="AB110" i="1"/>
  <c r="AA110" i="1"/>
  <c r="U110" i="1"/>
  <c r="T110" i="1"/>
  <c r="S110" i="1"/>
  <c r="R110" i="1"/>
  <c r="Q110" i="1"/>
  <c r="P110" i="1"/>
  <c r="BZ109" i="1"/>
  <c r="BY109" i="1"/>
  <c r="BX109" i="1"/>
  <c r="BU109" i="1"/>
  <c r="BT109" i="1"/>
  <c r="BS109" i="1"/>
  <c r="BO109" i="1"/>
  <c r="BN109" i="1"/>
  <c r="BM109" i="1"/>
  <c r="BJ109" i="1"/>
  <c r="BI109" i="1"/>
  <c r="BH109" i="1"/>
  <c r="BD109" i="1"/>
  <c r="BC109" i="1"/>
  <c r="BB109" i="1"/>
  <c r="AX109" i="1"/>
  <c r="AW109" i="1"/>
  <c r="AV109" i="1"/>
  <c r="AR109" i="1"/>
  <c r="AQ109" i="1"/>
  <c r="AP109" i="1"/>
  <c r="AJ109" i="1"/>
  <c r="AI109" i="1"/>
  <c r="AH109" i="1"/>
  <c r="AC109" i="1"/>
  <c r="AB109" i="1"/>
  <c r="AA109" i="1"/>
  <c r="U109" i="1"/>
  <c r="T109" i="1"/>
  <c r="S109" i="1"/>
  <c r="R109" i="1"/>
  <c r="Q109" i="1"/>
  <c r="P109" i="1"/>
  <c r="BZ108" i="1"/>
  <c r="BY108" i="1"/>
  <c r="BX108" i="1"/>
  <c r="BU108" i="1"/>
  <c r="BT108" i="1"/>
  <c r="BS108" i="1"/>
  <c r="BO108" i="1"/>
  <c r="BN108" i="1"/>
  <c r="BM108" i="1"/>
  <c r="BJ108" i="1"/>
  <c r="BI108" i="1"/>
  <c r="BH108" i="1"/>
  <c r="BD108" i="1"/>
  <c r="BC108" i="1"/>
  <c r="BB108" i="1"/>
  <c r="AX108" i="1"/>
  <c r="AW108" i="1"/>
  <c r="AV108" i="1"/>
  <c r="AR108" i="1"/>
  <c r="AQ108" i="1"/>
  <c r="AP108" i="1"/>
  <c r="AJ108" i="1"/>
  <c r="AI108" i="1"/>
  <c r="AH108" i="1"/>
  <c r="AC108" i="1"/>
  <c r="AB108" i="1"/>
  <c r="AA108" i="1"/>
  <c r="U108" i="1"/>
  <c r="T108" i="1"/>
  <c r="S108" i="1"/>
  <c r="R108" i="1"/>
  <c r="Q108" i="1"/>
  <c r="P108" i="1"/>
  <c r="BZ107" i="1"/>
  <c r="BY107" i="1"/>
  <c r="BX107" i="1"/>
  <c r="BU107" i="1"/>
  <c r="BT107" i="1"/>
  <c r="BS107" i="1"/>
  <c r="BO107" i="1"/>
  <c r="BN107" i="1"/>
  <c r="BM107" i="1"/>
  <c r="BJ107" i="1"/>
  <c r="BI107" i="1"/>
  <c r="BH107" i="1"/>
  <c r="BD107" i="1"/>
  <c r="BC107" i="1"/>
  <c r="BB107" i="1"/>
  <c r="AX107" i="1"/>
  <c r="AW107" i="1"/>
  <c r="AV107" i="1"/>
  <c r="AR107" i="1"/>
  <c r="AQ107" i="1"/>
  <c r="AP107" i="1"/>
  <c r="AJ107" i="1"/>
  <c r="AI107" i="1"/>
  <c r="AH107" i="1"/>
  <c r="AC107" i="1"/>
  <c r="AB107" i="1"/>
  <c r="AA107" i="1"/>
  <c r="U107" i="1"/>
  <c r="T107" i="1"/>
  <c r="S107" i="1"/>
  <c r="R107" i="1"/>
  <c r="Q107" i="1"/>
  <c r="P107" i="1"/>
  <c r="BZ106" i="1"/>
  <c r="BY106" i="1"/>
  <c r="BX106" i="1"/>
  <c r="BU106" i="1"/>
  <c r="BT106" i="1"/>
  <c r="BS106" i="1"/>
  <c r="BO106" i="1"/>
  <c r="BN106" i="1"/>
  <c r="BM106" i="1"/>
  <c r="BJ106" i="1"/>
  <c r="BI106" i="1"/>
  <c r="BH106" i="1"/>
  <c r="BD106" i="1"/>
  <c r="BC106" i="1"/>
  <c r="BB106" i="1"/>
  <c r="AX106" i="1"/>
  <c r="AW106" i="1"/>
  <c r="AV106" i="1"/>
  <c r="AR106" i="1"/>
  <c r="AQ106" i="1"/>
  <c r="AP106" i="1"/>
  <c r="AJ106" i="1"/>
  <c r="AI106" i="1"/>
  <c r="AH106" i="1"/>
  <c r="AC106" i="1"/>
  <c r="AB106" i="1"/>
  <c r="AA106" i="1"/>
  <c r="U106" i="1"/>
  <c r="T106" i="1"/>
  <c r="S106" i="1"/>
  <c r="R106" i="1"/>
  <c r="Q106" i="1"/>
  <c r="P106" i="1"/>
  <c r="BZ105" i="1"/>
  <c r="BY105" i="1"/>
  <c r="BX105" i="1"/>
  <c r="BU105" i="1"/>
  <c r="BT105" i="1"/>
  <c r="BS105" i="1"/>
  <c r="BO105" i="1"/>
  <c r="BN105" i="1"/>
  <c r="BM105" i="1"/>
  <c r="BJ105" i="1"/>
  <c r="BI105" i="1"/>
  <c r="BH105" i="1"/>
  <c r="BD105" i="1"/>
  <c r="BC105" i="1"/>
  <c r="BB105" i="1"/>
  <c r="AX105" i="1"/>
  <c r="AW105" i="1"/>
  <c r="AV105" i="1"/>
  <c r="AR105" i="1"/>
  <c r="AQ105" i="1"/>
  <c r="AP105" i="1"/>
  <c r="AJ105" i="1"/>
  <c r="AI105" i="1"/>
  <c r="AH105" i="1"/>
  <c r="AC105" i="1"/>
  <c r="AB105" i="1"/>
  <c r="AA105" i="1"/>
  <c r="U105" i="1"/>
  <c r="T105" i="1"/>
  <c r="S105" i="1"/>
  <c r="R105" i="1"/>
  <c r="Q105" i="1"/>
  <c r="P105" i="1"/>
  <c r="BZ104" i="1"/>
  <c r="BY104" i="1"/>
  <c r="BX104" i="1"/>
  <c r="BU104" i="1"/>
  <c r="BT104" i="1"/>
  <c r="BS104" i="1"/>
  <c r="BO104" i="1"/>
  <c r="BN104" i="1"/>
  <c r="BM104" i="1"/>
  <c r="BJ104" i="1"/>
  <c r="BI104" i="1"/>
  <c r="BH104" i="1"/>
  <c r="BD104" i="1"/>
  <c r="BC104" i="1"/>
  <c r="BB104" i="1"/>
  <c r="AX104" i="1"/>
  <c r="AW104" i="1"/>
  <c r="AV104" i="1"/>
  <c r="AR104" i="1"/>
  <c r="AQ104" i="1"/>
  <c r="AP104" i="1"/>
  <c r="AJ104" i="1"/>
  <c r="AI104" i="1"/>
  <c r="AH104" i="1"/>
  <c r="AC104" i="1"/>
  <c r="AB104" i="1"/>
  <c r="AA104" i="1"/>
  <c r="U104" i="1"/>
  <c r="T104" i="1"/>
  <c r="S104" i="1"/>
  <c r="R104" i="1"/>
  <c r="Q104" i="1"/>
  <c r="P104" i="1"/>
  <c r="BZ103" i="1"/>
  <c r="BY103" i="1"/>
  <c r="BX103" i="1"/>
  <c r="BU103" i="1"/>
  <c r="BT103" i="1"/>
  <c r="BS103" i="1"/>
  <c r="BO103" i="1"/>
  <c r="BN103" i="1"/>
  <c r="BM103" i="1"/>
  <c r="BJ103" i="1"/>
  <c r="BI103" i="1"/>
  <c r="BH103" i="1"/>
  <c r="BD103" i="1"/>
  <c r="BC103" i="1"/>
  <c r="BB103" i="1"/>
  <c r="Y103" i="1" s="1"/>
  <c r="AX103" i="1"/>
  <c r="AW103" i="1"/>
  <c r="AV103" i="1"/>
  <c r="AR103" i="1"/>
  <c r="AQ103" i="1"/>
  <c r="AP103" i="1"/>
  <c r="AJ103" i="1"/>
  <c r="AI103" i="1"/>
  <c r="AH103" i="1"/>
  <c r="AC103" i="1"/>
  <c r="AB103" i="1"/>
  <c r="AA103" i="1"/>
  <c r="U103" i="1"/>
  <c r="T103" i="1"/>
  <c r="S103" i="1"/>
  <c r="R103" i="1"/>
  <c r="Q103" i="1"/>
  <c r="P103" i="1"/>
  <c r="BZ102" i="1"/>
  <c r="BY102" i="1"/>
  <c r="BX102" i="1"/>
  <c r="BU102" i="1"/>
  <c r="BT102" i="1"/>
  <c r="BS102" i="1"/>
  <c r="BO102" i="1"/>
  <c r="BN102" i="1"/>
  <c r="BM102" i="1"/>
  <c r="BJ102" i="1"/>
  <c r="BI102" i="1"/>
  <c r="BH102" i="1"/>
  <c r="BD102" i="1"/>
  <c r="BC102" i="1"/>
  <c r="BB102" i="1"/>
  <c r="AX102" i="1"/>
  <c r="AW102" i="1"/>
  <c r="AV102" i="1"/>
  <c r="AR102" i="1"/>
  <c r="AQ102" i="1"/>
  <c r="AP102" i="1"/>
  <c r="AJ102" i="1"/>
  <c r="AI102" i="1"/>
  <c r="AH102" i="1"/>
  <c r="AC102" i="1"/>
  <c r="AB102" i="1"/>
  <c r="AA102" i="1"/>
  <c r="U102" i="1"/>
  <c r="T102" i="1"/>
  <c r="S102" i="1"/>
  <c r="R102" i="1"/>
  <c r="Q102" i="1"/>
  <c r="P102" i="1"/>
  <c r="BZ101" i="1"/>
  <c r="BY101" i="1"/>
  <c r="BX101" i="1"/>
  <c r="BU101" i="1"/>
  <c r="BT101" i="1"/>
  <c r="BS101" i="1"/>
  <c r="BO101" i="1"/>
  <c r="BN101" i="1"/>
  <c r="BM101" i="1"/>
  <c r="BJ101" i="1"/>
  <c r="BI101" i="1"/>
  <c r="BH101" i="1"/>
  <c r="BD101" i="1"/>
  <c r="BC101" i="1"/>
  <c r="BB101" i="1"/>
  <c r="AX101" i="1"/>
  <c r="AW101" i="1"/>
  <c r="AV101" i="1"/>
  <c r="AR101" i="1"/>
  <c r="AQ101" i="1"/>
  <c r="AP101" i="1"/>
  <c r="AJ101" i="1"/>
  <c r="AI101" i="1"/>
  <c r="AH101" i="1"/>
  <c r="AC101" i="1"/>
  <c r="AB101" i="1"/>
  <c r="AA101" i="1"/>
  <c r="U101" i="1"/>
  <c r="T101" i="1"/>
  <c r="S101" i="1"/>
  <c r="R101" i="1"/>
  <c r="Q101" i="1"/>
  <c r="P101" i="1"/>
  <c r="BZ100" i="1"/>
  <c r="BY100" i="1"/>
  <c r="BX100" i="1"/>
  <c r="BU100" i="1"/>
  <c r="BT100" i="1"/>
  <c r="BS100" i="1"/>
  <c r="BO100" i="1"/>
  <c r="BN100" i="1"/>
  <c r="BM100" i="1"/>
  <c r="BJ100" i="1"/>
  <c r="BI100" i="1"/>
  <c r="BH100" i="1"/>
  <c r="BD100" i="1"/>
  <c r="BC100" i="1"/>
  <c r="BB100" i="1"/>
  <c r="AX100" i="1"/>
  <c r="AW100" i="1"/>
  <c r="AV100" i="1"/>
  <c r="AR100" i="1"/>
  <c r="AQ100" i="1"/>
  <c r="AP100" i="1"/>
  <c r="AJ100" i="1"/>
  <c r="AI100" i="1"/>
  <c r="AH100" i="1"/>
  <c r="AC100" i="1"/>
  <c r="AB100" i="1"/>
  <c r="AA100" i="1"/>
  <c r="U100" i="1"/>
  <c r="T100" i="1"/>
  <c r="S100" i="1"/>
  <c r="R100" i="1"/>
  <c r="Q100" i="1"/>
  <c r="P100" i="1"/>
  <c r="BZ99" i="1"/>
  <c r="BY99" i="1"/>
  <c r="BX99" i="1"/>
  <c r="BU99" i="1"/>
  <c r="BT99" i="1"/>
  <c r="BS99" i="1"/>
  <c r="BO99" i="1"/>
  <c r="BN99" i="1"/>
  <c r="BM99" i="1"/>
  <c r="BJ99" i="1"/>
  <c r="BI99" i="1"/>
  <c r="BH99" i="1"/>
  <c r="BD99" i="1"/>
  <c r="BC99" i="1"/>
  <c r="BB99" i="1"/>
  <c r="AX99" i="1"/>
  <c r="AW99" i="1"/>
  <c r="AV99" i="1"/>
  <c r="AR99" i="1"/>
  <c r="AQ99" i="1"/>
  <c r="AP99" i="1"/>
  <c r="AJ99" i="1"/>
  <c r="AI99" i="1"/>
  <c r="AH99" i="1"/>
  <c r="AC99" i="1"/>
  <c r="AB99" i="1"/>
  <c r="AA99" i="1"/>
  <c r="U99" i="1"/>
  <c r="T99" i="1"/>
  <c r="S99" i="1"/>
  <c r="R99" i="1"/>
  <c r="Q99" i="1"/>
  <c r="P99" i="1"/>
  <c r="BZ98" i="1"/>
  <c r="BY98" i="1"/>
  <c r="BX98" i="1"/>
  <c r="BU98" i="1"/>
  <c r="BT98" i="1"/>
  <c r="BS98" i="1"/>
  <c r="BO98" i="1"/>
  <c r="BN98" i="1"/>
  <c r="BM98" i="1"/>
  <c r="BJ98" i="1"/>
  <c r="BI98" i="1"/>
  <c r="BH98" i="1"/>
  <c r="BD98" i="1"/>
  <c r="BC98" i="1"/>
  <c r="BB98" i="1"/>
  <c r="AX98" i="1"/>
  <c r="AW98" i="1"/>
  <c r="AV98" i="1"/>
  <c r="AR98" i="1"/>
  <c r="AQ98" i="1"/>
  <c r="AP98" i="1"/>
  <c r="AJ98" i="1"/>
  <c r="AI98" i="1"/>
  <c r="AH98" i="1"/>
  <c r="AC98" i="1"/>
  <c r="AB98" i="1"/>
  <c r="AA98" i="1"/>
  <c r="U98" i="1"/>
  <c r="T98" i="1"/>
  <c r="S98" i="1"/>
  <c r="R98" i="1"/>
  <c r="Q98" i="1"/>
  <c r="P98" i="1"/>
  <c r="BZ97" i="1"/>
  <c r="BY97" i="1"/>
  <c r="BX97" i="1"/>
  <c r="BU97" i="1"/>
  <c r="BT97" i="1"/>
  <c r="BS97" i="1"/>
  <c r="BO97" i="1"/>
  <c r="BN97" i="1"/>
  <c r="BM97" i="1"/>
  <c r="BJ97" i="1"/>
  <c r="BI97" i="1"/>
  <c r="BH97" i="1"/>
  <c r="BD97" i="1"/>
  <c r="BC97" i="1"/>
  <c r="BB97" i="1"/>
  <c r="AX97" i="1"/>
  <c r="AW97" i="1"/>
  <c r="AV97" i="1"/>
  <c r="AR97" i="1"/>
  <c r="AQ97" i="1"/>
  <c r="AP97" i="1"/>
  <c r="AJ97" i="1"/>
  <c r="AI97" i="1"/>
  <c r="AH97" i="1"/>
  <c r="AC97" i="1"/>
  <c r="AB97" i="1"/>
  <c r="AA97" i="1"/>
  <c r="U97" i="1"/>
  <c r="T97" i="1"/>
  <c r="S97" i="1"/>
  <c r="R97" i="1"/>
  <c r="Q97" i="1"/>
  <c r="P97" i="1"/>
  <c r="BZ96" i="1"/>
  <c r="BY96" i="1"/>
  <c r="BX96" i="1"/>
  <c r="BU96" i="1"/>
  <c r="BT96" i="1"/>
  <c r="BS96" i="1"/>
  <c r="BO96" i="1"/>
  <c r="BN96" i="1"/>
  <c r="BM96" i="1"/>
  <c r="BJ96" i="1"/>
  <c r="BI96" i="1"/>
  <c r="BH96" i="1"/>
  <c r="BD96" i="1"/>
  <c r="BC96" i="1"/>
  <c r="BB96" i="1"/>
  <c r="AX96" i="1"/>
  <c r="AW96" i="1"/>
  <c r="AV96" i="1"/>
  <c r="AR96" i="1"/>
  <c r="AQ96" i="1"/>
  <c r="AP96" i="1"/>
  <c r="AJ96" i="1"/>
  <c r="AI96" i="1"/>
  <c r="AH96" i="1"/>
  <c r="AC96" i="1"/>
  <c r="AB96" i="1"/>
  <c r="AA96" i="1"/>
  <c r="U96" i="1"/>
  <c r="T96" i="1"/>
  <c r="S96" i="1"/>
  <c r="R96" i="1"/>
  <c r="Q96" i="1"/>
  <c r="P96" i="1"/>
  <c r="BZ95" i="1"/>
  <c r="BY95" i="1"/>
  <c r="BX95" i="1"/>
  <c r="BU95" i="1"/>
  <c r="BT95" i="1"/>
  <c r="BS95" i="1"/>
  <c r="BO95" i="1"/>
  <c r="BN95" i="1"/>
  <c r="BM95" i="1"/>
  <c r="BJ95" i="1"/>
  <c r="BI95" i="1"/>
  <c r="BH95" i="1"/>
  <c r="BD95" i="1"/>
  <c r="BC95" i="1"/>
  <c r="BB95" i="1"/>
  <c r="AX95" i="1"/>
  <c r="AW95" i="1"/>
  <c r="AV95" i="1"/>
  <c r="AR95" i="1"/>
  <c r="AQ95" i="1"/>
  <c r="AP95" i="1"/>
  <c r="AJ95" i="1"/>
  <c r="AI95" i="1"/>
  <c r="AH95" i="1"/>
  <c r="AC95" i="1"/>
  <c r="AB95" i="1"/>
  <c r="AA95" i="1"/>
  <c r="U95" i="1"/>
  <c r="T95" i="1"/>
  <c r="S95" i="1"/>
  <c r="R95" i="1"/>
  <c r="Q95" i="1"/>
  <c r="P95" i="1"/>
  <c r="BZ94" i="1"/>
  <c r="BY94" i="1"/>
  <c r="BX94" i="1"/>
  <c r="BU94" i="1"/>
  <c r="BT94" i="1"/>
  <c r="BS94" i="1"/>
  <c r="BO94" i="1"/>
  <c r="BN94" i="1"/>
  <c r="BM94" i="1"/>
  <c r="BJ94" i="1"/>
  <c r="BI94" i="1"/>
  <c r="BH94" i="1"/>
  <c r="BD94" i="1"/>
  <c r="BC94" i="1"/>
  <c r="BB94" i="1"/>
  <c r="AX94" i="1"/>
  <c r="AW94" i="1"/>
  <c r="AV94" i="1"/>
  <c r="AR94" i="1"/>
  <c r="AQ94" i="1"/>
  <c r="AP94" i="1"/>
  <c r="AJ94" i="1"/>
  <c r="AI94" i="1"/>
  <c r="AH94" i="1"/>
  <c r="AC94" i="1"/>
  <c r="AB94" i="1"/>
  <c r="AA94" i="1"/>
  <c r="U94" i="1"/>
  <c r="T94" i="1"/>
  <c r="S94" i="1"/>
  <c r="R94" i="1"/>
  <c r="Q94" i="1"/>
  <c r="P94" i="1"/>
  <c r="BZ93" i="1"/>
  <c r="BY93" i="1"/>
  <c r="BX93" i="1"/>
  <c r="BU93" i="1"/>
  <c r="BT93" i="1"/>
  <c r="BS93" i="1"/>
  <c r="BO93" i="1"/>
  <c r="BN93" i="1"/>
  <c r="BM93" i="1"/>
  <c r="BJ93" i="1"/>
  <c r="BI93" i="1"/>
  <c r="BH93" i="1"/>
  <c r="BD93" i="1"/>
  <c r="BC93" i="1"/>
  <c r="BB93" i="1"/>
  <c r="AX93" i="1"/>
  <c r="AW93" i="1"/>
  <c r="AV93" i="1"/>
  <c r="AR93" i="1"/>
  <c r="AQ93" i="1"/>
  <c r="AP93" i="1"/>
  <c r="AJ93" i="1"/>
  <c r="AI93" i="1"/>
  <c r="AH93" i="1"/>
  <c r="AC93" i="1"/>
  <c r="AB93" i="1"/>
  <c r="AA93" i="1"/>
  <c r="U93" i="1"/>
  <c r="T93" i="1"/>
  <c r="S93" i="1"/>
  <c r="R93" i="1"/>
  <c r="Q93" i="1"/>
  <c r="P93" i="1"/>
  <c r="BZ92" i="1"/>
  <c r="BY92" i="1"/>
  <c r="BX92" i="1"/>
  <c r="BU92" i="1"/>
  <c r="BT92" i="1"/>
  <c r="BS92" i="1"/>
  <c r="BO92" i="1"/>
  <c r="BN92" i="1"/>
  <c r="BM92" i="1"/>
  <c r="BJ92" i="1"/>
  <c r="BI92" i="1"/>
  <c r="BH92" i="1"/>
  <c r="BD92" i="1"/>
  <c r="BC92" i="1"/>
  <c r="BB92" i="1"/>
  <c r="AX92" i="1"/>
  <c r="AW92" i="1"/>
  <c r="AV92" i="1"/>
  <c r="AR92" i="1"/>
  <c r="AQ92" i="1"/>
  <c r="AP92" i="1"/>
  <c r="Y92" i="1" s="1"/>
  <c r="AJ92" i="1"/>
  <c r="AI92" i="1"/>
  <c r="AH92" i="1"/>
  <c r="AC92" i="1"/>
  <c r="AB92" i="1"/>
  <c r="AA92" i="1"/>
  <c r="U92" i="1"/>
  <c r="T92" i="1"/>
  <c r="S92" i="1"/>
  <c r="R92" i="1"/>
  <c r="Q92" i="1"/>
  <c r="P92" i="1"/>
  <c r="BZ91" i="1"/>
  <c r="BY91" i="1"/>
  <c r="BX91" i="1"/>
  <c r="BU91" i="1"/>
  <c r="BT91" i="1"/>
  <c r="BS91" i="1"/>
  <c r="BO91" i="1"/>
  <c r="BN91" i="1"/>
  <c r="BM91" i="1"/>
  <c r="BJ91" i="1"/>
  <c r="BI91" i="1"/>
  <c r="BH91" i="1"/>
  <c r="BD91" i="1"/>
  <c r="BC91" i="1"/>
  <c r="BB91" i="1"/>
  <c r="AX91" i="1"/>
  <c r="AW91" i="1"/>
  <c r="AV91" i="1"/>
  <c r="AR91" i="1"/>
  <c r="AQ91" i="1"/>
  <c r="AP91" i="1"/>
  <c r="AJ91" i="1"/>
  <c r="AI91" i="1"/>
  <c r="AH91" i="1"/>
  <c r="AC91" i="1"/>
  <c r="AB91" i="1"/>
  <c r="AA91" i="1"/>
  <c r="U91" i="1"/>
  <c r="T91" i="1"/>
  <c r="S91" i="1"/>
  <c r="R91" i="1"/>
  <c r="Q91" i="1"/>
  <c r="P91" i="1"/>
  <c r="BZ90" i="1"/>
  <c r="BY90" i="1"/>
  <c r="BX90" i="1"/>
  <c r="BU90" i="1"/>
  <c r="BT90" i="1"/>
  <c r="BS90" i="1"/>
  <c r="BO90" i="1"/>
  <c r="BN90" i="1"/>
  <c r="BM90" i="1"/>
  <c r="BJ90" i="1"/>
  <c r="BI90" i="1"/>
  <c r="BH90" i="1"/>
  <c r="BD90" i="1"/>
  <c r="BC90" i="1"/>
  <c r="BB90" i="1"/>
  <c r="AX90" i="1"/>
  <c r="AW90" i="1"/>
  <c r="AV90" i="1"/>
  <c r="AR90" i="1"/>
  <c r="AQ90" i="1"/>
  <c r="AP90" i="1"/>
  <c r="AJ90" i="1"/>
  <c r="AI90" i="1"/>
  <c r="AH90" i="1"/>
  <c r="AC90" i="1"/>
  <c r="AB90" i="1"/>
  <c r="AA90" i="1"/>
  <c r="U90" i="1"/>
  <c r="T90" i="1"/>
  <c r="S90" i="1"/>
  <c r="R90" i="1"/>
  <c r="Q90" i="1"/>
  <c r="P90" i="1"/>
  <c r="BZ89" i="1"/>
  <c r="BY89" i="1"/>
  <c r="BX89" i="1"/>
  <c r="BU89" i="1"/>
  <c r="BT89" i="1"/>
  <c r="BS89" i="1"/>
  <c r="BO89" i="1"/>
  <c r="BN89" i="1"/>
  <c r="BM89" i="1"/>
  <c r="BJ89" i="1"/>
  <c r="BI89" i="1"/>
  <c r="BH89" i="1"/>
  <c r="BD89" i="1"/>
  <c r="BC89" i="1"/>
  <c r="BB89" i="1"/>
  <c r="AX89" i="1"/>
  <c r="AW89" i="1"/>
  <c r="AV89" i="1"/>
  <c r="AR89" i="1"/>
  <c r="AQ89" i="1"/>
  <c r="AP89" i="1"/>
  <c r="AJ89" i="1"/>
  <c r="AI89" i="1"/>
  <c r="AH89" i="1"/>
  <c r="AC89" i="1"/>
  <c r="AB89" i="1"/>
  <c r="AA89" i="1"/>
  <c r="U89" i="1"/>
  <c r="T89" i="1"/>
  <c r="S89" i="1"/>
  <c r="R89" i="1"/>
  <c r="Q89" i="1"/>
  <c r="P89" i="1"/>
  <c r="BZ88" i="1"/>
  <c r="BY88" i="1"/>
  <c r="BX88" i="1"/>
  <c r="BU88" i="1"/>
  <c r="BT88" i="1"/>
  <c r="BS88" i="1"/>
  <c r="BO88" i="1"/>
  <c r="BN88" i="1"/>
  <c r="BM88" i="1"/>
  <c r="BJ88" i="1"/>
  <c r="BI88" i="1"/>
  <c r="BH88" i="1"/>
  <c r="BD88" i="1"/>
  <c r="BC88" i="1"/>
  <c r="BB88" i="1"/>
  <c r="AX88" i="1"/>
  <c r="AW88" i="1"/>
  <c r="AV88" i="1"/>
  <c r="AR88" i="1"/>
  <c r="AQ88" i="1"/>
  <c r="AP88" i="1"/>
  <c r="AJ88" i="1"/>
  <c r="AI88" i="1"/>
  <c r="AH88" i="1"/>
  <c r="AC88" i="1"/>
  <c r="AB88" i="1"/>
  <c r="AA88" i="1"/>
  <c r="U88" i="1"/>
  <c r="T88" i="1"/>
  <c r="S88" i="1"/>
  <c r="R88" i="1"/>
  <c r="Q88" i="1"/>
  <c r="P88" i="1"/>
  <c r="BZ87" i="1"/>
  <c r="BY87" i="1"/>
  <c r="BX87" i="1"/>
  <c r="BU87" i="1"/>
  <c r="BT87" i="1"/>
  <c r="BS87" i="1"/>
  <c r="BO87" i="1"/>
  <c r="BN87" i="1"/>
  <c r="BM87" i="1"/>
  <c r="BJ87" i="1"/>
  <c r="BI87" i="1"/>
  <c r="BH87" i="1"/>
  <c r="BD87" i="1"/>
  <c r="BC87" i="1"/>
  <c r="BB87" i="1"/>
  <c r="AX87" i="1"/>
  <c r="AW87" i="1"/>
  <c r="AV87" i="1"/>
  <c r="AR87" i="1"/>
  <c r="AQ87" i="1"/>
  <c r="AP87" i="1"/>
  <c r="AJ87" i="1"/>
  <c r="AI87" i="1"/>
  <c r="AH87" i="1"/>
  <c r="AC87" i="1"/>
  <c r="AB87" i="1"/>
  <c r="AA87" i="1"/>
  <c r="Y87" i="1"/>
  <c r="U87" i="1"/>
  <c r="T87" i="1"/>
  <c r="S87" i="1"/>
  <c r="R87" i="1"/>
  <c r="Q87" i="1"/>
  <c r="P87" i="1"/>
  <c r="BZ86" i="1"/>
  <c r="BY86" i="1"/>
  <c r="BX86" i="1"/>
  <c r="BU86" i="1"/>
  <c r="BT86" i="1"/>
  <c r="BS86" i="1"/>
  <c r="BO86" i="1"/>
  <c r="BN86" i="1"/>
  <c r="BM86" i="1"/>
  <c r="BJ86" i="1"/>
  <c r="BI86" i="1"/>
  <c r="BH86" i="1"/>
  <c r="BD86" i="1"/>
  <c r="BC86" i="1"/>
  <c r="BB86" i="1"/>
  <c r="AX86" i="1"/>
  <c r="AW86" i="1"/>
  <c r="AV86" i="1"/>
  <c r="AR86" i="1"/>
  <c r="AQ86" i="1"/>
  <c r="AP86" i="1"/>
  <c r="AJ86" i="1"/>
  <c r="AI86" i="1"/>
  <c r="AH86" i="1"/>
  <c r="AC86" i="1"/>
  <c r="AB86" i="1"/>
  <c r="AA86" i="1"/>
  <c r="U86" i="1"/>
  <c r="T86" i="1"/>
  <c r="S86" i="1"/>
  <c r="R86" i="1"/>
  <c r="Q86" i="1"/>
  <c r="P86" i="1"/>
  <c r="BZ85" i="1"/>
  <c r="BY85" i="1"/>
  <c r="BX85" i="1"/>
  <c r="BU85" i="1"/>
  <c r="BT85" i="1"/>
  <c r="BS85" i="1"/>
  <c r="BO85" i="1"/>
  <c r="BN85" i="1"/>
  <c r="BM85" i="1"/>
  <c r="BJ85" i="1"/>
  <c r="BI85" i="1"/>
  <c r="BH85" i="1"/>
  <c r="BD85" i="1"/>
  <c r="BC85" i="1"/>
  <c r="BB85" i="1"/>
  <c r="AX85" i="1"/>
  <c r="AW85" i="1"/>
  <c r="AV85" i="1"/>
  <c r="AR85" i="1"/>
  <c r="AQ85" i="1"/>
  <c r="AP85" i="1"/>
  <c r="AJ85" i="1"/>
  <c r="AI85" i="1"/>
  <c r="AH85" i="1"/>
  <c r="AC85" i="1"/>
  <c r="AB85" i="1"/>
  <c r="AA85" i="1"/>
  <c r="U85" i="1"/>
  <c r="T85" i="1"/>
  <c r="S85" i="1"/>
  <c r="R85" i="1"/>
  <c r="Q85" i="1"/>
  <c r="P85" i="1"/>
  <c r="BZ84" i="1"/>
  <c r="BY84" i="1"/>
  <c r="BX84" i="1"/>
  <c r="BU84" i="1"/>
  <c r="BT84" i="1"/>
  <c r="BS84" i="1"/>
  <c r="BO84" i="1"/>
  <c r="BN84" i="1"/>
  <c r="BM84" i="1"/>
  <c r="BJ84" i="1"/>
  <c r="BI84" i="1"/>
  <c r="BH84" i="1"/>
  <c r="BD84" i="1"/>
  <c r="BC84" i="1"/>
  <c r="BB84" i="1"/>
  <c r="AX84" i="1"/>
  <c r="AW84" i="1"/>
  <c r="AV84" i="1"/>
  <c r="AR84" i="1"/>
  <c r="AQ84" i="1"/>
  <c r="AP84" i="1"/>
  <c r="AJ84" i="1"/>
  <c r="AI84" i="1"/>
  <c r="AH84" i="1"/>
  <c r="AC84" i="1"/>
  <c r="AB84" i="1"/>
  <c r="AA84" i="1"/>
  <c r="U84" i="1"/>
  <c r="T84" i="1"/>
  <c r="S84" i="1"/>
  <c r="R84" i="1"/>
  <c r="Q84" i="1"/>
  <c r="P84" i="1"/>
  <c r="BZ83" i="1"/>
  <c r="BY83" i="1"/>
  <c r="BX83" i="1"/>
  <c r="BU83" i="1"/>
  <c r="BT83" i="1"/>
  <c r="BS83" i="1"/>
  <c r="BO83" i="1"/>
  <c r="BN83" i="1"/>
  <c r="BM83" i="1"/>
  <c r="BJ83" i="1"/>
  <c r="BI83" i="1"/>
  <c r="BH83" i="1"/>
  <c r="BD83" i="1"/>
  <c r="BC83" i="1"/>
  <c r="BB83" i="1"/>
  <c r="AX83" i="1"/>
  <c r="AW83" i="1"/>
  <c r="AV83" i="1"/>
  <c r="AR83" i="1"/>
  <c r="AQ83" i="1"/>
  <c r="AP83" i="1"/>
  <c r="AJ83" i="1"/>
  <c r="AI83" i="1"/>
  <c r="AH83" i="1"/>
  <c r="AC83" i="1"/>
  <c r="AB83" i="1"/>
  <c r="AA83" i="1"/>
  <c r="U83" i="1"/>
  <c r="T83" i="1"/>
  <c r="S83" i="1"/>
  <c r="R83" i="1"/>
  <c r="Q83" i="1"/>
  <c r="P83" i="1"/>
  <c r="BZ82" i="1"/>
  <c r="BY82" i="1"/>
  <c r="BX82" i="1"/>
  <c r="BU82" i="1"/>
  <c r="BT82" i="1"/>
  <c r="BS82" i="1"/>
  <c r="BO82" i="1"/>
  <c r="BN82" i="1"/>
  <c r="BM82" i="1"/>
  <c r="BJ82" i="1"/>
  <c r="BI82" i="1"/>
  <c r="BH82" i="1"/>
  <c r="Y82" i="1" s="1"/>
  <c r="BD82" i="1"/>
  <c r="BC82" i="1"/>
  <c r="BB82" i="1"/>
  <c r="AX82" i="1"/>
  <c r="AW82" i="1"/>
  <c r="AV82" i="1"/>
  <c r="AR82" i="1"/>
  <c r="AQ82" i="1"/>
  <c r="AP82" i="1"/>
  <c r="AJ82" i="1"/>
  <c r="AI82" i="1"/>
  <c r="AH82" i="1"/>
  <c r="AC82" i="1"/>
  <c r="AB82" i="1"/>
  <c r="AA82" i="1"/>
  <c r="U82" i="1"/>
  <c r="T82" i="1"/>
  <c r="S82" i="1"/>
  <c r="R82" i="1"/>
  <c r="Q82" i="1"/>
  <c r="P82" i="1"/>
  <c r="BZ81" i="1"/>
  <c r="BY81" i="1"/>
  <c r="BX81" i="1"/>
  <c r="BU81" i="1"/>
  <c r="BT81" i="1"/>
  <c r="BS81" i="1"/>
  <c r="BO81" i="1"/>
  <c r="BN81" i="1"/>
  <c r="BM81" i="1"/>
  <c r="BJ81" i="1"/>
  <c r="BI81" i="1"/>
  <c r="BH81" i="1"/>
  <c r="BD81" i="1"/>
  <c r="BC81" i="1"/>
  <c r="BB81" i="1"/>
  <c r="AX81" i="1"/>
  <c r="AW81" i="1"/>
  <c r="AV81" i="1"/>
  <c r="AR81" i="1"/>
  <c r="AQ81" i="1"/>
  <c r="AP81" i="1"/>
  <c r="AJ81" i="1"/>
  <c r="AI81" i="1"/>
  <c r="AH81" i="1"/>
  <c r="AC81" i="1"/>
  <c r="AB81" i="1"/>
  <c r="AA81" i="1"/>
  <c r="U81" i="1"/>
  <c r="T81" i="1"/>
  <c r="S81" i="1"/>
  <c r="R81" i="1"/>
  <c r="Q81" i="1"/>
  <c r="P81" i="1"/>
  <c r="BZ80" i="1"/>
  <c r="BY80" i="1"/>
  <c r="BX80" i="1"/>
  <c r="BU80" i="1"/>
  <c r="BT80" i="1"/>
  <c r="BS80" i="1"/>
  <c r="BO80" i="1"/>
  <c r="BN80" i="1"/>
  <c r="BM80" i="1"/>
  <c r="BJ80" i="1"/>
  <c r="BI80" i="1"/>
  <c r="BH80" i="1"/>
  <c r="BD80" i="1"/>
  <c r="BC80" i="1"/>
  <c r="BB80" i="1"/>
  <c r="AX80" i="1"/>
  <c r="AW80" i="1"/>
  <c r="AV80" i="1"/>
  <c r="AR80" i="1"/>
  <c r="AQ80" i="1"/>
  <c r="AP80" i="1"/>
  <c r="Y80" i="1" s="1"/>
  <c r="AJ80" i="1"/>
  <c r="AI80" i="1"/>
  <c r="AH80" i="1"/>
  <c r="AC80" i="1"/>
  <c r="AB80" i="1"/>
  <c r="AA80" i="1"/>
  <c r="U80" i="1"/>
  <c r="T80" i="1"/>
  <c r="S80" i="1"/>
  <c r="R80" i="1"/>
  <c r="Q80" i="1"/>
  <c r="P80" i="1"/>
  <c r="BZ79" i="1"/>
  <c r="BY79" i="1"/>
  <c r="BX79" i="1"/>
  <c r="BU79" i="1"/>
  <c r="BT79" i="1"/>
  <c r="BS79" i="1"/>
  <c r="BO79" i="1"/>
  <c r="BN79" i="1"/>
  <c r="BM79" i="1"/>
  <c r="BJ79" i="1"/>
  <c r="BI79" i="1"/>
  <c r="BH79" i="1"/>
  <c r="BD79" i="1"/>
  <c r="BC79" i="1"/>
  <c r="BB79" i="1"/>
  <c r="AX79" i="1"/>
  <c r="AW79" i="1"/>
  <c r="AV79" i="1"/>
  <c r="AR79" i="1"/>
  <c r="AQ79" i="1"/>
  <c r="AP79" i="1"/>
  <c r="AJ79" i="1"/>
  <c r="AI79" i="1"/>
  <c r="AH79" i="1"/>
  <c r="AC79" i="1"/>
  <c r="AB79" i="1"/>
  <c r="AA79" i="1"/>
  <c r="U79" i="1"/>
  <c r="T79" i="1"/>
  <c r="S79" i="1"/>
  <c r="R79" i="1"/>
  <c r="Q79" i="1"/>
  <c r="P79" i="1"/>
  <c r="BZ78" i="1"/>
  <c r="BY78" i="1"/>
  <c r="BX78" i="1"/>
  <c r="BU78" i="1"/>
  <c r="BT78" i="1"/>
  <c r="BS78" i="1"/>
  <c r="BO78" i="1"/>
  <c r="BN78" i="1"/>
  <c r="BM78" i="1"/>
  <c r="BJ78" i="1"/>
  <c r="BI78" i="1"/>
  <c r="BH78" i="1"/>
  <c r="BD78" i="1"/>
  <c r="BC78" i="1"/>
  <c r="BB78" i="1"/>
  <c r="AX78" i="1"/>
  <c r="AW78" i="1"/>
  <c r="AV78" i="1"/>
  <c r="AR78" i="1"/>
  <c r="AQ78" i="1"/>
  <c r="AP78" i="1"/>
  <c r="AJ78" i="1"/>
  <c r="AI78" i="1"/>
  <c r="AH78" i="1"/>
  <c r="AC78" i="1"/>
  <c r="AB78" i="1"/>
  <c r="AA78" i="1"/>
  <c r="Y78" i="1"/>
  <c r="U78" i="1"/>
  <c r="T78" i="1"/>
  <c r="S78" i="1"/>
  <c r="R78" i="1"/>
  <c r="Q78" i="1"/>
  <c r="P78" i="1"/>
  <c r="BZ77" i="1"/>
  <c r="BY77" i="1"/>
  <c r="BX77" i="1"/>
  <c r="BU77" i="1"/>
  <c r="BT77" i="1"/>
  <c r="BS77" i="1"/>
  <c r="BO77" i="1"/>
  <c r="BN77" i="1"/>
  <c r="BM77" i="1"/>
  <c r="BJ77" i="1"/>
  <c r="BI77" i="1"/>
  <c r="BH77" i="1"/>
  <c r="BD77" i="1"/>
  <c r="BC77" i="1"/>
  <c r="BB77" i="1"/>
  <c r="AX77" i="1"/>
  <c r="AW77" i="1"/>
  <c r="AV77" i="1"/>
  <c r="AR77" i="1"/>
  <c r="AQ77" i="1"/>
  <c r="AP77" i="1"/>
  <c r="AJ77" i="1"/>
  <c r="AI77" i="1"/>
  <c r="AH77" i="1"/>
  <c r="AC77" i="1"/>
  <c r="AB77" i="1"/>
  <c r="AA77" i="1"/>
  <c r="U77" i="1"/>
  <c r="T77" i="1"/>
  <c r="S77" i="1"/>
  <c r="R77" i="1"/>
  <c r="Q77" i="1"/>
  <c r="P77" i="1"/>
  <c r="BZ76" i="1"/>
  <c r="BY76" i="1"/>
  <c r="BX76" i="1"/>
  <c r="BU76" i="1"/>
  <c r="BT76" i="1"/>
  <c r="BS76" i="1"/>
  <c r="BO76" i="1"/>
  <c r="BN76" i="1"/>
  <c r="BM76" i="1"/>
  <c r="BJ76" i="1"/>
  <c r="BI76" i="1"/>
  <c r="BH76" i="1"/>
  <c r="BD76" i="1"/>
  <c r="BC76" i="1"/>
  <c r="BB76" i="1"/>
  <c r="AX76" i="1"/>
  <c r="AW76" i="1"/>
  <c r="AV76" i="1"/>
  <c r="AR76" i="1"/>
  <c r="AQ76" i="1"/>
  <c r="AP76" i="1"/>
  <c r="AJ76" i="1"/>
  <c r="AI76" i="1"/>
  <c r="AH76" i="1"/>
  <c r="AC76" i="1"/>
  <c r="AB76" i="1"/>
  <c r="AA76" i="1"/>
  <c r="U76" i="1"/>
  <c r="T76" i="1"/>
  <c r="S76" i="1"/>
  <c r="R76" i="1"/>
  <c r="Q76" i="1"/>
  <c r="P76" i="1"/>
  <c r="BZ75" i="1"/>
  <c r="BY75" i="1"/>
  <c r="BX75" i="1"/>
  <c r="BU75" i="1"/>
  <c r="BT75" i="1"/>
  <c r="BS75" i="1"/>
  <c r="BO75" i="1"/>
  <c r="BN75" i="1"/>
  <c r="BM75" i="1"/>
  <c r="BJ75" i="1"/>
  <c r="BI75" i="1"/>
  <c r="BH75" i="1"/>
  <c r="BD75" i="1"/>
  <c r="BC75" i="1"/>
  <c r="BB75" i="1"/>
  <c r="AX75" i="1"/>
  <c r="AW75" i="1"/>
  <c r="AV75" i="1"/>
  <c r="AR75" i="1"/>
  <c r="AQ75" i="1"/>
  <c r="AP75" i="1"/>
  <c r="AJ75" i="1"/>
  <c r="AI75" i="1"/>
  <c r="AH75" i="1"/>
  <c r="AC75" i="1"/>
  <c r="AB75" i="1"/>
  <c r="AA75" i="1"/>
  <c r="U75" i="1"/>
  <c r="T75" i="1"/>
  <c r="S75" i="1"/>
  <c r="R75" i="1"/>
  <c r="Q75" i="1"/>
  <c r="P75" i="1"/>
  <c r="BZ74" i="1"/>
  <c r="BY74" i="1"/>
  <c r="BX74" i="1"/>
  <c r="BU74" i="1"/>
  <c r="BT74" i="1"/>
  <c r="BS74" i="1"/>
  <c r="BO74" i="1"/>
  <c r="BN74" i="1"/>
  <c r="BM74" i="1"/>
  <c r="BJ74" i="1"/>
  <c r="BI74" i="1"/>
  <c r="BH74" i="1"/>
  <c r="BD74" i="1"/>
  <c r="BC74" i="1"/>
  <c r="BB74" i="1"/>
  <c r="AX74" i="1"/>
  <c r="AW74" i="1"/>
  <c r="AV74" i="1"/>
  <c r="AR74" i="1"/>
  <c r="AQ74" i="1"/>
  <c r="AP74" i="1"/>
  <c r="AJ74" i="1"/>
  <c r="AI74" i="1"/>
  <c r="AH74" i="1"/>
  <c r="AC74" i="1"/>
  <c r="AB74" i="1"/>
  <c r="AA74" i="1"/>
  <c r="U74" i="1"/>
  <c r="T74" i="1"/>
  <c r="S74" i="1"/>
  <c r="R74" i="1"/>
  <c r="Q74" i="1"/>
  <c r="P74" i="1"/>
  <c r="BZ73" i="1"/>
  <c r="BY73" i="1"/>
  <c r="BX73" i="1"/>
  <c r="BU73" i="1"/>
  <c r="BT73" i="1"/>
  <c r="BS73" i="1"/>
  <c r="BO73" i="1"/>
  <c r="BN73" i="1"/>
  <c r="BM73" i="1"/>
  <c r="BJ73" i="1"/>
  <c r="BI73" i="1"/>
  <c r="BH73" i="1"/>
  <c r="BD73" i="1"/>
  <c r="BC73" i="1"/>
  <c r="BB73" i="1"/>
  <c r="AX73" i="1"/>
  <c r="AW73" i="1"/>
  <c r="AV73" i="1"/>
  <c r="AR73" i="1"/>
  <c r="AQ73" i="1"/>
  <c r="AP73" i="1"/>
  <c r="Y73" i="1" s="1"/>
  <c r="AJ73" i="1"/>
  <c r="AI73" i="1"/>
  <c r="AH73" i="1"/>
  <c r="AC73" i="1"/>
  <c r="AB73" i="1"/>
  <c r="AA73" i="1"/>
  <c r="U73" i="1"/>
  <c r="T73" i="1"/>
  <c r="S73" i="1"/>
  <c r="R73" i="1"/>
  <c r="Q73" i="1"/>
  <c r="P73" i="1"/>
  <c r="BZ72" i="1"/>
  <c r="BY72" i="1"/>
  <c r="BX72" i="1"/>
  <c r="BU72" i="1"/>
  <c r="BT72" i="1"/>
  <c r="BS72" i="1"/>
  <c r="BO72" i="1"/>
  <c r="BN72" i="1"/>
  <c r="BM72" i="1"/>
  <c r="BJ72" i="1"/>
  <c r="BI72" i="1"/>
  <c r="BH72" i="1"/>
  <c r="BD72" i="1"/>
  <c r="BC72" i="1"/>
  <c r="BB72" i="1"/>
  <c r="AX72" i="1"/>
  <c r="AW72" i="1"/>
  <c r="AV72" i="1"/>
  <c r="AR72" i="1"/>
  <c r="AQ72" i="1"/>
  <c r="AP72" i="1"/>
  <c r="AJ72" i="1"/>
  <c r="AI72" i="1"/>
  <c r="AH72" i="1"/>
  <c r="AC72" i="1"/>
  <c r="AB72" i="1"/>
  <c r="AA72" i="1"/>
  <c r="U72" i="1"/>
  <c r="T72" i="1"/>
  <c r="S72" i="1"/>
  <c r="R72" i="1"/>
  <c r="Q72" i="1"/>
  <c r="P72" i="1"/>
  <c r="BZ71" i="1"/>
  <c r="BY71" i="1"/>
  <c r="BX71" i="1"/>
  <c r="BU71" i="1"/>
  <c r="BT71" i="1"/>
  <c r="BS71" i="1"/>
  <c r="BO71" i="1"/>
  <c r="BN71" i="1"/>
  <c r="BM71" i="1"/>
  <c r="BJ71" i="1"/>
  <c r="BI71" i="1"/>
  <c r="BH71" i="1"/>
  <c r="BD71" i="1"/>
  <c r="BC71" i="1"/>
  <c r="BB71" i="1"/>
  <c r="AX71" i="1"/>
  <c r="AW71" i="1"/>
  <c r="AV71" i="1"/>
  <c r="AR71" i="1"/>
  <c r="AQ71" i="1"/>
  <c r="AP71" i="1"/>
  <c r="AJ71" i="1"/>
  <c r="AI71" i="1"/>
  <c r="AH71" i="1"/>
  <c r="AC71" i="1"/>
  <c r="AB71" i="1"/>
  <c r="AA71" i="1"/>
  <c r="U71" i="1"/>
  <c r="T71" i="1"/>
  <c r="S71" i="1"/>
  <c r="R71" i="1"/>
  <c r="Q71" i="1"/>
  <c r="P71" i="1"/>
  <c r="BZ70" i="1"/>
  <c r="BY70" i="1"/>
  <c r="BX70" i="1"/>
  <c r="BU70" i="1"/>
  <c r="BT70" i="1"/>
  <c r="BS70" i="1"/>
  <c r="BO70" i="1"/>
  <c r="BN70" i="1"/>
  <c r="BM70" i="1"/>
  <c r="BJ70" i="1"/>
  <c r="BI70" i="1"/>
  <c r="BH70" i="1"/>
  <c r="BD70" i="1"/>
  <c r="BC70" i="1"/>
  <c r="BB70" i="1"/>
  <c r="AX70" i="1"/>
  <c r="AW70" i="1"/>
  <c r="AV70" i="1"/>
  <c r="AR70" i="1"/>
  <c r="AQ70" i="1"/>
  <c r="AP70" i="1"/>
  <c r="AJ70" i="1"/>
  <c r="AI70" i="1"/>
  <c r="AH70" i="1"/>
  <c r="AC70" i="1"/>
  <c r="AB70" i="1"/>
  <c r="AA70" i="1"/>
  <c r="U70" i="1"/>
  <c r="T70" i="1"/>
  <c r="S70" i="1"/>
  <c r="R70" i="1"/>
  <c r="Q70" i="1"/>
  <c r="P70" i="1"/>
  <c r="BZ69" i="1"/>
  <c r="BY69" i="1"/>
  <c r="BX69" i="1"/>
  <c r="BU69" i="1"/>
  <c r="BT69" i="1"/>
  <c r="BS69" i="1"/>
  <c r="BO69" i="1"/>
  <c r="BN69" i="1"/>
  <c r="BM69" i="1"/>
  <c r="BJ69" i="1"/>
  <c r="BI69" i="1"/>
  <c r="BH69" i="1"/>
  <c r="BD69" i="1"/>
  <c r="BC69" i="1"/>
  <c r="BB69" i="1"/>
  <c r="AX69" i="1"/>
  <c r="AW69" i="1"/>
  <c r="AV69" i="1"/>
  <c r="AR69" i="1"/>
  <c r="AQ69" i="1"/>
  <c r="AP69" i="1"/>
  <c r="AJ69" i="1"/>
  <c r="AI69" i="1"/>
  <c r="AH69" i="1"/>
  <c r="AC69" i="1"/>
  <c r="AB69" i="1"/>
  <c r="AA69" i="1"/>
  <c r="U69" i="1"/>
  <c r="T69" i="1"/>
  <c r="S69" i="1"/>
  <c r="R69" i="1"/>
  <c r="Q69" i="1"/>
  <c r="P69" i="1"/>
  <c r="BZ68" i="1"/>
  <c r="BY68" i="1"/>
  <c r="BX68" i="1"/>
  <c r="BU68" i="1"/>
  <c r="BT68" i="1"/>
  <c r="BS68" i="1"/>
  <c r="BO68" i="1"/>
  <c r="BN68" i="1"/>
  <c r="BM68" i="1"/>
  <c r="BJ68" i="1"/>
  <c r="BI68" i="1"/>
  <c r="BH68" i="1"/>
  <c r="BD68" i="1"/>
  <c r="BC68" i="1"/>
  <c r="BB68" i="1"/>
  <c r="AX68" i="1"/>
  <c r="AW68" i="1"/>
  <c r="AV68" i="1"/>
  <c r="AR68" i="1"/>
  <c r="AQ68" i="1"/>
  <c r="AP68" i="1"/>
  <c r="AJ68" i="1"/>
  <c r="AI68" i="1"/>
  <c r="AH68" i="1"/>
  <c r="AC68" i="1"/>
  <c r="AB68" i="1"/>
  <c r="AA68" i="1"/>
  <c r="U68" i="1"/>
  <c r="T68" i="1"/>
  <c r="S68" i="1"/>
  <c r="R68" i="1"/>
  <c r="Q68" i="1"/>
  <c r="P68" i="1"/>
  <c r="BZ67" i="1"/>
  <c r="BY67" i="1"/>
  <c r="BX67" i="1"/>
  <c r="BU67" i="1"/>
  <c r="BT67" i="1"/>
  <c r="BS67" i="1"/>
  <c r="BO67" i="1"/>
  <c r="BN67" i="1"/>
  <c r="BM67" i="1"/>
  <c r="BJ67" i="1"/>
  <c r="BI67" i="1"/>
  <c r="BH67" i="1"/>
  <c r="BD67" i="1"/>
  <c r="BC67" i="1"/>
  <c r="BB67" i="1"/>
  <c r="Y67" i="1" s="1"/>
  <c r="AX67" i="1"/>
  <c r="AW67" i="1"/>
  <c r="AV67" i="1"/>
  <c r="AR67" i="1"/>
  <c r="AQ67" i="1"/>
  <c r="AP67" i="1"/>
  <c r="AJ67" i="1"/>
  <c r="AI67" i="1"/>
  <c r="AH67" i="1"/>
  <c r="AC67" i="1"/>
  <c r="AB67" i="1"/>
  <c r="AA67" i="1"/>
  <c r="U67" i="1"/>
  <c r="T67" i="1"/>
  <c r="S67" i="1"/>
  <c r="R67" i="1"/>
  <c r="Q67" i="1"/>
  <c r="P67" i="1"/>
  <c r="BZ66" i="1"/>
  <c r="BY66" i="1"/>
  <c r="BX66" i="1"/>
  <c r="BU66" i="1"/>
  <c r="BT66" i="1"/>
  <c r="BS66" i="1"/>
  <c r="BO66" i="1"/>
  <c r="BN66" i="1"/>
  <c r="BM66" i="1"/>
  <c r="BJ66" i="1"/>
  <c r="BI66" i="1"/>
  <c r="BH66" i="1"/>
  <c r="BD66" i="1"/>
  <c r="BC66" i="1"/>
  <c r="BB66" i="1"/>
  <c r="AX66" i="1"/>
  <c r="AW66" i="1"/>
  <c r="AV66" i="1"/>
  <c r="AR66" i="1"/>
  <c r="AQ66" i="1"/>
  <c r="AP66" i="1"/>
  <c r="AJ66" i="1"/>
  <c r="AI66" i="1"/>
  <c r="AH66" i="1"/>
  <c r="AC66" i="1"/>
  <c r="AB66" i="1"/>
  <c r="AA66" i="1"/>
  <c r="U66" i="1"/>
  <c r="T66" i="1"/>
  <c r="S66" i="1"/>
  <c r="R66" i="1"/>
  <c r="Q66" i="1"/>
  <c r="P66" i="1"/>
  <c r="BZ65" i="1"/>
  <c r="BY65" i="1"/>
  <c r="BX65" i="1"/>
  <c r="BU65" i="1"/>
  <c r="BT65" i="1"/>
  <c r="BS65" i="1"/>
  <c r="BO65" i="1"/>
  <c r="BN65" i="1"/>
  <c r="BM65" i="1"/>
  <c r="BJ65" i="1"/>
  <c r="BI65" i="1"/>
  <c r="BH65" i="1"/>
  <c r="BD65" i="1"/>
  <c r="BC65" i="1"/>
  <c r="BB65" i="1"/>
  <c r="AX65" i="1"/>
  <c r="AW65" i="1"/>
  <c r="AV65" i="1"/>
  <c r="AR65" i="1"/>
  <c r="AQ65" i="1"/>
  <c r="AP65" i="1"/>
  <c r="AJ65" i="1"/>
  <c r="AI65" i="1"/>
  <c r="AH65" i="1"/>
  <c r="AC65" i="1"/>
  <c r="AB65" i="1"/>
  <c r="AA65" i="1"/>
  <c r="U65" i="1"/>
  <c r="T65" i="1"/>
  <c r="S65" i="1"/>
  <c r="R65" i="1"/>
  <c r="Q65" i="1"/>
  <c r="P65" i="1"/>
  <c r="BZ64" i="1"/>
  <c r="BY64" i="1"/>
  <c r="BX64" i="1"/>
  <c r="BU64" i="1"/>
  <c r="BT64" i="1"/>
  <c r="BS64" i="1"/>
  <c r="BO64" i="1"/>
  <c r="BN64" i="1"/>
  <c r="BM64" i="1"/>
  <c r="BJ64" i="1"/>
  <c r="BI64" i="1"/>
  <c r="BH64" i="1"/>
  <c r="BD64" i="1"/>
  <c r="BC64" i="1"/>
  <c r="BB64" i="1"/>
  <c r="AX64" i="1"/>
  <c r="AW64" i="1"/>
  <c r="AV64" i="1"/>
  <c r="AR64" i="1"/>
  <c r="AQ64" i="1"/>
  <c r="AP64" i="1"/>
  <c r="AJ64" i="1"/>
  <c r="AI64" i="1"/>
  <c r="AH64" i="1"/>
  <c r="AC64" i="1"/>
  <c r="AB64" i="1"/>
  <c r="AA64" i="1"/>
  <c r="U64" i="1"/>
  <c r="T64" i="1"/>
  <c r="S64" i="1"/>
  <c r="R64" i="1"/>
  <c r="Q64" i="1"/>
  <c r="P64" i="1"/>
  <c r="BZ63" i="1"/>
  <c r="BY63" i="1"/>
  <c r="BX63" i="1"/>
  <c r="BU63" i="1"/>
  <c r="BT63" i="1"/>
  <c r="BS63" i="1"/>
  <c r="BO63" i="1"/>
  <c r="BN63" i="1"/>
  <c r="BM63" i="1"/>
  <c r="BJ63" i="1"/>
  <c r="BI63" i="1"/>
  <c r="BH63" i="1"/>
  <c r="BD63" i="1"/>
  <c r="BC63" i="1"/>
  <c r="BB63" i="1"/>
  <c r="AX63" i="1"/>
  <c r="AW63" i="1"/>
  <c r="AV63" i="1"/>
  <c r="AR63" i="1"/>
  <c r="AQ63" i="1"/>
  <c r="AP63" i="1"/>
  <c r="AJ63" i="1"/>
  <c r="AI63" i="1"/>
  <c r="AH63" i="1"/>
  <c r="AC63" i="1"/>
  <c r="AB63" i="1"/>
  <c r="AA63" i="1"/>
  <c r="U63" i="1"/>
  <c r="T63" i="1"/>
  <c r="S63" i="1"/>
  <c r="R63" i="1"/>
  <c r="Q63" i="1"/>
  <c r="P63" i="1"/>
  <c r="BZ62" i="1"/>
  <c r="BY62" i="1"/>
  <c r="BX62" i="1"/>
  <c r="BU62" i="1"/>
  <c r="BT62" i="1"/>
  <c r="BS62" i="1"/>
  <c r="BO62" i="1"/>
  <c r="BN62" i="1"/>
  <c r="BM62" i="1"/>
  <c r="BJ62" i="1"/>
  <c r="BI62" i="1"/>
  <c r="BH62" i="1"/>
  <c r="BD62" i="1"/>
  <c r="BC62" i="1"/>
  <c r="BB62" i="1"/>
  <c r="AX62" i="1"/>
  <c r="AW62" i="1"/>
  <c r="AV62" i="1"/>
  <c r="AR62" i="1"/>
  <c r="AQ62" i="1"/>
  <c r="AP62" i="1"/>
  <c r="Y62" i="1" s="1"/>
  <c r="AJ62" i="1"/>
  <c r="AI62" i="1"/>
  <c r="AH62" i="1"/>
  <c r="AC62" i="1"/>
  <c r="AB62" i="1"/>
  <c r="AA62" i="1"/>
  <c r="U62" i="1"/>
  <c r="T62" i="1"/>
  <c r="S62" i="1"/>
  <c r="R62" i="1"/>
  <c r="Q62" i="1"/>
  <c r="P62" i="1"/>
  <c r="BZ61" i="1"/>
  <c r="BY61" i="1"/>
  <c r="BX61" i="1"/>
  <c r="BU61" i="1"/>
  <c r="BT61" i="1"/>
  <c r="BS61" i="1"/>
  <c r="BO61" i="1"/>
  <c r="BN61" i="1"/>
  <c r="BM61" i="1"/>
  <c r="BJ61" i="1"/>
  <c r="BI61" i="1"/>
  <c r="BH61" i="1"/>
  <c r="BD61" i="1"/>
  <c r="BC61" i="1"/>
  <c r="BB61" i="1"/>
  <c r="AX61" i="1"/>
  <c r="AW61" i="1"/>
  <c r="AV61" i="1"/>
  <c r="AR61" i="1"/>
  <c r="AQ61" i="1"/>
  <c r="AP61" i="1"/>
  <c r="AJ61" i="1"/>
  <c r="AI61" i="1"/>
  <c r="AH61" i="1"/>
  <c r="AC61" i="1"/>
  <c r="AB61" i="1"/>
  <c r="AA61" i="1"/>
  <c r="U61" i="1"/>
  <c r="T61" i="1"/>
  <c r="S61" i="1"/>
  <c r="R61" i="1"/>
  <c r="Q61" i="1"/>
  <c r="P61" i="1"/>
  <c r="BZ60" i="1"/>
  <c r="BY60" i="1"/>
  <c r="BX60" i="1"/>
  <c r="BU60" i="1"/>
  <c r="BT60" i="1"/>
  <c r="BS60" i="1"/>
  <c r="BO60" i="1"/>
  <c r="BN60" i="1"/>
  <c r="BM60" i="1"/>
  <c r="BJ60" i="1"/>
  <c r="BI60" i="1"/>
  <c r="BH60" i="1"/>
  <c r="BD60" i="1"/>
  <c r="BC60" i="1"/>
  <c r="BB60" i="1"/>
  <c r="AX60" i="1"/>
  <c r="AW60" i="1"/>
  <c r="AV60" i="1"/>
  <c r="AR60" i="1"/>
  <c r="AQ60" i="1"/>
  <c r="AP60" i="1"/>
  <c r="AJ60" i="1"/>
  <c r="AI60" i="1"/>
  <c r="AH60" i="1"/>
  <c r="AC60" i="1"/>
  <c r="AB60" i="1"/>
  <c r="AA60" i="1"/>
  <c r="U60" i="1"/>
  <c r="T60" i="1"/>
  <c r="S60" i="1"/>
  <c r="R60" i="1"/>
  <c r="Q60" i="1"/>
  <c r="P60" i="1"/>
  <c r="BZ59" i="1"/>
  <c r="BY59" i="1"/>
  <c r="BX59" i="1"/>
  <c r="BU59" i="1"/>
  <c r="BT59" i="1"/>
  <c r="BS59" i="1"/>
  <c r="BO59" i="1"/>
  <c r="BN59" i="1"/>
  <c r="BM59" i="1"/>
  <c r="BJ59" i="1"/>
  <c r="BI59" i="1"/>
  <c r="BH59" i="1"/>
  <c r="BD59" i="1"/>
  <c r="BC59" i="1"/>
  <c r="BB59" i="1"/>
  <c r="AX59" i="1"/>
  <c r="AW59" i="1"/>
  <c r="AV59" i="1"/>
  <c r="AR59" i="1"/>
  <c r="AQ59" i="1"/>
  <c r="AP59" i="1"/>
  <c r="AJ59" i="1"/>
  <c r="AI59" i="1"/>
  <c r="AH59" i="1"/>
  <c r="AC59" i="1"/>
  <c r="AB59" i="1"/>
  <c r="AA59" i="1"/>
  <c r="U59" i="1"/>
  <c r="T59" i="1"/>
  <c r="S59" i="1"/>
  <c r="R59" i="1"/>
  <c r="Q59" i="1"/>
  <c r="P59" i="1"/>
  <c r="BZ58" i="1"/>
  <c r="BY58" i="1"/>
  <c r="BX58" i="1"/>
  <c r="BU58" i="1"/>
  <c r="BT58" i="1"/>
  <c r="BS58" i="1"/>
  <c r="BO58" i="1"/>
  <c r="BN58" i="1"/>
  <c r="BM58" i="1"/>
  <c r="BJ58" i="1"/>
  <c r="BI58" i="1"/>
  <c r="BH58" i="1"/>
  <c r="BD58" i="1"/>
  <c r="BC58" i="1"/>
  <c r="BB58" i="1"/>
  <c r="AX58" i="1"/>
  <c r="AW58" i="1"/>
  <c r="AV58" i="1"/>
  <c r="AR58" i="1"/>
  <c r="AQ58" i="1"/>
  <c r="AP58" i="1"/>
  <c r="Y58" i="1" s="1"/>
  <c r="AJ58" i="1"/>
  <c r="AI58" i="1"/>
  <c r="AH58" i="1"/>
  <c r="AC58" i="1"/>
  <c r="AB58" i="1"/>
  <c r="AA58" i="1"/>
  <c r="U58" i="1"/>
  <c r="T58" i="1"/>
  <c r="S58" i="1"/>
  <c r="R58" i="1"/>
  <c r="Q58" i="1"/>
  <c r="P58" i="1"/>
  <c r="BZ57" i="1"/>
  <c r="BY57" i="1"/>
  <c r="BX57" i="1"/>
  <c r="BU57" i="1"/>
  <c r="BT57" i="1"/>
  <c r="BS57" i="1"/>
  <c r="BO57" i="1"/>
  <c r="BN57" i="1"/>
  <c r="BM57" i="1"/>
  <c r="BJ57" i="1"/>
  <c r="BI57" i="1"/>
  <c r="BH57" i="1"/>
  <c r="BD57" i="1"/>
  <c r="BC57" i="1"/>
  <c r="BB57" i="1"/>
  <c r="AX57" i="1"/>
  <c r="AW57" i="1"/>
  <c r="AV57" i="1"/>
  <c r="AR57" i="1"/>
  <c r="AQ57" i="1"/>
  <c r="AP57" i="1"/>
  <c r="AJ57" i="1"/>
  <c r="AI57" i="1"/>
  <c r="AH57" i="1"/>
  <c r="AC57" i="1"/>
  <c r="AB57" i="1"/>
  <c r="AA57" i="1"/>
  <c r="U57" i="1"/>
  <c r="T57" i="1"/>
  <c r="S57" i="1"/>
  <c r="R57" i="1"/>
  <c r="Q57" i="1"/>
  <c r="P57" i="1"/>
  <c r="BZ56" i="1"/>
  <c r="BY56" i="1"/>
  <c r="BX56" i="1"/>
  <c r="BU56" i="1"/>
  <c r="BT56" i="1"/>
  <c r="BS56" i="1"/>
  <c r="BO56" i="1"/>
  <c r="BN56" i="1"/>
  <c r="BM56" i="1"/>
  <c r="BJ56" i="1"/>
  <c r="BI56" i="1"/>
  <c r="BH56" i="1"/>
  <c r="BD56" i="1"/>
  <c r="BC56" i="1"/>
  <c r="BB56" i="1"/>
  <c r="AX56" i="1"/>
  <c r="AW56" i="1"/>
  <c r="AV56" i="1"/>
  <c r="AR56" i="1"/>
  <c r="AQ56" i="1"/>
  <c r="AP56" i="1"/>
  <c r="AJ56" i="1"/>
  <c r="AI56" i="1"/>
  <c r="AH56" i="1"/>
  <c r="AC56" i="1"/>
  <c r="AB56" i="1"/>
  <c r="AA56" i="1"/>
  <c r="U56" i="1"/>
  <c r="T56" i="1"/>
  <c r="S56" i="1"/>
  <c r="R56" i="1"/>
  <c r="Q56" i="1"/>
  <c r="P56" i="1"/>
  <c r="BZ55" i="1"/>
  <c r="BY55" i="1"/>
  <c r="BX55" i="1"/>
  <c r="BU55" i="1"/>
  <c r="BT55" i="1"/>
  <c r="BS55" i="1"/>
  <c r="BO55" i="1"/>
  <c r="BN55" i="1"/>
  <c r="BM55" i="1"/>
  <c r="BJ55" i="1"/>
  <c r="BI55" i="1"/>
  <c r="BH55" i="1"/>
  <c r="BD55" i="1"/>
  <c r="BC55" i="1"/>
  <c r="BB55" i="1"/>
  <c r="AX55" i="1"/>
  <c r="AW55" i="1"/>
  <c r="AV55" i="1"/>
  <c r="AR55" i="1"/>
  <c r="AQ55" i="1"/>
  <c r="AP55" i="1"/>
  <c r="AJ55" i="1"/>
  <c r="AI55" i="1"/>
  <c r="AH55" i="1"/>
  <c r="AC55" i="1"/>
  <c r="AB55" i="1"/>
  <c r="AA55" i="1"/>
  <c r="U55" i="1"/>
  <c r="T55" i="1"/>
  <c r="S55" i="1"/>
  <c r="R55" i="1"/>
  <c r="Q55" i="1"/>
  <c r="P55" i="1"/>
  <c r="BZ54" i="1"/>
  <c r="BY54" i="1"/>
  <c r="BX54" i="1"/>
  <c r="BU54" i="1"/>
  <c r="BT54" i="1"/>
  <c r="BS54" i="1"/>
  <c r="BO54" i="1"/>
  <c r="BN54" i="1"/>
  <c r="BM54" i="1"/>
  <c r="BJ54" i="1"/>
  <c r="BI54" i="1"/>
  <c r="BH54" i="1"/>
  <c r="BD54" i="1"/>
  <c r="BC54" i="1"/>
  <c r="BB54" i="1"/>
  <c r="AX54" i="1"/>
  <c r="AW54" i="1"/>
  <c r="AV54" i="1"/>
  <c r="AR54" i="1"/>
  <c r="AQ54" i="1"/>
  <c r="AP54" i="1"/>
  <c r="AJ54" i="1"/>
  <c r="AI54" i="1"/>
  <c r="AH54" i="1"/>
  <c r="AC54" i="1"/>
  <c r="AB54" i="1"/>
  <c r="AA54" i="1"/>
  <c r="U54" i="1"/>
  <c r="T54" i="1"/>
  <c r="S54" i="1"/>
  <c r="R54" i="1"/>
  <c r="Q54" i="1"/>
  <c r="P54" i="1"/>
  <c r="BZ53" i="1"/>
  <c r="BY53" i="1"/>
  <c r="BX53" i="1"/>
  <c r="BU53" i="1"/>
  <c r="BT53" i="1"/>
  <c r="BS53" i="1"/>
  <c r="BO53" i="1"/>
  <c r="BN53" i="1"/>
  <c r="BM53" i="1"/>
  <c r="BJ53" i="1"/>
  <c r="BI53" i="1"/>
  <c r="BH53" i="1"/>
  <c r="BD53" i="1"/>
  <c r="BC53" i="1"/>
  <c r="BB53" i="1"/>
  <c r="AX53" i="1"/>
  <c r="AW53" i="1"/>
  <c r="AV53" i="1"/>
  <c r="AR53" i="1"/>
  <c r="AQ53" i="1"/>
  <c r="AP53" i="1"/>
  <c r="Y53" i="1" s="1"/>
  <c r="AJ53" i="1"/>
  <c r="AI53" i="1"/>
  <c r="AH53" i="1"/>
  <c r="AC53" i="1"/>
  <c r="AB53" i="1"/>
  <c r="AA53" i="1"/>
  <c r="U53" i="1"/>
  <c r="T53" i="1"/>
  <c r="S53" i="1"/>
  <c r="R53" i="1"/>
  <c r="Q53" i="1"/>
  <c r="P53" i="1"/>
  <c r="BZ52" i="1"/>
  <c r="BY52" i="1"/>
  <c r="BX52" i="1"/>
  <c r="BU52" i="1"/>
  <c r="BT52" i="1"/>
  <c r="BS52" i="1"/>
  <c r="BO52" i="1"/>
  <c r="BN52" i="1"/>
  <c r="BM52" i="1"/>
  <c r="BJ52" i="1"/>
  <c r="BI52" i="1"/>
  <c r="BH52" i="1"/>
  <c r="BD52" i="1"/>
  <c r="BC52" i="1"/>
  <c r="BB52" i="1"/>
  <c r="Y52" i="1" s="1"/>
  <c r="AX52" i="1"/>
  <c r="AW52" i="1"/>
  <c r="AV52" i="1"/>
  <c r="AR52" i="1"/>
  <c r="AQ52" i="1"/>
  <c r="AP52" i="1"/>
  <c r="AJ52" i="1"/>
  <c r="AI52" i="1"/>
  <c r="AH52" i="1"/>
  <c r="AC52" i="1"/>
  <c r="AB52" i="1"/>
  <c r="AA52" i="1"/>
  <c r="U52" i="1"/>
  <c r="T52" i="1"/>
  <c r="S52" i="1"/>
  <c r="R52" i="1"/>
  <c r="Q52" i="1"/>
  <c r="P52" i="1"/>
  <c r="BZ51" i="1"/>
  <c r="BY51" i="1"/>
  <c r="BX51" i="1"/>
  <c r="BU51" i="1"/>
  <c r="BT51" i="1"/>
  <c r="BS51" i="1"/>
  <c r="BO51" i="1"/>
  <c r="BN51" i="1"/>
  <c r="BM51" i="1"/>
  <c r="BJ51" i="1"/>
  <c r="BI51" i="1"/>
  <c r="BH51" i="1"/>
  <c r="BD51" i="1"/>
  <c r="BC51" i="1"/>
  <c r="BB51" i="1"/>
  <c r="AX51" i="1"/>
  <c r="AW51" i="1"/>
  <c r="AV51" i="1"/>
  <c r="AR51" i="1"/>
  <c r="AQ51" i="1"/>
  <c r="AP51" i="1"/>
  <c r="AJ51" i="1"/>
  <c r="AI51" i="1"/>
  <c r="AH51" i="1"/>
  <c r="AC51" i="1"/>
  <c r="AB51" i="1"/>
  <c r="AA51" i="1"/>
  <c r="U51" i="1"/>
  <c r="T51" i="1"/>
  <c r="S51" i="1"/>
  <c r="R51" i="1"/>
  <c r="Q51" i="1"/>
  <c r="P51" i="1"/>
  <c r="BZ50" i="1"/>
  <c r="BY50" i="1"/>
  <c r="BX50" i="1"/>
  <c r="BU50" i="1"/>
  <c r="BT50" i="1"/>
  <c r="BS50" i="1"/>
  <c r="BO50" i="1"/>
  <c r="BN50" i="1"/>
  <c r="BM50" i="1"/>
  <c r="BJ50" i="1"/>
  <c r="BI50" i="1"/>
  <c r="BH50" i="1"/>
  <c r="BD50" i="1"/>
  <c r="BC50" i="1"/>
  <c r="BB50" i="1"/>
  <c r="AX50" i="1"/>
  <c r="AW50" i="1"/>
  <c r="AV50" i="1"/>
  <c r="AR50" i="1"/>
  <c r="AQ50" i="1"/>
  <c r="AP50" i="1"/>
  <c r="AJ50" i="1"/>
  <c r="AI50" i="1"/>
  <c r="AH50" i="1"/>
  <c r="AC50" i="1"/>
  <c r="AB50" i="1"/>
  <c r="AA50" i="1"/>
  <c r="U50" i="1"/>
  <c r="T50" i="1"/>
  <c r="S50" i="1"/>
  <c r="R50" i="1"/>
  <c r="Q50" i="1"/>
  <c r="P50" i="1"/>
  <c r="BZ49" i="1"/>
  <c r="BY49" i="1"/>
  <c r="BX49" i="1"/>
  <c r="BU49" i="1"/>
  <c r="BT49" i="1"/>
  <c r="BS49" i="1"/>
  <c r="BO49" i="1"/>
  <c r="BN49" i="1"/>
  <c r="BM49" i="1"/>
  <c r="BJ49" i="1"/>
  <c r="BI49" i="1"/>
  <c r="BH49" i="1"/>
  <c r="BD49" i="1"/>
  <c r="BC49" i="1"/>
  <c r="BB49" i="1"/>
  <c r="AX49" i="1"/>
  <c r="AW49" i="1"/>
  <c r="AV49" i="1"/>
  <c r="AR49" i="1"/>
  <c r="AQ49" i="1"/>
  <c r="AP49" i="1"/>
  <c r="AJ49" i="1"/>
  <c r="AI49" i="1"/>
  <c r="AH49" i="1"/>
  <c r="AC49" i="1"/>
  <c r="AB49" i="1"/>
  <c r="AA49" i="1"/>
  <c r="U49" i="1"/>
  <c r="T49" i="1"/>
  <c r="S49" i="1"/>
  <c r="R49" i="1"/>
  <c r="Q49" i="1"/>
  <c r="P49" i="1"/>
  <c r="BZ48" i="1"/>
  <c r="BY48" i="1"/>
  <c r="BX48" i="1"/>
  <c r="BU48" i="1"/>
  <c r="BT48" i="1"/>
  <c r="BS48" i="1"/>
  <c r="BO48" i="1"/>
  <c r="BN48" i="1"/>
  <c r="BM48" i="1"/>
  <c r="BJ48" i="1"/>
  <c r="BI48" i="1"/>
  <c r="BH48" i="1"/>
  <c r="BD48" i="1"/>
  <c r="BC48" i="1"/>
  <c r="BB48" i="1"/>
  <c r="Y48" i="1" s="1"/>
  <c r="AX48" i="1"/>
  <c r="AW48" i="1"/>
  <c r="AV48" i="1"/>
  <c r="AR48" i="1"/>
  <c r="AQ48" i="1"/>
  <c r="AP48" i="1"/>
  <c r="AJ48" i="1"/>
  <c r="AI48" i="1"/>
  <c r="AH48" i="1"/>
  <c r="AC48" i="1"/>
  <c r="AB48" i="1"/>
  <c r="AA48" i="1"/>
  <c r="U48" i="1"/>
  <c r="T48" i="1"/>
  <c r="S48" i="1"/>
  <c r="R48" i="1"/>
  <c r="Q48" i="1"/>
  <c r="P48" i="1"/>
  <c r="BZ47" i="1"/>
  <c r="BY47" i="1"/>
  <c r="BX47" i="1"/>
  <c r="BU47" i="1"/>
  <c r="BT47" i="1"/>
  <c r="BS47" i="1"/>
  <c r="BO47" i="1"/>
  <c r="BN47" i="1"/>
  <c r="BM47" i="1"/>
  <c r="BJ47" i="1"/>
  <c r="BI47" i="1"/>
  <c r="BH47" i="1"/>
  <c r="BD47" i="1"/>
  <c r="BC47" i="1"/>
  <c r="BB47" i="1"/>
  <c r="AX47" i="1"/>
  <c r="AW47" i="1"/>
  <c r="AV47" i="1"/>
  <c r="AR47" i="1"/>
  <c r="AQ47" i="1"/>
  <c r="AP47" i="1"/>
  <c r="AJ47" i="1"/>
  <c r="AI47" i="1"/>
  <c r="AH47" i="1"/>
  <c r="AC47" i="1"/>
  <c r="AB47" i="1"/>
  <c r="AA47" i="1"/>
  <c r="U47" i="1"/>
  <c r="T47" i="1"/>
  <c r="S47" i="1"/>
  <c r="R47" i="1"/>
  <c r="Q47" i="1"/>
  <c r="P47" i="1"/>
  <c r="BZ46" i="1"/>
  <c r="BY46" i="1"/>
  <c r="BX46" i="1"/>
  <c r="BU46" i="1"/>
  <c r="BT46" i="1"/>
  <c r="BS46" i="1"/>
  <c r="BO46" i="1"/>
  <c r="BN46" i="1"/>
  <c r="BM46" i="1"/>
  <c r="BJ46" i="1"/>
  <c r="BI46" i="1"/>
  <c r="BH46" i="1"/>
  <c r="BD46" i="1"/>
  <c r="BC46" i="1"/>
  <c r="BB46" i="1"/>
  <c r="AX46" i="1"/>
  <c r="AW46" i="1"/>
  <c r="AV46" i="1"/>
  <c r="AR46" i="1"/>
  <c r="AQ46" i="1"/>
  <c r="AP46" i="1"/>
  <c r="AJ46" i="1"/>
  <c r="AI46" i="1"/>
  <c r="AH46" i="1"/>
  <c r="AC46" i="1"/>
  <c r="AB46" i="1"/>
  <c r="AA46" i="1"/>
  <c r="U46" i="1"/>
  <c r="T46" i="1"/>
  <c r="S46" i="1"/>
  <c r="R46" i="1"/>
  <c r="Q46" i="1"/>
  <c r="P46" i="1"/>
  <c r="BZ45" i="1"/>
  <c r="BY45" i="1"/>
  <c r="BX45" i="1"/>
  <c r="BU45" i="1"/>
  <c r="BT45" i="1"/>
  <c r="BS45" i="1"/>
  <c r="BO45" i="1"/>
  <c r="BN45" i="1"/>
  <c r="BM45" i="1"/>
  <c r="BJ45" i="1"/>
  <c r="BI45" i="1"/>
  <c r="BH45" i="1"/>
  <c r="BD45" i="1"/>
  <c r="BC45" i="1"/>
  <c r="BB45" i="1"/>
  <c r="Y45" i="1" s="1"/>
  <c r="AX45" i="1"/>
  <c r="AW45" i="1"/>
  <c r="AV45" i="1"/>
  <c r="AR45" i="1"/>
  <c r="AQ45" i="1"/>
  <c r="AP45" i="1"/>
  <c r="AJ45" i="1"/>
  <c r="AI45" i="1"/>
  <c r="AH45" i="1"/>
  <c r="AC45" i="1"/>
  <c r="AB45" i="1"/>
  <c r="AA45" i="1"/>
  <c r="U45" i="1"/>
  <c r="T45" i="1"/>
  <c r="S45" i="1"/>
  <c r="R45" i="1"/>
  <c r="Q45" i="1"/>
  <c r="P45" i="1"/>
  <c r="BZ44" i="1"/>
  <c r="BY44" i="1"/>
  <c r="BX44" i="1"/>
  <c r="BU44" i="1"/>
  <c r="BT44" i="1"/>
  <c r="BS44" i="1"/>
  <c r="BO44" i="1"/>
  <c r="BN44" i="1"/>
  <c r="BM44" i="1"/>
  <c r="BJ44" i="1"/>
  <c r="BI44" i="1"/>
  <c r="BH44" i="1"/>
  <c r="BD44" i="1"/>
  <c r="BC44" i="1"/>
  <c r="BB44" i="1"/>
  <c r="AX44" i="1"/>
  <c r="AW44" i="1"/>
  <c r="AV44" i="1"/>
  <c r="AR44" i="1"/>
  <c r="AQ44" i="1"/>
  <c r="AP44" i="1"/>
  <c r="AJ44" i="1"/>
  <c r="AI44" i="1"/>
  <c r="AH44" i="1"/>
  <c r="AC44" i="1"/>
  <c r="AB44" i="1"/>
  <c r="AA44" i="1"/>
  <c r="U44" i="1"/>
  <c r="T44" i="1"/>
  <c r="S44" i="1"/>
  <c r="R44" i="1"/>
  <c r="Q44" i="1"/>
  <c r="P44" i="1"/>
  <c r="BZ43" i="1"/>
  <c r="BY43" i="1"/>
  <c r="BX43" i="1"/>
  <c r="BU43" i="1"/>
  <c r="BT43" i="1"/>
  <c r="BS43" i="1"/>
  <c r="BO43" i="1"/>
  <c r="BN43" i="1"/>
  <c r="BM43" i="1"/>
  <c r="BJ43" i="1"/>
  <c r="BI43" i="1"/>
  <c r="BH43" i="1"/>
  <c r="BD43" i="1"/>
  <c r="BC43" i="1"/>
  <c r="BB43" i="1"/>
  <c r="AX43" i="1"/>
  <c r="AW43" i="1"/>
  <c r="AV43" i="1"/>
  <c r="AR43" i="1"/>
  <c r="AQ43" i="1"/>
  <c r="AP43" i="1"/>
  <c r="AJ43" i="1"/>
  <c r="AI43" i="1"/>
  <c r="AH43" i="1"/>
  <c r="AC43" i="1"/>
  <c r="AB43" i="1"/>
  <c r="AA43" i="1"/>
  <c r="U43" i="1"/>
  <c r="T43" i="1"/>
  <c r="S43" i="1"/>
  <c r="R43" i="1"/>
  <c r="Q43" i="1"/>
  <c r="P43" i="1"/>
  <c r="BZ42" i="1"/>
  <c r="BY42" i="1"/>
  <c r="BX42" i="1"/>
  <c r="BU42" i="1"/>
  <c r="BT42" i="1"/>
  <c r="BS42" i="1"/>
  <c r="BO42" i="1"/>
  <c r="BN42" i="1"/>
  <c r="BM42" i="1"/>
  <c r="BJ42" i="1"/>
  <c r="BI42" i="1"/>
  <c r="BH42" i="1"/>
  <c r="BD42" i="1"/>
  <c r="BC42" i="1"/>
  <c r="BB42" i="1"/>
  <c r="AX42" i="1"/>
  <c r="AW42" i="1"/>
  <c r="AV42" i="1"/>
  <c r="AR42" i="1"/>
  <c r="AQ42" i="1"/>
  <c r="AP42" i="1"/>
  <c r="Y42" i="1" s="1"/>
  <c r="AJ42" i="1"/>
  <c r="AI42" i="1"/>
  <c r="AH42" i="1"/>
  <c r="AC42" i="1"/>
  <c r="AB42" i="1"/>
  <c r="AA42" i="1"/>
  <c r="U42" i="1"/>
  <c r="T42" i="1"/>
  <c r="S42" i="1"/>
  <c r="R42" i="1"/>
  <c r="Q42" i="1"/>
  <c r="P42" i="1"/>
  <c r="BZ41" i="1"/>
  <c r="BY41" i="1"/>
  <c r="BX41" i="1"/>
  <c r="BU41" i="1"/>
  <c r="BT41" i="1"/>
  <c r="BS41" i="1"/>
  <c r="BO41" i="1"/>
  <c r="BN41" i="1"/>
  <c r="BM41" i="1"/>
  <c r="BJ41" i="1"/>
  <c r="BI41" i="1"/>
  <c r="BH41" i="1"/>
  <c r="BD41" i="1"/>
  <c r="BC41" i="1"/>
  <c r="BB41" i="1"/>
  <c r="AX41" i="1"/>
  <c r="AW41" i="1"/>
  <c r="AV41" i="1"/>
  <c r="AR41" i="1"/>
  <c r="AQ41" i="1"/>
  <c r="AP41" i="1"/>
  <c r="AJ41" i="1"/>
  <c r="AI41" i="1"/>
  <c r="AH41" i="1"/>
  <c r="AC41" i="1"/>
  <c r="AB41" i="1"/>
  <c r="AA41" i="1"/>
  <c r="U41" i="1"/>
  <c r="T41" i="1"/>
  <c r="S41" i="1"/>
  <c r="R41" i="1"/>
  <c r="Q41" i="1"/>
  <c r="P41" i="1"/>
  <c r="BZ40" i="1"/>
  <c r="BY40" i="1"/>
  <c r="BX40" i="1"/>
  <c r="BU40" i="1"/>
  <c r="BT40" i="1"/>
  <c r="BS40" i="1"/>
  <c r="BO40" i="1"/>
  <c r="BN40" i="1"/>
  <c r="BM40" i="1"/>
  <c r="BJ40" i="1"/>
  <c r="BI40" i="1"/>
  <c r="BH40" i="1"/>
  <c r="BD40" i="1"/>
  <c r="BC40" i="1"/>
  <c r="BB40" i="1"/>
  <c r="AX40" i="1"/>
  <c r="AW40" i="1"/>
  <c r="AV40" i="1"/>
  <c r="AR40" i="1"/>
  <c r="AQ40" i="1"/>
  <c r="AP40" i="1"/>
  <c r="AJ40" i="1"/>
  <c r="AI40" i="1"/>
  <c r="AH40" i="1"/>
  <c r="AC40" i="1"/>
  <c r="AB40" i="1"/>
  <c r="AA40" i="1"/>
  <c r="U40" i="1"/>
  <c r="T40" i="1"/>
  <c r="S40" i="1"/>
  <c r="R40" i="1"/>
  <c r="Q40" i="1"/>
  <c r="P40" i="1"/>
  <c r="BZ39" i="1"/>
  <c r="BY39" i="1"/>
  <c r="BX39" i="1"/>
  <c r="BU39" i="1"/>
  <c r="BT39" i="1"/>
  <c r="BS39" i="1"/>
  <c r="BO39" i="1"/>
  <c r="BN39" i="1"/>
  <c r="BM39" i="1"/>
  <c r="BJ39" i="1"/>
  <c r="BI39" i="1"/>
  <c r="BH39" i="1"/>
  <c r="BD39" i="1"/>
  <c r="BC39" i="1"/>
  <c r="BB39" i="1"/>
  <c r="AX39" i="1"/>
  <c r="AW39" i="1"/>
  <c r="AV39" i="1"/>
  <c r="AR39" i="1"/>
  <c r="AQ39" i="1"/>
  <c r="AP39" i="1"/>
  <c r="AJ39" i="1"/>
  <c r="AI39" i="1"/>
  <c r="AH39" i="1"/>
  <c r="AC39" i="1"/>
  <c r="AB39" i="1"/>
  <c r="AA39" i="1"/>
  <c r="U39" i="1"/>
  <c r="T39" i="1"/>
  <c r="S39" i="1"/>
  <c r="R39" i="1"/>
  <c r="Q39" i="1"/>
  <c r="P39" i="1"/>
  <c r="BZ38" i="1"/>
  <c r="BY38" i="1"/>
  <c r="BX38" i="1"/>
  <c r="BU38" i="1"/>
  <c r="BT38" i="1"/>
  <c r="BS38" i="1"/>
  <c r="BO38" i="1"/>
  <c r="BN38" i="1"/>
  <c r="BM38" i="1"/>
  <c r="BJ38" i="1"/>
  <c r="BI38" i="1"/>
  <c r="BH38" i="1"/>
  <c r="BD38" i="1"/>
  <c r="BC38" i="1"/>
  <c r="BB38" i="1"/>
  <c r="AX38" i="1"/>
  <c r="AW38" i="1"/>
  <c r="AV38" i="1"/>
  <c r="AR38" i="1"/>
  <c r="AQ38" i="1"/>
  <c r="AP38" i="1"/>
  <c r="AJ38" i="1"/>
  <c r="AI38" i="1"/>
  <c r="AH38" i="1"/>
  <c r="AC38" i="1"/>
  <c r="AB38" i="1"/>
  <c r="AA38" i="1"/>
  <c r="U38" i="1"/>
  <c r="T38" i="1"/>
  <c r="S38" i="1"/>
  <c r="R38" i="1"/>
  <c r="Q38" i="1"/>
  <c r="P38" i="1"/>
  <c r="BZ37" i="1"/>
  <c r="BY37" i="1"/>
  <c r="BX37" i="1"/>
  <c r="BU37" i="1"/>
  <c r="BT37" i="1"/>
  <c r="BS37" i="1"/>
  <c r="BO37" i="1"/>
  <c r="BN37" i="1"/>
  <c r="BM37" i="1"/>
  <c r="BJ37" i="1"/>
  <c r="BI37" i="1"/>
  <c r="BH37" i="1"/>
  <c r="BD37" i="1"/>
  <c r="BC37" i="1"/>
  <c r="BB37" i="1"/>
  <c r="AX37" i="1"/>
  <c r="AW37" i="1"/>
  <c r="AV37" i="1"/>
  <c r="AR37" i="1"/>
  <c r="AQ37" i="1"/>
  <c r="AP37" i="1"/>
  <c r="AJ37" i="1"/>
  <c r="AI37" i="1"/>
  <c r="AH37" i="1"/>
  <c r="AC37" i="1"/>
  <c r="AB37" i="1"/>
  <c r="AA37" i="1"/>
  <c r="U37" i="1"/>
  <c r="T37" i="1"/>
  <c r="S37" i="1"/>
  <c r="R37" i="1"/>
  <c r="Q37" i="1"/>
  <c r="P37" i="1"/>
  <c r="BZ36" i="1"/>
  <c r="BY36" i="1"/>
  <c r="BX36" i="1"/>
  <c r="BU36" i="1"/>
  <c r="BT36" i="1"/>
  <c r="BS36" i="1"/>
  <c r="BO36" i="1"/>
  <c r="BN36" i="1"/>
  <c r="BM36" i="1"/>
  <c r="BJ36" i="1"/>
  <c r="BI36" i="1"/>
  <c r="BH36" i="1"/>
  <c r="BD36" i="1"/>
  <c r="BC36" i="1"/>
  <c r="BB36" i="1"/>
  <c r="AX36" i="1"/>
  <c r="AW36" i="1"/>
  <c r="AV36" i="1"/>
  <c r="AR36" i="1"/>
  <c r="AQ36" i="1"/>
  <c r="AP36" i="1"/>
  <c r="AJ36" i="1"/>
  <c r="AI36" i="1"/>
  <c r="AH36" i="1"/>
  <c r="AC36" i="1"/>
  <c r="AB36" i="1"/>
  <c r="AA36" i="1"/>
  <c r="U36" i="1"/>
  <c r="T36" i="1"/>
  <c r="S36" i="1"/>
  <c r="R36" i="1"/>
  <c r="Q36" i="1"/>
  <c r="P36" i="1"/>
  <c r="BZ35" i="1"/>
  <c r="BY35" i="1"/>
  <c r="BX35" i="1"/>
  <c r="BU35" i="1"/>
  <c r="BT35" i="1"/>
  <c r="BS35" i="1"/>
  <c r="BO35" i="1"/>
  <c r="BN35" i="1"/>
  <c r="BM35" i="1"/>
  <c r="BJ35" i="1"/>
  <c r="BI35" i="1"/>
  <c r="BH35" i="1"/>
  <c r="BD35" i="1"/>
  <c r="BC35" i="1"/>
  <c r="BB35" i="1"/>
  <c r="AX35" i="1"/>
  <c r="AW35" i="1"/>
  <c r="AV35" i="1"/>
  <c r="AR35" i="1"/>
  <c r="AQ35" i="1"/>
  <c r="AP35" i="1"/>
  <c r="AJ35" i="1"/>
  <c r="AI35" i="1"/>
  <c r="AH35" i="1"/>
  <c r="AC35" i="1"/>
  <c r="AB35" i="1"/>
  <c r="AA35" i="1"/>
  <c r="U35" i="1"/>
  <c r="T35" i="1"/>
  <c r="S35" i="1"/>
  <c r="R35" i="1"/>
  <c r="Q35" i="1"/>
  <c r="P35" i="1"/>
  <c r="BZ34" i="1"/>
  <c r="BY34" i="1"/>
  <c r="BX34" i="1"/>
  <c r="BU34" i="1"/>
  <c r="BT34" i="1"/>
  <c r="BS34" i="1"/>
  <c r="BO34" i="1"/>
  <c r="BN34" i="1"/>
  <c r="BM34" i="1"/>
  <c r="BJ34" i="1"/>
  <c r="BI34" i="1"/>
  <c r="BH34" i="1"/>
  <c r="BD34" i="1"/>
  <c r="BC34" i="1"/>
  <c r="BB34" i="1"/>
  <c r="AX34" i="1"/>
  <c r="AW34" i="1"/>
  <c r="AV34" i="1"/>
  <c r="AR34" i="1"/>
  <c r="AQ34" i="1"/>
  <c r="AP34" i="1"/>
  <c r="AJ34" i="1"/>
  <c r="AI34" i="1"/>
  <c r="AH34" i="1"/>
  <c r="AC34" i="1"/>
  <c r="AB34" i="1"/>
  <c r="AA34" i="1"/>
  <c r="U34" i="1"/>
  <c r="T34" i="1"/>
  <c r="S34" i="1"/>
  <c r="R34" i="1"/>
  <c r="Q34" i="1"/>
  <c r="P34" i="1"/>
  <c r="BZ33" i="1"/>
  <c r="BY33" i="1"/>
  <c r="BX33" i="1"/>
  <c r="BU33" i="1"/>
  <c r="BT33" i="1"/>
  <c r="BS33" i="1"/>
  <c r="BO33" i="1"/>
  <c r="BN33" i="1"/>
  <c r="BM33" i="1"/>
  <c r="BJ33" i="1"/>
  <c r="BI33" i="1"/>
  <c r="BH33" i="1"/>
  <c r="BD33" i="1"/>
  <c r="BC33" i="1"/>
  <c r="BB33" i="1"/>
  <c r="AX33" i="1"/>
  <c r="AW33" i="1"/>
  <c r="AV33" i="1"/>
  <c r="AR33" i="1"/>
  <c r="AQ33" i="1"/>
  <c r="AP33" i="1"/>
  <c r="AJ33" i="1"/>
  <c r="AI33" i="1"/>
  <c r="AH33" i="1"/>
  <c r="AC33" i="1"/>
  <c r="AB33" i="1"/>
  <c r="AA33" i="1"/>
  <c r="U33" i="1"/>
  <c r="T33" i="1"/>
  <c r="S33" i="1"/>
  <c r="R33" i="1"/>
  <c r="Q33" i="1"/>
  <c r="P33" i="1"/>
  <c r="BZ32" i="1"/>
  <c r="BY32" i="1"/>
  <c r="BX32" i="1"/>
  <c r="BU32" i="1"/>
  <c r="BT32" i="1"/>
  <c r="BS32" i="1"/>
  <c r="BO32" i="1"/>
  <c r="BN32" i="1"/>
  <c r="BM32" i="1"/>
  <c r="BJ32" i="1"/>
  <c r="BI32" i="1"/>
  <c r="BH32" i="1"/>
  <c r="BD32" i="1"/>
  <c r="BC32" i="1"/>
  <c r="BB32" i="1"/>
  <c r="Y32" i="1" s="1"/>
  <c r="AX32" i="1"/>
  <c r="AW32" i="1"/>
  <c r="AV32" i="1"/>
  <c r="AR32" i="1"/>
  <c r="AQ32" i="1"/>
  <c r="AP32" i="1"/>
  <c r="AJ32" i="1"/>
  <c r="AI32" i="1"/>
  <c r="AH32" i="1"/>
  <c r="AC32" i="1"/>
  <c r="AB32" i="1"/>
  <c r="AA32" i="1"/>
  <c r="U32" i="1"/>
  <c r="T32" i="1"/>
  <c r="S32" i="1"/>
  <c r="R32" i="1"/>
  <c r="Q32" i="1"/>
  <c r="P32" i="1"/>
  <c r="BZ31" i="1"/>
  <c r="BY31" i="1"/>
  <c r="BX31" i="1"/>
  <c r="BU31" i="1"/>
  <c r="BT31" i="1"/>
  <c r="BS31" i="1"/>
  <c r="BO31" i="1"/>
  <c r="BN31" i="1"/>
  <c r="BM31" i="1"/>
  <c r="BJ31" i="1"/>
  <c r="BI31" i="1"/>
  <c r="BH31" i="1"/>
  <c r="BD31" i="1"/>
  <c r="BC31" i="1"/>
  <c r="BB31" i="1"/>
  <c r="AX31" i="1"/>
  <c r="AW31" i="1"/>
  <c r="AV31" i="1"/>
  <c r="AR31" i="1"/>
  <c r="AQ31" i="1"/>
  <c r="AP31" i="1"/>
  <c r="AJ31" i="1"/>
  <c r="AI31" i="1"/>
  <c r="AH31" i="1"/>
  <c r="AC31" i="1"/>
  <c r="AB31" i="1"/>
  <c r="AA31" i="1"/>
  <c r="U31" i="1"/>
  <c r="T31" i="1"/>
  <c r="S31" i="1"/>
  <c r="R31" i="1"/>
  <c r="Q31" i="1"/>
  <c r="P31" i="1"/>
  <c r="BZ30" i="1"/>
  <c r="BY30" i="1"/>
  <c r="BX30" i="1"/>
  <c r="BU30" i="1"/>
  <c r="BT30" i="1"/>
  <c r="BS30" i="1"/>
  <c r="BO30" i="1"/>
  <c r="BN30" i="1"/>
  <c r="BM30" i="1"/>
  <c r="BJ30" i="1"/>
  <c r="BI30" i="1"/>
  <c r="BH30" i="1"/>
  <c r="BD30" i="1"/>
  <c r="BC30" i="1"/>
  <c r="BB30" i="1"/>
  <c r="AX30" i="1"/>
  <c r="AW30" i="1"/>
  <c r="AV30" i="1"/>
  <c r="AR30" i="1"/>
  <c r="AQ30" i="1"/>
  <c r="AP30" i="1"/>
  <c r="Y30" i="1" s="1"/>
  <c r="AJ30" i="1"/>
  <c r="AI30" i="1"/>
  <c r="AH30" i="1"/>
  <c r="AC30" i="1"/>
  <c r="AB30" i="1"/>
  <c r="AA30" i="1"/>
  <c r="U30" i="1"/>
  <c r="T30" i="1"/>
  <c r="S30" i="1"/>
  <c r="R30" i="1"/>
  <c r="Q30" i="1"/>
  <c r="P30" i="1"/>
  <c r="BZ29" i="1"/>
  <c r="BY29" i="1"/>
  <c r="BX29" i="1"/>
  <c r="BU29" i="1"/>
  <c r="BT29" i="1"/>
  <c r="BS29" i="1"/>
  <c r="BO29" i="1"/>
  <c r="BN29" i="1"/>
  <c r="BM29" i="1"/>
  <c r="BJ29" i="1"/>
  <c r="BI29" i="1"/>
  <c r="BH29" i="1"/>
  <c r="BD29" i="1"/>
  <c r="BC29" i="1"/>
  <c r="BB29" i="1"/>
  <c r="AX29" i="1"/>
  <c r="AW29" i="1"/>
  <c r="AV29" i="1"/>
  <c r="AR29" i="1"/>
  <c r="AQ29" i="1"/>
  <c r="AP29" i="1"/>
  <c r="AJ29" i="1"/>
  <c r="AI29" i="1"/>
  <c r="AH29" i="1"/>
  <c r="AC29" i="1"/>
  <c r="AB29" i="1"/>
  <c r="AA29" i="1"/>
  <c r="U29" i="1"/>
  <c r="T29" i="1"/>
  <c r="S29" i="1"/>
  <c r="R29" i="1"/>
  <c r="Q29" i="1"/>
  <c r="P29" i="1"/>
  <c r="BZ28" i="1"/>
  <c r="BY28" i="1"/>
  <c r="BX28" i="1"/>
  <c r="BU28" i="1"/>
  <c r="BT28" i="1"/>
  <c r="BS28" i="1"/>
  <c r="BO28" i="1"/>
  <c r="BN28" i="1"/>
  <c r="BM28" i="1"/>
  <c r="BJ28" i="1"/>
  <c r="BI28" i="1"/>
  <c r="BH28" i="1"/>
  <c r="BD28" i="1"/>
  <c r="BC28" i="1"/>
  <c r="BB28" i="1"/>
  <c r="AX28" i="1"/>
  <c r="AW28" i="1"/>
  <c r="AV28" i="1"/>
  <c r="AR28" i="1"/>
  <c r="AQ28" i="1"/>
  <c r="AP28" i="1"/>
  <c r="AJ28" i="1"/>
  <c r="AI28" i="1"/>
  <c r="AH28" i="1"/>
  <c r="AC28" i="1"/>
  <c r="AB28" i="1"/>
  <c r="AA28" i="1"/>
  <c r="U28" i="1"/>
  <c r="T28" i="1"/>
  <c r="S28" i="1"/>
  <c r="R28" i="1"/>
  <c r="Q28" i="1"/>
  <c r="P28" i="1"/>
  <c r="BZ27" i="1"/>
  <c r="BY27" i="1"/>
  <c r="BX27" i="1"/>
  <c r="BU27" i="1"/>
  <c r="BT27" i="1"/>
  <c r="BS27" i="1"/>
  <c r="BO27" i="1"/>
  <c r="BN27" i="1"/>
  <c r="BM27" i="1"/>
  <c r="BJ27" i="1"/>
  <c r="BI27" i="1"/>
  <c r="BH27" i="1"/>
  <c r="BD27" i="1"/>
  <c r="BC27" i="1"/>
  <c r="BB27" i="1"/>
  <c r="AX27" i="1"/>
  <c r="AW27" i="1"/>
  <c r="AV27" i="1"/>
  <c r="AR27" i="1"/>
  <c r="AQ27" i="1"/>
  <c r="AP27" i="1"/>
  <c r="AJ27" i="1"/>
  <c r="AI27" i="1"/>
  <c r="AH27" i="1"/>
  <c r="AC27" i="1"/>
  <c r="AB27" i="1"/>
  <c r="AA27" i="1"/>
  <c r="U27" i="1"/>
  <c r="T27" i="1"/>
  <c r="S27" i="1"/>
  <c r="R27" i="1"/>
  <c r="Q27" i="1"/>
  <c r="P27" i="1"/>
  <c r="BZ26" i="1"/>
  <c r="BY26" i="1"/>
  <c r="BX26" i="1"/>
  <c r="BU26" i="1"/>
  <c r="BT26" i="1"/>
  <c r="BS26" i="1"/>
  <c r="BO26" i="1"/>
  <c r="BN26" i="1"/>
  <c r="BM26" i="1"/>
  <c r="BJ26" i="1"/>
  <c r="BI26" i="1"/>
  <c r="BH26" i="1"/>
  <c r="BD26" i="1"/>
  <c r="BC26" i="1"/>
  <c r="BB26" i="1"/>
  <c r="AX26" i="1"/>
  <c r="AW26" i="1"/>
  <c r="AV26" i="1"/>
  <c r="AR26" i="1"/>
  <c r="AQ26" i="1"/>
  <c r="AP26" i="1"/>
  <c r="AJ26" i="1"/>
  <c r="AI26" i="1"/>
  <c r="AH26" i="1"/>
  <c r="AC26" i="1"/>
  <c r="AB26" i="1"/>
  <c r="AA26" i="1"/>
  <c r="U26" i="1"/>
  <c r="T26" i="1"/>
  <c r="S26" i="1"/>
  <c r="R26" i="1"/>
  <c r="Q26" i="1"/>
  <c r="P26" i="1"/>
  <c r="BZ25" i="1"/>
  <c r="BY25" i="1"/>
  <c r="BX25" i="1"/>
  <c r="BU25" i="1"/>
  <c r="BT25" i="1"/>
  <c r="BS25" i="1"/>
  <c r="BO25" i="1"/>
  <c r="BN25" i="1"/>
  <c r="BM25" i="1"/>
  <c r="BJ25" i="1"/>
  <c r="BI25" i="1"/>
  <c r="BH25" i="1"/>
  <c r="BD25" i="1"/>
  <c r="BC25" i="1"/>
  <c r="BB25" i="1"/>
  <c r="AX25" i="1"/>
  <c r="AW25" i="1"/>
  <c r="AV25" i="1"/>
  <c r="AR25" i="1"/>
  <c r="AQ25" i="1"/>
  <c r="AP25" i="1"/>
  <c r="AJ25" i="1"/>
  <c r="AI25" i="1"/>
  <c r="AH25" i="1"/>
  <c r="AC25" i="1"/>
  <c r="AB25" i="1"/>
  <c r="AA25" i="1"/>
  <c r="U25" i="1"/>
  <c r="T25" i="1"/>
  <c r="S25" i="1"/>
  <c r="R25" i="1"/>
  <c r="Q25" i="1"/>
  <c r="P25" i="1"/>
  <c r="BZ24" i="1"/>
  <c r="BY24" i="1"/>
  <c r="BX24" i="1"/>
  <c r="BU24" i="1"/>
  <c r="BT24" i="1"/>
  <c r="BS24" i="1"/>
  <c r="BO24" i="1"/>
  <c r="BN24" i="1"/>
  <c r="BM24" i="1"/>
  <c r="BJ24" i="1"/>
  <c r="BI24" i="1"/>
  <c r="BH24" i="1"/>
  <c r="BD24" i="1"/>
  <c r="BC24" i="1"/>
  <c r="BB24" i="1"/>
  <c r="AX24" i="1"/>
  <c r="AW24" i="1"/>
  <c r="AV24" i="1"/>
  <c r="AR24" i="1"/>
  <c r="AQ24" i="1"/>
  <c r="AP24" i="1"/>
  <c r="AJ24" i="1"/>
  <c r="AI24" i="1"/>
  <c r="AH24" i="1"/>
  <c r="AC24" i="1"/>
  <c r="AB24" i="1"/>
  <c r="AA24" i="1"/>
  <c r="U24" i="1"/>
  <c r="T24" i="1"/>
  <c r="S24" i="1"/>
  <c r="R24" i="1"/>
  <c r="Q24" i="1"/>
  <c r="P24" i="1"/>
  <c r="BZ23" i="1"/>
  <c r="BY23" i="1"/>
  <c r="BX23" i="1"/>
  <c r="BU23" i="1"/>
  <c r="BT23" i="1"/>
  <c r="BS23" i="1"/>
  <c r="BO23" i="1"/>
  <c r="BN23" i="1"/>
  <c r="BM23" i="1"/>
  <c r="BJ23" i="1"/>
  <c r="BI23" i="1"/>
  <c r="BH23" i="1"/>
  <c r="BD23" i="1"/>
  <c r="BC23" i="1"/>
  <c r="BB23" i="1"/>
  <c r="AX23" i="1"/>
  <c r="AW23" i="1"/>
  <c r="AV23" i="1"/>
  <c r="AR23" i="1"/>
  <c r="AQ23" i="1"/>
  <c r="AP23" i="1"/>
  <c r="AJ23" i="1"/>
  <c r="AI23" i="1"/>
  <c r="AH23" i="1"/>
  <c r="AC23" i="1"/>
  <c r="AB23" i="1"/>
  <c r="AA23" i="1"/>
  <c r="U23" i="1"/>
  <c r="T23" i="1"/>
  <c r="S23" i="1"/>
  <c r="R23" i="1"/>
  <c r="Q23" i="1"/>
  <c r="P23" i="1"/>
  <c r="BZ22" i="1"/>
  <c r="BY22" i="1"/>
  <c r="BX22" i="1"/>
  <c r="BU22" i="1"/>
  <c r="BT22" i="1"/>
  <c r="BS22" i="1"/>
  <c r="BO22" i="1"/>
  <c r="BN22" i="1"/>
  <c r="BM22" i="1"/>
  <c r="BJ22" i="1"/>
  <c r="BI22" i="1"/>
  <c r="BH22" i="1"/>
  <c r="BD22" i="1"/>
  <c r="BC22" i="1"/>
  <c r="BB22" i="1"/>
  <c r="AX22" i="1"/>
  <c r="AW22" i="1"/>
  <c r="AV22" i="1"/>
  <c r="AR22" i="1"/>
  <c r="AQ22" i="1"/>
  <c r="AP22" i="1"/>
  <c r="AJ22" i="1"/>
  <c r="AI22" i="1"/>
  <c r="AH22" i="1"/>
  <c r="AC22" i="1"/>
  <c r="AB22" i="1"/>
  <c r="AA22" i="1"/>
  <c r="U22" i="1"/>
  <c r="T22" i="1"/>
  <c r="S22" i="1"/>
  <c r="R22" i="1"/>
  <c r="Q22" i="1"/>
  <c r="P22" i="1"/>
  <c r="BZ21" i="1"/>
  <c r="BY21" i="1"/>
  <c r="BX21" i="1"/>
  <c r="BU21" i="1"/>
  <c r="BT21" i="1"/>
  <c r="BS21" i="1"/>
  <c r="BO21" i="1"/>
  <c r="BN21" i="1"/>
  <c r="BM21" i="1"/>
  <c r="BJ21" i="1"/>
  <c r="BI21" i="1"/>
  <c r="BH21" i="1"/>
  <c r="BD21" i="1"/>
  <c r="BC21" i="1"/>
  <c r="BB21" i="1"/>
  <c r="AX21" i="1"/>
  <c r="AW21" i="1"/>
  <c r="AV21" i="1"/>
  <c r="AR21" i="1"/>
  <c r="AQ21" i="1"/>
  <c r="AP21" i="1"/>
  <c r="AJ21" i="1"/>
  <c r="AI21" i="1"/>
  <c r="AH21" i="1"/>
  <c r="AC21" i="1"/>
  <c r="AB21" i="1"/>
  <c r="AA21" i="1"/>
  <c r="U21" i="1"/>
  <c r="T21" i="1"/>
  <c r="S21" i="1"/>
  <c r="R21" i="1"/>
  <c r="Q21" i="1"/>
  <c r="P21" i="1"/>
  <c r="BZ20" i="1"/>
  <c r="BY20" i="1"/>
  <c r="BX20" i="1"/>
  <c r="BU20" i="1"/>
  <c r="BT20" i="1"/>
  <c r="BS20" i="1"/>
  <c r="BO20" i="1"/>
  <c r="BN20" i="1"/>
  <c r="BM20" i="1"/>
  <c r="BJ20" i="1"/>
  <c r="BI20" i="1"/>
  <c r="BH20" i="1"/>
  <c r="BD20" i="1"/>
  <c r="BC20" i="1"/>
  <c r="BB20" i="1"/>
  <c r="AX20" i="1"/>
  <c r="AW20" i="1"/>
  <c r="AV20" i="1"/>
  <c r="AR20" i="1"/>
  <c r="AQ20" i="1"/>
  <c r="AP20" i="1"/>
  <c r="AJ20" i="1"/>
  <c r="AI20" i="1"/>
  <c r="AH20" i="1"/>
  <c r="AC20" i="1"/>
  <c r="AB20" i="1"/>
  <c r="AA20" i="1"/>
  <c r="U20" i="1"/>
  <c r="T20" i="1"/>
  <c r="S20" i="1"/>
  <c r="R20" i="1"/>
  <c r="Q20" i="1"/>
  <c r="P20" i="1"/>
  <c r="BZ19" i="1"/>
  <c r="BY19" i="1"/>
  <c r="BX19" i="1"/>
  <c r="BU19" i="1"/>
  <c r="BT19" i="1"/>
  <c r="BS19" i="1"/>
  <c r="BO19" i="1"/>
  <c r="BN19" i="1"/>
  <c r="BM19" i="1"/>
  <c r="BJ19" i="1"/>
  <c r="BI19" i="1"/>
  <c r="BH19" i="1"/>
  <c r="BD19" i="1"/>
  <c r="BC19" i="1"/>
  <c r="BB19" i="1"/>
  <c r="AX19" i="1"/>
  <c r="AW19" i="1"/>
  <c r="AV19" i="1"/>
  <c r="AR19" i="1"/>
  <c r="AQ19" i="1"/>
  <c r="AP19" i="1"/>
  <c r="AJ19" i="1"/>
  <c r="AI19" i="1"/>
  <c r="AH19" i="1"/>
  <c r="AC19" i="1"/>
  <c r="AB19" i="1"/>
  <c r="AA19" i="1"/>
  <c r="U19" i="1"/>
  <c r="T19" i="1"/>
  <c r="S19" i="1"/>
  <c r="R19" i="1"/>
  <c r="Q19" i="1"/>
  <c r="P19" i="1"/>
  <c r="BZ18" i="1"/>
  <c r="BY18" i="1"/>
  <c r="BX18" i="1"/>
  <c r="BU18" i="1"/>
  <c r="BT18" i="1"/>
  <c r="BS18" i="1"/>
  <c r="BO18" i="1"/>
  <c r="BN18" i="1"/>
  <c r="BM18" i="1"/>
  <c r="BJ18" i="1"/>
  <c r="BI18" i="1"/>
  <c r="BH18" i="1"/>
  <c r="BD18" i="1"/>
  <c r="BC18" i="1"/>
  <c r="BB18" i="1"/>
  <c r="AX18" i="1"/>
  <c r="AW18" i="1"/>
  <c r="AV18" i="1"/>
  <c r="AR18" i="1"/>
  <c r="AQ18" i="1"/>
  <c r="AP18" i="1"/>
  <c r="AJ18" i="1"/>
  <c r="AI18" i="1"/>
  <c r="AH18" i="1"/>
  <c r="AC18" i="1"/>
  <c r="AB18" i="1"/>
  <c r="AA18" i="1"/>
  <c r="U18" i="1"/>
  <c r="T18" i="1"/>
  <c r="S18" i="1"/>
  <c r="R18" i="1"/>
  <c r="Q18" i="1"/>
  <c r="P18" i="1"/>
  <c r="BZ17" i="1"/>
  <c r="BY17" i="1"/>
  <c r="BX17" i="1"/>
  <c r="BU17" i="1"/>
  <c r="BT17" i="1"/>
  <c r="BS17" i="1"/>
  <c r="BO17" i="1"/>
  <c r="BN17" i="1"/>
  <c r="BM17" i="1"/>
  <c r="BJ17" i="1"/>
  <c r="BI17" i="1"/>
  <c r="BH17" i="1"/>
  <c r="BD17" i="1"/>
  <c r="BC17" i="1"/>
  <c r="BB17" i="1"/>
  <c r="AX17" i="1"/>
  <c r="AW17" i="1"/>
  <c r="AV17" i="1"/>
  <c r="AR17" i="1"/>
  <c r="AQ17" i="1"/>
  <c r="AP17" i="1"/>
  <c r="AJ17" i="1"/>
  <c r="AI17" i="1"/>
  <c r="AH17" i="1"/>
  <c r="AC17" i="1"/>
  <c r="AB17" i="1"/>
  <c r="AA17" i="1"/>
  <c r="U17" i="1"/>
  <c r="T17" i="1"/>
  <c r="S17" i="1"/>
  <c r="R17" i="1"/>
  <c r="Q17" i="1"/>
  <c r="P17" i="1"/>
  <c r="BZ16" i="1"/>
  <c r="BY16" i="1"/>
  <c r="BX16" i="1"/>
  <c r="BU16" i="1"/>
  <c r="BT16" i="1"/>
  <c r="BS16" i="1"/>
  <c r="BO16" i="1"/>
  <c r="BN16" i="1"/>
  <c r="BM16" i="1"/>
  <c r="BJ16" i="1"/>
  <c r="BI16" i="1"/>
  <c r="BH16" i="1"/>
  <c r="BD16" i="1"/>
  <c r="BC16" i="1"/>
  <c r="BB16" i="1"/>
  <c r="AX16" i="1"/>
  <c r="AW16" i="1"/>
  <c r="AV16" i="1"/>
  <c r="AR16" i="1"/>
  <c r="AQ16" i="1"/>
  <c r="AP16" i="1"/>
  <c r="AJ16" i="1"/>
  <c r="AI16" i="1"/>
  <c r="AH16" i="1"/>
  <c r="AC16" i="1"/>
  <c r="AB16" i="1"/>
  <c r="AA16" i="1"/>
  <c r="U16" i="1"/>
  <c r="T16" i="1"/>
  <c r="S16" i="1"/>
  <c r="R16" i="1"/>
  <c r="Q16" i="1"/>
  <c r="P16" i="1"/>
  <c r="BZ15" i="1"/>
  <c r="BY15" i="1"/>
  <c r="BX15" i="1"/>
  <c r="BU15" i="1"/>
  <c r="BT15" i="1"/>
  <c r="BS15" i="1"/>
  <c r="BO15" i="1"/>
  <c r="BN15" i="1"/>
  <c r="BM15" i="1"/>
  <c r="BJ15" i="1"/>
  <c r="BI15" i="1"/>
  <c r="BH15" i="1"/>
  <c r="BD15" i="1"/>
  <c r="BC15" i="1"/>
  <c r="BB15" i="1"/>
  <c r="AX15" i="1"/>
  <c r="AW15" i="1"/>
  <c r="AV15" i="1"/>
  <c r="AR15" i="1"/>
  <c r="AQ15" i="1"/>
  <c r="AP15" i="1"/>
  <c r="AJ15" i="1"/>
  <c r="AI15" i="1"/>
  <c r="AH15" i="1"/>
  <c r="AC15" i="1"/>
  <c r="AB15" i="1"/>
  <c r="AA15" i="1"/>
  <c r="U15" i="1"/>
  <c r="T15" i="1"/>
  <c r="S15" i="1"/>
  <c r="R15" i="1"/>
  <c r="Q15" i="1"/>
  <c r="P15" i="1"/>
  <c r="BZ14" i="1"/>
  <c r="BY14" i="1"/>
  <c r="BX14" i="1"/>
  <c r="BU14" i="1"/>
  <c r="BT14" i="1"/>
  <c r="BS14" i="1"/>
  <c r="BO14" i="1"/>
  <c r="BN14" i="1"/>
  <c r="BM14" i="1"/>
  <c r="BJ14" i="1"/>
  <c r="BI14" i="1"/>
  <c r="BH14" i="1"/>
  <c r="BD14" i="1"/>
  <c r="BC14" i="1"/>
  <c r="BB14" i="1"/>
  <c r="AX14" i="1"/>
  <c r="AW14" i="1"/>
  <c r="AV14" i="1"/>
  <c r="AR14" i="1"/>
  <c r="AQ14" i="1"/>
  <c r="AP14" i="1"/>
  <c r="AJ14" i="1"/>
  <c r="AI14" i="1"/>
  <c r="AH14" i="1"/>
  <c r="AC14" i="1"/>
  <c r="AB14" i="1"/>
  <c r="AA14" i="1"/>
  <c r="U14" i="1"/>
  <c r="T14" i="1"/>
  <c r="S14" i="1"/>
  <c r="R14" i="1"/>
  <c r="Q14" i="1"/>
  <c r="P14" i="1"/>
  <c r="BZ13" i="1"/>
  <c r="BY13" i="1"/>
  <c r="BX13" i="1"/>
  <c r="BU13" i="1"/>
  <c r="BT13" i="1"/>
  <c r="BS13" i="1"/>
  <c r="BO13" i="1"/>
  <c r="BN13" i="1"/>
  <c r="BM13" i="1"/>
  <c r="BJ13" i="1"/>
  <c r="BI13" i="1"/>
  <c r="BH13" i="1"/>
  <c r="BD13" i="1"/>
  <c r="BC13" i="1"/>
  <c r="BB13" i="1"/>
  <c r="AX13" i="1"/>
  <c r="AW13" i="1"/>
  <c r="AV13" i="1"/>
  <c r="AR13" i="1"/>
  <c r="AQ13" i="1"/>
  <c r="AP13" i="1"/>
  <c r="AJ13" i="1"/>
  <c r="AI13" i="1"/>
  <c r="AH13" i="1"/>
  <c r="AC13" i="1"/>
  <c r="AB13" i="1"/>
  <c r="AA13" i="1"/>
  <c r="U13" i="1"/>
  <c r="T13" i="1"/>
  <c r="S13" i="1"/>
  <c r="R13" i="1"/>
  <c r="Q13" i="1"/>
  <c r="P13" i="1"/>
  <c r="BZ12" i="1"/>
  <c r="BY12" i="1"/>
  <c r="BX12" i="1"/>
  <c r="BU12" i="1"/>
  <c r="BT12" i="1"/>
  <c r="BS12" i="1"/>
  <c r="BO12" i="1"/>
  <c r="BN12" i="1"/>
  <c r="BM12" i="1"/>
  <c r="BJ12" i="1"/>
  <c r="BI12" i="1"/>
  <c r="BH12" i="1"/>
  <c r="BD12" i="1"/>
  <c r="BC12" i="1"/>
  <c r="BB12" i="1"/>
  <c r="AX12" i="1"/>
  <c r="AW12" i="1"/>
  <c r="AV12" i="1"/>
  <c r="AR12" i="1"/>
  <c r="AQ12" i="1"/>
  <c r="AP12" i="1"/>
  <c r="AJ12" i="1"/>
  <c r="AI12" i="1"/>
  <c r="AH12" i="1"/>
  <c r="AC12" i="1"/>
  <c r="AB12" i="1"/>
  <c r="AA12" i="1"/>
  <c r="U12" i="1"/>
  <c r="T12" i="1"/>
  <c r="S12" i="1"/>
  <c r="R12" i="1"/>
  <c r="Q12" i="1"/>
  <c r="P12" i="1"/>
  <c r="BZ11" i="1"/>
  <c r="BY11" i="1"/>
  <c r="BX11" i="1"/>
  <c r="BU11" i="1"/>
  <c r="BT11" i="1"/>
  <c r="BS11" i="1"/>
  <c r="BO11" i="1"/>
  <c r="BN11" i="1"/>
  <c r="BM11" i="1"/>
  <c r="BJ11" i="1"/>
  <c r="BI11" i="1"/>
  <c r="BH11" i="1"/>
  <c r="BD11" i="1"/>
  <c r="BC11" i="1"/>
  <c r="BB11" i="1"/>
  <c r="AX11" i="1"/>
  <c r="AW11" i="1"/>
  <c r="AV11" i="1"/>
  <c r="AR11" i="1"/>
  <c r="AQ11" i="1"/>
  <c r="AP11" i="1"/>
  <c r="AJ11" i="1"/>
  <c r="AI11" i="1"/>
  <c r="AH11" i="1"/>
  <c r="AC11" i="1"/>
  <c r="AB11" i="1"/>
  <c r="AA11" i="1"/>
  <c r="U11" i="1"/>
  <c r="T11" i="1"/>
  <c r="S11" i="1"/>
  <c r="R11" i="1"/>
  <c r="Q11" i="1"/>
  <c r="P11" i="1"/>
  <c r="BZ10" i="1"/>
  <c r="BY10" i="1"/>
  <c r="BX10" i="1"/>
  <c r="BU10" i="1"/>
  <c r="BT10" i="1"/>
  <c r="BS10" i="1"/>
  <c r="BO10" i="1"/>
  <c r="BN10" i="1"/>
  <c r="BM10" i="1"/>
  <c r="BJ10" i="1"/>
  <c r="BI10" i="1"/>
  <c r="BH10" i="1"/>
  <c r="BD10" i="1"/>
  <c r="BC10" i="1"/>
  <c r="BB10" i="1"/>
  <c r="AX10" i="1"/>
  <c r="AW10" i="1"/>
  <c r="AV10" i="1"/>
  <c r="AR10" i="1"/>
  <c r="AQ10" i="1"/>
  <c r="AP10" i="1"/>
  <c r="AJ10" i="1"/>
  <c r="AI10" i="1"/>
  <c r="AH10" i="1"/>
  <c r="AC10" i="1"/>
  <c r="AB10" i="1"/>
  <c r="AA10" i="1"/>
  <c r="U10" i="1"/>
  <c r="T10" i="1"/>
  <c r="S10" i="1"/>
  <c r="R10" i="1"/>
  <c r="Q10" i="1"/>
  <c r="P10" i="1"/>
  <c r="BZ9" i="1"/>
  <c r="BY9" i="1"/>
  <c r="BX9" i="1"/>
  <c r="BU9" i="1"/>
  <c r="BT9" i="1"/>
  <c r="BS9" i="1"/>
  <c r="BO9" i="1"/>
  <c r="BN9" i="1"/>
  <c r="BM9" i="1"/>
  <c r="BJ9" i="1"/>
  <c r="BI9" i="1"/>
  <c r="BH9" i="1"/>
  <c r="BD9" i="1"/>
  <c r="BC9" i="1"/>
  <c r="BB9" i="1"/>
  <c r="AX9" i="1"/>
  <c r="AW9" i="1"/>
  <c r="AV9" i="1"/>
  <c r="AR9" i="1"/>
  <c r="AQ9" i="1"/>
  <c r="AP9" i="1"/>
  <c r="AJ9" i="1"/>
  <c r="AI9" i="1"/>
  <c r="AH9" i="1"/>
  <c r="AC9" i="1"/>
  <c r="AB9" i="1"/>
  <c r="AA9" i="1"/>
  <c r="U9" i="1"/>
  <c r="T9" i="1"/>
  <c r="S9" i="1"/>
  <c r="R9" i="1"/>
  <c r="Q9" i="1"/>
  <c r="P9" i="1"/>
  <c r="BZ8" i="1"/>
  <c r="BY8" i="1"/>
  <c r="BX8" i="1"/>
  <c r="BU8" i="1"/>
  <c r="BT8" i="1"/>
  <c r="BS8" i="1"/>
  <c r="BO8" i="1"/>
  <c r="BN8" i="1"/>
  <c r="BM8" i="1"/>
  <c r="BJ8" i="1"/>
  <c r="BI8" i="1"/>
  <c r="BH8" i="1"/>
  <c r="BD8" i="1"/>
  <c r="BC8" i="1"/>
  <c r="BB8" i="1"/>
  <c r="AX8" i="1"/>
  <c r="AW8" i="1"/>
  <c r="AV8" i="1"/>
  <c r="AR8" i="1"/>
  <c r="AQ8" i="1"/>
  <c r="AP8" i="1"/>
  <c r="AJ8" i="1"/>
  <c r="AI8" i="1"/>
  <c r="AH8" i="1"/>
  <c r="AC8" i="1"/>
  <c r="AB8" i="1"/>
  <c r="AA8" i="1"/>
  <c r="U8" i="1"/>
  <c r="T8" i="1"/>
  <c r="S8" i="1"/>
  <c r="R8" i="1"/>
  <c r="Q8" i="1"/>
  <c r="P8" i="1"/>
  <c r="BZ7" i="1"/>
  <c r="BY7" i="1"/>
  <c r="BX7" i="1"/>
  <c r="BU7" i="1"/>
  <c r="BT7" i="1"/>
  <c r="BS7" i="1"/>
  <c r="BO7" i="1"/>
  <c r="BN7" i="1"/>
  <c r="BM7" i="1"/>
  <c r="BJ7" i="1"/>
  <c r="BI7" i="1"/>
  <c r="BH7" i="1"/>
  <c r="BD7" i="1"/>
  <c r="BC7" i="1"/>
  <c r="BB7" i="1"/>
  <c r="AX7" i="1"/>
  <c r="AW7" i="1"/>
  <c r="AV7" i="1"/>
  <c r="AR7" i="1"/>
  <c r="AQ7" i="1"/>
  <c r="AP7" i="1"/>
  <c r="AJ7" i="1"/>
  <c r="AI7" i="1"/>
  <c r="AH7" i="1"/>
  <c r="AC7" i="1"/>
  <c r="AB7" i="1"/>
  <c r="AA7" i="1"/>
  <c r="U7" i="1"/>
  <c r="T7" i="1"/>
  <c r="S7" i="1"/>
  <c r="R7" i="1"/>
  <c r="Q7" i="1"/>
  <c r="P7" i="1"/>
  <c r="BZ6" i="1"/>
  <c r="BY6" i="1"/>
  <c r="BX6" i="1"/>
  <c r="BU6" i="1"/>
  <c r="BT6" i="1"/>
  <c r="BS6" i="1"/>
  <c r="BO6" i="1"/>
  <c r="BN6" i="1"/>
  <c r="BM6" i="1"/>
  <c r="BJ6" i="1"/>
  <c r="BI6" i="1"/>
  <c r="BH6" i="1"/>
  <c r="BD6" i="1"/>
  <c r="BC6" i="1"/>
  <c r="BB6" i="1"/>
  <c r="AX6" i="1"/>
  <c r="AW6" i="1"/>
  <c r="AV6" i="1"/>
  <c r="AR6" i="1"/>
  <c r="AQ6" i="1"/>
  <c r="AP6" i="1"/>
  <c r="AJ6" i="1"/>
  <c r="AI6" i="1"/>
  <c r="AH6" i="1"/>
  <c r="AC6" i="1"/>
  <c r="AB6" i="1"/>
  <c r="AA6" i="1"/>
  <c r="U6" i="1"/>
  <c r="T6" i="1"/>
  <c r="S6" i="1"/>
  <c r="R6" i="1"/>
  <c r="Q6" i="1"/>
  <c r="P6" i="1"/>
  <c r="BZ5" i="1"/>
  <c r="BY5" i="1"/>
  <c r="BX5" i="1"/>
  <c r="BU5" i="1"/>
  <c r="BT5" i="1"/>
  <c r="BS5" i="1"/>
  <c r="BO5" i="1"/>
  <c r="BN5" i="1"/>
  <c r="BM5" i="1"/>
  <c r="BJ5" i="1"/>
  <c r="BI5" i="1"/>
  <c r="BH5" i="1"/>
  <c r="BD5" i="1"/>
  <c r="BC5" i="1"/>
  <c r="BB5" i="1"/>
  <c r="AX5" i="1"/>
  <c r="AW5" i="1"/>
  <c r="AV5" i="1"/>
  <c r="AR5" i="1"/>
  <c r="AQ5" i="1"/>
  <c r="AP5" i="1"/>
  <c r="AJ5" i="1"/>
  <c r="AI5" i="1"/>
  <c r="AH5" i="1"/>
  <c r="AC5" i="1"/>
  <c r="AB5" i="1"/>
  <c r="AA5" i="1"/>
  <c r="U5" i="1"/>
  <c r="T5" i="1"/>
  <c r="S5" i="1"/>
  <c r="R5" i="1"/>
  <c r="Q5" i="1"/>
  <c r="P5" i="1"/>
  <c r="BZ4" i="1"/>
  <c r="BY4" i="1"/>
  <c r="BX4" i="1"/>
  <c r="BU4" i="1"/>
  <c r="BT4" i="1"/>
  <c r="BS4" i="1"/>
  <c r="BO4" i="1"/>
  <c r="BN4" i="1"/>
  <c r="BM4" i="1"/>
  <c r="BJ4" i="1"/>
  <c r="BI4" i="1"/>
  <c r="BH4" i="1"/>
  <c r="BD4" i="1"/>
  <c r="BC4" i="1"/>
  <c r="BB4" i="1"/>
  <c r="AX4" i="1"/>
  <c r="AW4" i="1"/>
  <c r="AV4" i="1"/>
  <c r="AR4" i="1"/>
  <c r="AQ4" i="1"/>
  <c r="AP4" i="1"/>
  <c r="AJ4" i="1"/>
  <c r="AI4" i="1"/>
  <c r="AH4" i="1"/>
  <c r="AC4" i="1"/>
  <c r="AB4" i="1"/>
  <c r="AA4" i="1"/>
  <c r="U4" i="1"/>
  <c r="T4" i="1"/>
  <c r="S4" i="1"/>
  <c r="R4" i="1"/>
  <c r="Q4" i="1"/>
  <c r="P4" i="1"/>
  <c r="BZ3" i="1"/>
  <c r="BY3" i="1"/>
  <c r="BX3" i="1"/>
  <c r="BU3" i="1"/>
  <c r="BT3" i="1"/>
  <c r="BS3" i="1"/>
  <c r="BO3" i="1"/>
  <c r="BN3" i="1"/>
  <c r="BM3" i="1"/>
  <c r="BJ3" i="1"/>
  <c r="BI3" i="1"/>
  <c r="BH3" i="1"/>
  <c r="BD3" i="1"/>
  <c r="BC3" i="1"/>
  <c r="BB3" i="1"/>
  <c r="AX3" i="1"/>
  <c r="AW3" i="1"/>
  <c r="AV3" i="1"/>
  <c r="AR3" i="1"/>
  <c r="AQ3" i="1"/>
  <c r="AP3" i="1"/>
  <c r="AJ3" i="1"/>
  <c r="AI3" i="1"/>
  <c r="AH3" i="1"/>
  <c r="AC3" i="1"/>
  <c r="AB3" i="1"/>
  <c r="AA3" i="1"/>
  <c r="U3" i="1"/>
  <c r="T3" i="1"/>
  <c r="S3" i="1"/>
  <c r="R3" i="1"/>
  <c r="Q3" i="1"/>
  <c r="P3" i="1"/>
  <c r="BZ2" i="1"/>
  <c r="BY2" i="1"/>
  <c r="BX2" i="1"/>
  <c r="BU2" i="1"/>
  <c r="BT2" i="1"/>
  <c r="BS2" i="1"/>
  <c r="BO2" i="1"/>
  <c r="BN2" i="1"/>
  <c r="BM2" i="1"/>
  <c r="BJ2" i="1"/>
  <c r="BI2" i="1"/>
  <c r="BH2" i="1"/>
  <c r="BD2" i="1"/>
  <c r="BC2" i="1"/>
  <c r="BB2" i="1"/>
  <c r="AX2" i="1"/>
  <c r="AW2" i="1"/>
  <c r="AV2" i="1"/>
  <c r="AR2" i="1"/>
  <c r="AQ2" i="1"/>
  <c r="AP2" i="1"/>
  <c r="AJ2" i="1"/>
  <c r="AI2" i="1"/>
  <c r="AH2" i="1"/>
  <c r="AC2" i="1"/>
  <c r="AB2" i="1"/>
  <c r="AA2" i="1"/>
  <c r="U2" i="1"/>
  <c r="T2" i="1"/>
  <c r="S2" i="1"/>
  <c r="R2" i="1"/>
  <c r="Q2" i="1"/>
  <c r="P2" i="1"/>
  <c r="Y27" i="1" l="1"/>
  <c r="Y258" i="1"/>
  <c r="Y284" i="1"/>
  <c r="Y305" i="1"/>
  <c r="Y310" i="1"/>
  <c r="Y320" i="1"/>
  <c r="Y339" i="1"/>
  <c r="Y100" i="1"/>
  <c r="Y125" i="1"/>
  <c r="Y138" i="1"/>
  <c r="Y152" i="1"/>
  <c r="Y281" i="1"/>
  <c r="Y291" i="1"/>
  <c r="Y294" i="1"/>
  <c r="Y340" i="1"/>
  <c r="Y369" i="1"/>
  <c r="Y9" i="1"/>
  <c r="Y19" i="1"/>
  <c r="Y83" i="1"/>
  <c r="Y133" i="1"/>
  <c r="Y135" i="1"/>
  <c r="Y143" i="1"/>
  <c r="Y145" i="1"/>
  <c r="Y177" i="1"/>
  <c r="Y203" i="1"/>
  <c r="Y261" i="1"/>
  <c r="Y289" i="1"/>
  <c r="Y314" i="1"/>
  <c r="Y335" i="1"/>
  <c r="Y75" i="1"/>
  <c r="Y93" i="1"/>
  <c r="Y98" i="1"/>
  <c r="Y130" i="1"/>
  <c r="Y180" i="1"/>
  <c r="Y183" i="1"/>
  <c r="Y206" i="1"/>
  <c r="Y209" i="1"/>
  <c r="Y219" i="1"/>
  <c r="Y222" i="1"/>
  <c r="Y300" i="1"/>
  <c r="Y304" i="1"/>
  <c r="Y332" i="1"/>
  <c r="Y334" i="1"/>
  <c r="Y6" i="1"/>
  <c r="Y50" i="1"/>
  <c r="Y55" i="1"/>
  <c r="Y68" i="1"/>
  <c r="Y88" i="1"/>
  <c r="Y90" i="1"/>
  <c r="Y113" i="1"/>
  <c r="Y116" i="1"/>
  <c r="Y153" i="1"/>
  <c r="Y155" i="1"/>
  <c r="Y165" i="1"/>
  <c r="Y190" i="1"/>
  <c r="Y229" i="1"/>
  <c r="Y275" i="1"/>
  <c r="Y285" i="1"/>
  <c r="Y362" i="1"/>
  <c r="Y43" i="1"/>
  <c r="Y44" i="1"/>
  <c r="Y63" i="1"/>
  <c r="Y65" i="1"/>
  <c r="Y108" i="1"/>
  <c r="Y110" i="1"/>
  <c r="Y150" i="1"/>
  <c r="Y160" i="1"/>
  <c r="Y220" i="1"/>
  <c r="Y224" i="1"/>
  <c r="Y226" i="1"/>
  <c r="Y253" i="1"/>
  <c r="Y328" i="1"/>
  <c r="Y358" i="1"/>
  <c r="Y361" i="1"/>
  <c r="Y40" i="1"/>
  <c r="Y95" i="1"/>
  <c r="Y97" i="1"/>
  <c r="Y105" i="1"/>
  <c r="Y123" i="1"/>
  <c r="Y223" i="1"/>
  <c r="Y279" i="1"/>
  <c r="Y299" i="1"/>
  <c r="Y325" i="1"/>
  <c r="Y345" i="1"/>
  <c r="Y355" i="1"/>
  <c r="Y35" i="1"/>
  <c r="Y37" i="1"/>
  <c r="Y70" i="1"/>
  <c r="Y72" i="1"/>
  <c r="Y112" i="1"/>
  <c r="Y120" i="1"/>
  <c r="Y140" i="1"/>
  <c r="Y142" i="1"/>
  <c r="Y163" i="1"/>
  <c r="Y170" i="1"/>
  <c r="Y172" i="1"/>
  <c r="Y175" i="1"/>
  <c r="Y188" i="1"/>
  <c r="Y195" i="1"/>
  <c r="Y197" i="1"/>
  <c r="Y201" i="1"/>
  <c r="Y259" i="1"/>
  <c r="Y315" i="1"/>
  <c r="Y316" i="1"/>
  <c r="Y317" i="1"/>
  <c r="Y319" i="1"/>
  <c r="Y350" i="1"/>
  <c r="Y352" i="1"/>
  <c r="Y365" i="1"/>
  <c r="Y47" i="1"/>
  <c r="Y85" i="1"/>
  <c r="Y134" i="1"/>
  <c r="Y216" i="1"/>
  <c r="Y244" i="1"/>
  <c r="Y254" i="1"/>
  <c r="Y269" i="1"/>
  <c r="Y329" i="1"/>
  <c r="Y349" i="1"/>
  <c r="Y39" i="1"/>
  <c r="Y57" i="1"/>
  <c r="Y60" i="1"/>
  <c r="Y77" i="1"/>
  <c r="Y132" i="1"/>
  <c r="Y185" i="1"/>
  <c r="Y187" i="1"/>
  <c r="Y211" i="1"/>
  <c r="Y243" i="1"/>
  <c r="Y287" i="1"/>
  <c r="Y290" i="1"/>
  <c r="Y3" i="1"/>
  <c r="Y11" i="1"/>
  <c r="Y20" i="1"/>
  <c r="Y56" i="1"/>
  <c r="Y59" i="1"/>
  <c r="Y81" i="1"/>
  <c r="Y84" i="1"/>
  <c r="Y121" i="1"/>
  <c r="Y137" i="1"/>
  <c r="Y139" i="1"/>
  <c r="Y181" i="1"/>
  <c r="Y184" i="1"/>
  <c r="Y207" i="1"/>
  <c r="Y210" i="1"/>
  <c r="Y230" i="1"/>
  <c r="Y241" i="1"/>
  <c r="Y283" i="1"/>
  <c r="Y286" i="1"/>
  <c r="Y292" i="1"/>
  <c r="Y333" i="1"/>
  <c r="Y336" i="1"/>
  <c r="Y337" i="1"/>
  <c r="Y354" i="1"/>
  <c r="Y357" i="1"/>
  <c r="Y10" i="1"/>
  <c r="Y21" i="1"/>
  <c r="Y34" i="1"/>
  <c r="Y49" i="1"/>
  <c r="Y99" i="1"/>
  <c r="Y102" i="1"/>
  <c r="Y136" i="1"/>
  <c r="Y156" i="1"/>
  <c r="Y159" i="1"/>
  <c r="Y227" i="1"/>
  <c r="Y247" i="1"/>
  <c r="Y250" i="1"/>
  <c r="Y256" i="1"/>
  <c r="Y298" i="1"/>
  <c r="Y301" i="1"/>
  <c r="Y307" i="1"/>
  <c r="Y348" i="1"/>
  <c r="Y351" i="1"/>
  <c r="Y31" i="1"/>
  <c r="Y33" i="1"/>
  <c r="Y51" i="1"/>
  <c r="Y54" i="1"/>
  <c r="Y76" i="1"/>
  <c r="Y79" i="1"/>
  <c r="Y101" i="1"/>
  <c r="Y114" i="1"/>
  <c r="Y117" i="1"/>
  <c r="Y119" i="1"/>
  <c r="Y176" i="1"/>
  <c r="Y179" i="1"/>
  <c r="Y202" i="1"/>
  <c r="Y205" i="1"/>
  <c r="Y236" i="1"/>
  <c r="Y262" i="1"/>
  <c r="Y265" i="1"/>
  <c r="Y272" i="1"/>
  <c r="Y313" i="1"/>
  <c r="Y213" i="1"/>
  <c r="Y225" i="1"/>
  <c r="Y7" i="1"/>
  <c r="Y17" i="1"/>
  <c r="Y18" i="1"/>
  <c r="Y29" i="1"/>
  <c r="Y46" i="1"/>
  <c r="Y71" i="1"/>
  <c r="Y74" i="1"/>
  <c r="Y96" i="1"/>
  <c r="Y131" i="1"/>
  <c r="Y151" i="1"/>
  <c r="Y171" i="1"/>
  <c r="Y174" i="1"/>
  <c r="Y196" i="1"/>
  <c r="Y199" i="1"/>
  <c r="Y242" i="1"/>
  <c r="Y245" i="1"/>
  <c r="Y251" i="1"/>
  <c r="Y293" i="1"/>
  <c r="Y296" i="1"/>
  <c r="Y302" i="1"/>
  <c r="Y343" i="1"/>
  <c r="Y8" i="1"/>
  <c r="Y5" i="1"/>
  <c r="Y15" i="1"/>
  <c r="Y26" i="1"/>
  <c r="Y109" i="1"/>
  <c r="Y217" i="1"/>
  <c r="Y257" i="1"/>
  <c r="Y260" i="1"/>
  <c r="Y266" i="1"/>
  <c r="Y308" i="1"/>
  <c r="Y311" i="1"/>
  <c r="Y312" i="1"/>
  <c r="Y346" i="1"/>
  <c r="Y368" i="1"/>
  <c r="Y16" i="1"/>
  <c r="Y25" i="1"/>
  <c r="Y28" i="1"/>
  <c r="Y12" i="1"/>
  <c r="Y41" i="1"/>
  <c r="Y66" i="1"/>
  <c r="Y69" i="1"/>
  <c r="Y91" i="1"/>
  <c r="Y94" i="1"/>
  <c r="Y111" i="1"/>
  <c r="Y127" i="1"/>
  <c r="Y129" i="1"/>
  <c r="Y146" i="1"/>
  <c r="Y149" i="1"/>
  <c r="Y166" i="1"/>
  <c r="Y169" i="1"/>
  <c r="Y191" i="1"/>
  <c r="Y194" i="1"/>
  <c r="Y228" i="1"/>
  <c r="Y237" i="1"/>
  <c r="Y273" i="1"/>
  <c r="Y276" i="1"/>
  <c r="Y282" i="1"/>
  <c r="Y323" i="1"/>
  <c r="Y326" i="1"/>
  <c r="Y327" i="1"/>
  <c r="Y359" i="1"/>
  <c r="Y126" i="1"/>
  <c r="Y246" i="1"/>
  <c r="Y288" i="1"/>
  <c r="Y297" i="1"/>
  <c r="Y338" i="1"/>
  <c r="Y342" i="1"/>
  <c r="Y356" i="1"/>
  <c r="Y4" i="1"/>
  <c r="Y14" i="1"/>
  <c r="Y24" i="1"/>
  <c r="Y61" i="1"/>
  <c r="Y64" i="1"/>
  <c r="Y86" i="1"/>
  <c r="Y89" i="1"/>
  <c r="Y104" i="1"/>
  <c r="Y107" i="1"/>
  <c r="Y141" i="1"/>
  <c r="Y144" i="1"/>
  <c r="Y162" i="1"/>
  <c r="Y164" i="1"/>
  <c r="Y186" i="1"/>
  <c r="Y189" i="1"/>
  <c r="Y212" i="1"/>
  <c r="Y232" i="1"/>
  <c r="Y252" i="1"/>
  <c r="Y255" i="1"/>
  <c r="Y303" i="1"/>
  <c r="Y306" i="1"/>
  <c r="Y341" i="1"/>
  <c r="Y347" i="1"/>
  <c r="Y364" i="1"/>
  <c r="Y367" i="1"/>
  <c r="Y2" i="1"/>
  <c r="Y13" i="1"/>
  <c r="Y22" i="1"/>
  <c r="Y23" i="1"/>
  <c r="Y36" i="1"/>
  <c r="Y38" i="1"/>
  <c r="Y106" i="1"/>
  <c r="Y122" i="1"/>
  <c r="Y124" i="1"/>
  <c r="Y161" i="1"/>
  <c r="Y267" i="1"/>
  <c r="Y271" i="1"/>
  <c r="Y277" i="1"/>
  <c r="Y318" i="1"/>
  <c r="Y321" i="1"/>
  <c r="Y322" i="1"/>
  <c r="Y363" i="1"/>
  <c r="Y366" i="1"/>
</calcChain>
</file>

<file path=xl/sharedStrings.xml><?xml version="1.0" encoding="utf-8"?>
<sst xmlns="http://schemas.openxmlformats.org/spreadsheetml/2006/main" count="9180" uniqueCount="7022">
  <si>
    <t>Studbook ID</t>
  </si>
  <si>
    <t>Study Subject</t>
  </si>
  <si>
    <t>Alive</t>
  </si>
  <si>
    <t>Last Location</t>
  </si>
  <si>
    <t>Local
ID</t>
  </si>
  <si>
    <t>Sex</t>
  </si>
  <si>
    <t>2022 Disposition</t>
  </si>
  <si>
    <t>2022 Destination</t>
  </si>
  <si>
    <t>2022 Breed With</t>
  </si>
  <si>
    <t>2022 Notes</t>
  </si>
  <si>
    <t>2022 Facility Note</t>
  </si>
  <si>
    <t>Origin</t>
  </si>
  <si>
    <t>Sire</t>
  </si>
  <si>
    <r>
      <rPr>
        <b/>
        <sz val="9"/>
        <color theme="1"/>
        <rFont val="Arial"/>
        <family val="2"/>
      </rPr>
      <t>Dam</t>
    </r>
  </si>
  <si>
    <t>Birth</t>
  </si>
  <si>
    <t>Age at Death Years</t>
  </si>
  <si>
    <t>Age at Death Months</t>
  </si>
  <si>
    <t>Age at Death Days</t>
  </si>
  <si>
    <t>Birth Year</t>
  </si>
  <si>
    <t>Birth Month</t>
  </si>
  <si>
    <t>Birth Day</t>
  </si>
  <si>
    <t>Birth Location</t>
  </si>
  <si>
    <t>Birthdate Range +/-</t>
  </si>
  <si>
    <t>Birth Location Comment</t>
  </si>
  <si>
    <t>Num Transfers</t>
  </si>
  <si>
    <t>Capture Date</t>
  </si>
  <si>
    <t>Capture Year</t>
  </si>
  <si>
    <t>Capture Month</t>
  </si>
  <si>
    <t>Capture Day</t>
  </si>
  <si>
    <t>Capture Location</t>
  </si>
  <si>
    <t>Capture Comment</t>
  </si>
  <si>
    <t>Capture Location Comment</t>
  </si>
  <si>
    <t>Death Date</t>
  </si>
  <si>
    <t>Death Year</t>
  </si>
  <si>
    <t>Death Month</t>
  </si>
  <si>
    <t>Death Day</t>
  </si>
  <si>
    <t>Death Location</t>
  </si>
  <si>
    <t>Death Range +/-</t>
  </si>
  <si>
    <t>LTF Date</t>
  </si>
  <si>
    <t>LTF Location</t>
  </si>
  <si>
    <t>Transfer 1 Date</t>
  </si>
  <si>
    <t>Transfer 1 Year</t>
  </si>
  <si>
    <t>Transfer 1 Month</t>
  </si>
  <si>
    <t>Transfer 1 Day</t>
  </si>
  <si>
    <t>Transfer 1 Location</t>
  </si>
  <si>
    <t>Transfer 1 Range +/-</t>
  </si>
  <si>
    <t>Transfer 2 Date</t>
  </si>
  <si>
    <t>Transfer 2 Year</t>
  </si>
  <si>
    <t>Transfer 2 Month</t>
  </si>
  <si>
    <t>Transfer 2 Day</t>
  </si>
  <si>
    <t>Transfer 2 Location</t>
  </si>
  <si>
    <t>Transfer 2 Range +/-</t>
  </si>
  <si>
    <t>Transfer 3 Date</t>
  </si>
  <si>
    <t>Transfer 3 Year</t>
  </si>
  <si>
    <t>Transfer 3 Month</t>
  </si>
  <si>
    <t>Transfer 3 Day</t>
  </si>
  <si>
    <t>Transfer 3 Location</t>
  </si>
  <si>
    <t>Transfer 3 Range +/-</t>
  </si>
  <si>
    <t>Transfer 4 Date</t>
  </si>
  <si>
    <t>Transfer 4 Year</t>
  </si>
  <si>
    <t>Transfer 4 Month</t>
  </si>
  <si>
    <t>Transfer 4 Day</t>
  </si>
  <si>
    <t>Transfer 4 Location</t>
  </si>
  <si>
    <t>Transfer 5 Date</t>
  </si>
  <si>
    <t>Transfer 5 Year</t>
  </si>
  <si>
    <t>Transfer 5 Month</t>
  </si>
  <si>
    <t>Transfer 5 Day</t>
  </si>
  <si>
    <t>Transfer 5 Location</t>
  </si>
  <si>
    <t>Transfer 5 Range +/-</t>
  </si>
  <si>
    <t>Transfer 6 Date</t>
  </si>
  <si>
    <t>Transfer 6 Year</t>
  </si>
  <si>
    <t>Transfer 6 Month</t>
  </si>
  <si>
    <t>Transfer 6 Day</t>
  </si>
  <si>
    <t>Transfer 6 Location</t>
  </si>
  <si>
    <t>Transfer 7 Date</t>
  </si>
  <si>
    <t>Transfer 7 Year</t>
  </si>
  <si>
    <t>Transfer 7 Month</t>
  </si>
  <si>
    <t>Transfer 7 Day</t>
  </si>
  <si>
    <t>Transfer 7 Location</t>
  </si>
  <si>
    <t>N</t>
  </si>
  <si>
    <r>
      <rPr>
        <sz val="9"/>
        <color theme="1"/>
        <rFont val="Arial"/>
        <family val="2"/>
      </rPr>
      <t>PHILADELP</t>
    </r>
  </si>
  <si>
    <r>
      <rPr>
        <sz val="9"/>
        <color theme="1"/>
        <rFont val="Arial"/>
        <family val="2"/>
      </rPr>
      <t>Female</t>
    </r>
  </si>
  <si>
    <t>Captive Birth</t>
  </si>
  <si>
    <r>
      <rPr>
        <sz val="9"/>
        <color theme="1"/>
        <rFont val="Arial"/>
        <family val="2"/>
      </rPr>
      <t>SKANAKV</t>
    </r>
  </si>
  <si>
    <t>6 month</t>
  </si>
  <si>
    <r>
      <rPr>
        <sz val="9"/>
        <color theme="1"/>
        <rFont val="Arial"/>
        <family val="2"/>
      </rPr>
      <t>PHILADELP</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</si>
  <si>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</si>
  <si>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</si>
  <si>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</si>
  <si>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SKANAKV</t>
    </r>
  </si>
  <si>
    <r>
      <rPr>
        <sz val="9"/>
        <color theme="1"/>
        <rFont val="Arial"/>
        <family val="2"/>
      </rPr>
      <t>PHILADELP</t>
    </r>
  </si>
  <si>
    <r>
      <rPr>
        <sz val="9"/>
        <color theme="1"/>
        <rFont val="Arial"/>
        <family val="2"/>
      </rPr>
      <t>PHILADELP</t>
    </r>
  </si>
  <si>
    <r>
      <rPr>
        <sz val="9"/>
        <color theme="1"/>
        <rFont val="Arial"/>
        <family val="2"/>
      </rPr>
      <t>HOUSTON</t>
    </r>
  </si>
  <si>
    <r>
      <rPr>
        <sz val="9"/>
        <color theme="1"/>
        <rFont val="Arial"/>
        <family val="2"/>
      </rPr>
      <t>Male</t>
    </r>
  </si>
  <si>
    <r>
      <rPr>
        <sz val="9"/>
        <color theme="1"/>
        <rFont val="Arial"/>
        <family val="2"/>
      </rPr>
      <t>UND</t>
    </r>
  </si>
  <si>
    <r>
      <rPr>
        <sz val="9"/>
        <color theme="1"/>
        <rFont val="Arial"/>
        <family val="2"/>
      </rPr>
      <t>POZNAN</t>
    </r>
  </si>
  <si>
    <t>Exact</t>
  </si>
  <si>
    <r>
      <rPr>
        <sz val="9"/>
        <color theme="1"/>
        <rFont val="Arial"/>
        <family val="2"/>
      </rPr>
      <t>HOUSTON</t>
    </r>
  </si>
  <si>
    <r>
      <rPr>
        <sz val="9"/>
        <color theme="1"/>
        <rFont val="Arial"/>
        <family val="2"/>
      </rPr>
      <t>SKANAKV</t>
    </r>
  </si>
  <si>
    <r>
      <rPr>
        <sz val="9"/>
        <color theme="1"/>
        <rFont val="Arial"/>
        <family val="2"/>
      </rPr>
      <t>SKANAKV</t>
    </r>
  </si>
  <si>
    <r>
      <rPr>
        <sz val="9"/>
        <color theme="1"/>
        <rFont val="Arial"/>
        <family val="2"/>
      </rPr>
      <t>SAN FRAN</t>
    </r>
  </si>
  <si>
    <r>
      <rPr>
        <sz val="9"/>
        <color theme="1"/>
        <rFont val="Arial"/>
        <family val="2"/>
      </rPr>
      <t>SAN FRAN</t>
    </r>
  </si>
  <si>
    <r>
      <rPr>
        <sz val="9"/>
        <color theme="1"/>
        <rFont val="Arial"/>
        <family val="2"/>
      </rPr>
      <t>HOUSTON</t>
    </r>
  </si>
  <si>
    <r>
      <rPr>
        <sz val="9"/>
        <color theme="1"/>
        <rFont val="Arial"/>
        <family val="2"/>
      </rPr>
      <t>PUEBLO</t>
    </r>
  </si>
  <si>
    <r>
      <rPr>
        <sz val="9"/>
        <color theme="1"/>
        <rFont val="Arial"/>
        <family val="2"/>
      </rPr>
      <t>HOUSTON</t>
    </r>
  </si>
  <si>
    <r>
      <rPr>
        <sz val="9"/>
        <color theme="1"/>
        <rFont val="Arial"/>
        <family val="2"/>
      </rPr>
      <t>HOUSTON</t>
    </r>
  </si>
  <si>
    <r>
      <rPr>
        <sz val="9"/>
        <color theme="1"/>
        <rFont val="Arial"/>
        <family val="2"/>
      </rPr>
      <t>Female</t>
    </r>
  </si>
  <si>
    <r>
      <rPr>
        <sz val="9"/>
        <color theme="1"/>
        <rFont val="Arial"/>
        <family val="2"/>
      </rPr>
      <t>UND</t>
    </r>
  </si>
  <si>
    <r>
      <rPr>
        <sz val="9"/>
        <color theme="1"/>
        <rFont val="Arial"/>
        <family val="2"/>
      </rPr>
      <t>POZNAN</t>
    </r>
  </si>
  <si>
    <r>
      <rPr>
        <sz val="9"/>
        <color theme="1"/>
        <rFont val="Arial"/>
        <family val="2"/>
      </rPr>
      <t>HOUSTON</t>
    </r>
  </si>
  <si>
    <r>
      <rPr>
        <sz val="9"/>
        <color theme="1"/>
        <rFont val="Arial"/>
        <family val="2"/>
      </rPr>
      <t>SKANAKV</t>
    </r>
  </si>
  <si>
    <r>
      <rPr>
        <sz val="9"/>
        <color theme="1"/>
        <rFont val="Arial"/>
        <family val="2"/>
      </rPr>
      <t>SKANAKV</t>
    </r>
  </si>
  <si>
    <r>
      <rPr>
        <sz val="9"/>
        <color theme="1"/>
        <rFont val="Arial"/>
        <family val="2"/>
      </rPr>
      <t>SAN FRAN</t>
    </r>
  </si>
  <si>
    <r>
      <rPr>
        <sz val="9"/>
        <color theme="1"/>
        <rFont val="Arial"/>
        <family val="2"/>
      </rPr>
      <t>SAN FRAN</t>
    </r>
  </si>
  <si>
    <r>
      <rPr>
        <sz val="9"/>
        <color theme="1"/>
        <rFont val="Arial"/>
        <family val="2"/>
      </rPr>
      <t>HOUSTON</t>
    </r>
  </si>
  <si>
    <r>
      <rPr>
        <sz val="9"/>
        <color theme="1"/>
        <rFont val="Arial"/>
        <family val="2"/>
      </rPr>
      <t>PUEBLO</t>
    </r>
  </si>
  <si>
    <r>
      <rPr>
        <sz val="9"/>
        <color theme="1"/>
        <rFont val="Arial"/>
        <family val="2"/>
      </rPr>
      <t>HOUSTON</t>
    </r>
  </si>
  <si>
    <r>
      <rPr>
        <sz val="9"/>
        <color theme="1"/>
        <rFont val="Arial"/>
        <family val="2"/>
      </rPr>
      <t>DUKE PRIM</t>
    </r>
  </si>
  <si>
    <r>
      <rPr>
        <sz val="9"/>
        <color theme="1"/>
        <rFont val="Arial"/>
        <family val="2"/>
      </rPr>
      <t>Male</t>
    </r>
  </si>
  <si>
    <r>
      <rPr>
        <sz val="9"/>
        <color theme="1"/>
        <rFont val="Arial"/>
        <family val="2"/>
      </rPr>
      <t>UND</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</si>
  <si>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</si>
  <si>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</si>
  <si>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</si>
  <si>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</si>
  <si>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</si>
  <si>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</si>
  <si>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</si>
  <si>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</si>
  <si>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</si>
  <si>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</si>
  <si>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</si>
  <si>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</si>
  <si>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</si>
  <si>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</si>
  <si>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</si>
  <si>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CHICAGOBR</t>
    </r>
  </si>
  <si>
    <r>
      <rPr>
        <sz val="9"/>
        <color theme="1"/>
        <rFont val="Arial"/>
        <family val="2"/>
      </rPr>
      <t>Male</t>
    </r>
  </si>
  <si>
    <r>
      <rPr>
        <sz val="9"/>
        <color theme="1"/>
        <rFont val="Arial"/>
        <family val="2"/>
      </rPr>
      <t>CINCINNAT</t>
    </r>
  </si>
  <si>
    <r>
      <rPr>
        <sz val="9"/>
        <color theme="1"/>
        <rFont val="Arial"/>
        <family val="2"/>
      </rPr>
      <t>CHICAGOBR</t>
    </r>
  </si>
  <si>
    <r>
      <rPr>
        <sz val="9"/>
        <color theme="1"/>
        <rFont val="Arial"/>
        <family val="2"/>
      </rPr>
      <t>CHICAGOBR</t>
    </r>
  </si>
  <si>
    <r>
      <rPr>
        <sz val="9"/>
        <color theme="1"/>
        <rFont val="Arial"/>
        <family val="2"/>
      </rPr>
      <t>CINCINNAT</t>
    </r>
  </si>
  <si>
    <r>
      <rPr>
        <sz val="9"/>
        <color theme="1"/>
        <rFont val="Arial"/>
        <family val="2"/>
      </rPr>
      <t>M2201</t>
    </r>
  </si>
  <si>
    <r>
      <rPr>
        <sz val="9"/>
        <color theme="1"/>
        <rFont val="Arial"/>
        <family val="2"/>
      </rPr>
      <t>Undetermined</t>
    </r>
  </si>
  <si>
    <r>
      <rPr>
        <sz val="9"/>
        <color theme="1"/>
        <rFont val="Arial"/>
        <family val="2"/>
      </rPr>
      <t>CINCINNAT</t>
    </r>
  </si>
  <si>
    <r>
      <rPr>
        <sz val="9"/>
        <color theme="1"/>
        <rFont val="Arial"/>
        <family val="2"/>
      </rPr>
      <t>CINCINNAT</t>
    </r>
  </si>
  <si>
    <r>
      <rPr>
        <sz val="9"/>
        <color theme="1"/>
        <rFont val="Arial"/>
        <family val="2"/>
      </rPr>
      <t>CRYSTAL G</t>
    </r>
  </si>
  <si>
    <r>
      <rPr>
        <sz val="9"/>
        <color theme="1"/>
        <rFont val="Arial"/>
        <family val="2"/>
      </rPr>
      <t>CGNPO5</t>
    </r>
  </si>
  <si>
    <r>
      <rPr>
        <sz val="9"/>
        <color theme="1"/>
        <rFont val="Arial"/>
        <family val="2"/>
      </rPr>
      <t>Undetermined</t>
    </r>
  </si>
  <si>
    <r>
      <rPr>
        <sz val="9"/>
        <color theme="1"/>
        <rFont val="Arial"/>
        <family val="2"/>
      </rPr>
      <t>CRYSTAL G</t>
    </r>
  </si>
  <si>
    <r>
      <rPr>
        <sz val="9"/>
        <color theme="1"/>
        <rFont val="Arial"/>
        <family val="2"/>
      </rPr>
      <t>CRYSTAL G</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</si>
  <si>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</si>
  <si>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</si>
  <si>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</si>
  <si>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CHICAGOBR</t>
    </r>
  </si>
  <si>
    <r>
      <rPr>
        <sz val="9"/>
        <color theme="1"/>
        <rFont val="Arial"/>
        <family val="2"/>
      </rPr>
      <t>OMAHA</t>
    </r>
  </si>
  <si>
    <r>
      <rPr>
        <sz val="9"/>
        <color theme="1"/>
        <rFont val="Arial"/>
        <family val="2"/>
      </rPr>
      <t>Male</t>
    </r>
  </si>
  <si>
    <r>
      <rPr>
        <sz val="9"/>
        <color theme="1"/>
        <rFont val="Arial"/>
        <family val="2"/>
      </rPr>
      <t>DUKE PRIM</t>
    </r>
  </si>
  <si>
    <r>
      <rPr>
        <sz val="9"/>
        <color theme="1"/>
        <rFont val="Arial"/>
        <family val="2"/>
      </rPr>
      <t>OMAHA</t>
    </r>
  </si>
  <si>
    <r>
      <rPr>
        <sz val="9"/>
        <color theme="1"/>
        <rFont val="Arial"/>
        <family val="2"/>
      </rPr>
      <t>OMAHA</t>
    </r>
  </si>
  <si>
    <r>
      <rPr>
        <sz val="9"/>
        <color theme="1"/>
        <rFont val="Arial"/>
        <family val="2"/>
      </rPr>
      <t>OMAHA</t>
    </r>
  </si>
  <si>
    <r>
      <rPr>
        <sz val="9"/>
        <color theme="1"/>
        <rFont val="Arial"/>
        <family val="2"/>
      </rPr>
      <t>Male</t>
    </r>
  </si>
  <si>
    <r>
      <rPr>
        <sz val="9"/>
        <color theme="1"/>
        <rFont val="Arial"/>
        <family val="2"/>
      </rPr>
      <t>DUKE PRIM</t>
    </r>
  </si>
  <si>
    <r>
      <rPr>
        <sz val="9"/>
        <color theme="1"/>
        <rFont val="Arial"/>
        <family val="2"/>
      </rPr>
      <t>OMAHA</t>
    </r>
  </si>
  <si>
    <r>
      <rPr>
        <sz val="9"/>
        <color theme="1"/>
        <rFont val="Arial"/>
        <family val="2"/>
      </rPr>
      <t>OMAHA</t>
    </r>
  </si>
  <si>
    <r>
      <rPr>
        <sz val="9"/>
        <color theme="1"/>
        <rFont val="Arial"/>
        <family val="2"/>
      </rPr>
      <t>CINCINNAT</t>
    </r>
  </si>
  <si>
    <r>
      <rPr>
        <sz val="9"/>
        <color theme="1"/>
        <rFont val="Arial"/>
        <family val="2"/>
      </rPr>
      <t>Male</t>
    </r>
  </si>
  <si>
    <r>
      <rPr>
        <sz val="9"/>
        <color theme="1"/>
        <rFont val="Arial"/>
        <family val="2"/>
      </rPr>
      <t>SANDIEGOZ</t>
    </r>
  </si>
  <si>
    <r>
      <rPr>
        <sz val="9"/>
        <color theme="1"/>
        <rFont val="Arial"/>
        <family val="2"/>
      </rPr>
      <t>CINCINNAT</t>
    </r>
  </si>
  <si>
    <r>
      <rPr>
        <sz val="9"/>
        <color theme="1"/>
        <rFont val="Arial"/>
        <family val="2"/>
      </rPr>
      <t>CINCINNAT</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</si>
  <si>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</si>
  <si>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</si>
  <si>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</si>
  <si>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</si>
  <si>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</si>
  <si>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</si>
  <si>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</si>
  <si>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</si>
  <si>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SD-WAP</t>
    </r>
  </si>
  <si>
    <r>
      <rPr>
        <sz val="9"/>
        <color theme="1"/>
        <rFont val="Arial"/>
        <family val="2"/>
      </rPr>
      <t>Female</t>
    </r>
  </si>
  <si>
    <r>
      <rPr>
        <sz val="9"/>
        <color theme="1"/>
        <rFont val="Arial"/>
        <family val="2"/>
      </rPr>
      <t>SANDIEGOZ</t>
    </r>
  </si>
  <si>
    <r>
      <rPr>
        <sz val="9"/>
        <color theme="1"/>
        <rFont val="Arial"/>
        <family val="2"/>
      </rPr>
      <t>SD-WAP</t>
    </r>
  </si>
  <si>
    <r>
      <rPr>
        <sz val="9"/>
        <color theme="1"/>
        <rFont val="Arial"/>
        <family val="2"/>
      </rPr>
      <t>SD-WAP</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</si>
  <si>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</si>
  <si>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</si>
  <si>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</si>
  <si>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</si>
  <si>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CINCINNAT</t>
    </r>
  </si>
  <si>
    <r>
      <rPr>
        <sz val="9"/>
        <color theme="1"/>
        <rFont val="Arial"/>
        <family val="2"/>
      </rPr>
      <t>Undetermined</t>
    </r>
  </si>
  <si>
    <r>
      <rPr>
        <sz val="9"/>
        <color theme="1"/>
        <rFont val="Arial"/>
        <family val="2"/>
      </rPr>
      <t>CINCINNAT</t>
    </r>
  </si>
  <si>
    <r>
      <rPr>
        <sz val="9"/>
        <color theme="1"/>
        <rFont val="Arial"/>
        <family val="2"/>
      </rPr>
      <t>CINCINNAT</t>
    </r>
  </si>
  <si>
    <r>
      <rPr>
        <sz val="9"/>
        <color theme="1"/>
        <rFont val="Arial"/>
        <family val="2"/>
      </rPr>
      <t>CINCINNAT</t>
    </r>
  </si>
  <si>
    <r>
      <rPr>
        <sz val="9"/>
        <color theme="1"/>
        <rFont val="Arial"/>
        <family val="2"/>
      </rPr>
      <t>Female</t>
    </r>
  </si>
  <si>
    <r>
      <rPr>
        <sz val="9"/>
        <color theme="1"/>
        <rFont val="Arial"/>
        <family val="2"/>
      </rPr>
      <t>PHILADELP</t>
    </r>
  </si>
  <si>
    <r>
      <rPr>
        <sz val="9"/>
        <color theme="1"/>
        <rFont val="Arial"/>
        <family val="2"/>
      </rPr>
      <t>CINCINNAT</t>
    </r>
  </si>
  <si>
    <r>
      <rPr>
        <sz val="9"/>
        <color theme="1"/>
        <rFont val="Arial"/>
        <family val="2"/>
      </rPr>
      <t>CINCINNAT</t>
    </r>
  </si>
  <si>
    <r>
      <rPr>
        <sz val="9"/>
        <color theme="1"/>
        <rFont val="Arial"/>
        <family val="2"/>
      </rPr>
      <t>SEATTLE</t>
    </r>
  </si>
  <si>
    <r>
      <rPr>
        <sz val="9"/>
        <color theme="1"/>
        <rFont val="Arial"/>
        <family val="2"/>
      </rPr>
      <t>Male</t>
    </r>
  </si>
  <si>
    <r>
      <rPr>
        <sz val="9"/>
        <color theme="1"/>
        <rFont val="Arial"/>
        <family val="2"/>
      </rPr>
      <t>PHILADELP</t>
    </r>
  </si>
  <si>
    <r>
      <rPr>
        <sz val="9"/>
        <color theme="1"/>
        <rFont val="Arial"/>
        <family val="2"/>
      </rPr>
      <t>SEATTLE</t>
    </r>
  </si>
  <si>
    <r>
      <rPr>
        <sz val="9"/>
        <color theme="1"/>
        <rFont val="Arial"/>
        <family val="2"/>
      </rPr>
      <t>SEATTLE</t>
    </r>
  </si>
  <si>
    <r>
      <rPr>
        <sz val="9"/>
        <color theme="1"/>
        <rFont val="Arial"/>
        <family val="2"/>
      </rPr>
      <t>CLEVELAND</t>
    </r>
  </si>
  <si>
    <r>
      <rPr>
        <sz val="9"/>
        <color theme="1"/>
        <rFont val="Arial"/>
        <family val="2"/>
      </rPr>
      <t>M20711</t>
    </r>
  </si>
  <si>
    <r>
      <rPr>
        <sz val="9"/>
        <color theme="1"/>
        <rFont val="Arial"/>
        <family val="2"/>
      </rPr>
      <t>Male</t>
    </r>
  </si>
  <si>
    <r>
      <rPr>
        <sz val="9"/>
        <color theme="1"/>
        <rFont val="Arial"/>
        <family val="2"/>
      </rPr>
      <t>SANDIEGOZ</t>
    </r>
  </si>
  <si>
    <r>
      <rPr>
        <sz val="9"/>
        <color theme="1"/>
        <rFont val="Arial"/>
        <family val="2"/>
      </rPr>
      <t>CLEVELAND</t>
    </r>
  </si>
  <si>
    <r>
      <rPr>
        <sz val="9"/>
        <color theme="1"/>
        <rFont val="Arial"/>
        <family val="2"/>
      </rPr>
      <t>CLEVELAND</t>
    </r>
  </si>
  <si>
    <r>
      <rPr>
        <sz val="9"/>
        <color theme="1"/>
        <rFont val="Arial"/>
        <family val="2"/>
      </rPr>
      <t>CHICAGOBR</t>
    </r>
  </si>
  <si>
    <r>
      <rPr>
        <sz val="9"/>
        <color theme="1"/>
        <rFont val="Arial"/>
        <family val="2"/>
      </rPr>
      <t>Male</t>
    </r>
  </si>
  <si>
    <r>
      <rPr>
        <sz val="9"/>
        <color theme="1"/>
        <rFont val="Arial"/>
        <family val="2"/>
      </rPr>
      <t>HOUSTON</t>
    </r>
  </si>
  <si>
    <r>
      <rPr>
        <sz val="9"/>
        <color theme="1"/>
        <rFont val="Arial"/>
        <family val="2"/>
      </rPr>
      <t>CHICAGOBR</t>
    </r>
  </si>
  <si>
    <r>
      <rPr>
        <sz val="9"/>
        <color theme="1"/>
        <rFont val="Arial"/>
        <family val="2"/>
      </rPr>
      <t>CHICAGOBR</t>
    </r>
  </si>
  <si>
    <r>
      <rPr>
        <sz val="9"/>
        <color theme="1"/>
        <rFont val="Arial"/>
        <family val="2"/>
      </rPr>
      <t>HOUSTON</t>
    </r>
  </si>
  <si>
    <r>
      <rPr>
        <sz val="9"/>
        <color theme="1"/>
        <rFont val="Arial"/>
        <family val="2"/>
      </rPr>
      <t>Female</t>
    </r>
  </si>
  <si>
    <r>
      <rPr>
        <sz val="9"/>
        <color theme="1"/>
        <rFont val="Arial"/>
        <family val="2"/>
      </rPr>
      <t>HOUSTON</t>
    </r>
  </si>
  <si>
    <r>
      <rPr>
        <sz val="9"/>
        <color theme="1"/>
        <rFont val="Arial"/>
        <family val="2"/>
      </rPr>
      <t>HOUSTON</t>
    </r>
  </si>
  <si>
    <r>
      <rPr>
        <sz val="9"/>
        <color theme="1"/>
        <rFont val="Arial"/>
        <family val="2"/>
      </rPr>
      <t>PAIGNTON</t>
    </r>
  </si>
  <si>
    <r>
      <rPr>
        <sz val="9"/>
        <color theme="1"/>
        <rFont val="Arial"/>
        <family val="2"/>
      </rPr>
      <t>Male</t>
    </r>
  </si>
  <si>
    <r>
      <rPr>
        <sz val="9"/>
        <color theme="1"/>
        <rFont val="Arial"/>
        <family val="2"/>
      </rPr>
      <t>CHICAGOBR</t>
    </r>
  </si>
  <si>
    <r>
      <rPr>
        <sz val="9"/>
        <color theme="1"/>
        <rFont val="Arial"/>
        <family val="2"/>
      </rPr>
      <t>PAIGNTON</t>
    </r>
  </si>
  <si>
    <r>
      <rPr>
        <sz val="9"/>
        <color theme="1"/>
        <rFont val="Arial"/>
        <family val="2"/>
      </rPr>
      <t>PAIGNTON</t>
    </r>
  </si>
  <si>
    <r>
      <rPr>
        <sz val="9"/>
        <color theme="1"/>
        <rFont val="Arial"/>
        <family val="2"/>
      </rPr>
      <t>SHALDON</t>
    </r>
  </si>
  <si>
    <r>
      <rPr>
        <sz val="9"/>
        <color theme="1"/>
        <rFont val="Arial"/>
        <family val="2"/>
      </rPr>
      <t>PAIGNTON</t>
    </r>
  </si>
  <si>
    <r>
      <rPr>
        <sz val="9"/>
        <color theme="1"/>
        <rFont val="Arial"/>
        <family val="2"/>
      </rPr>
      <t>CHICAGOBR</t>
    </r>
  </si>
  <si>
    <r>
      <rPr>
        <sz val="9"/>
        <color theme="1"/>
        <rFont val="Arial"/>
        <family val="2"/>
      </rPr>
      <t>Male</t>
    </r>
  </si>
  <si>
    <r>
      <rPr>
        <sz val="9"/>
        <color theme="1"/>
        <rFont val="Arial"/>
        <family val="2"/>
      </rPr>
      <t>CHICAGOBR</t>
    </r>
  </si>
  <si>
    <r>
      <rPr>
        <sz val="9"/>
        <color theme="1"/>
        <rFont val="Arial"/>
        <family val="2"/>
      </rPr>
      <t>CHICAGOBR</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</si>
  <si>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</si>
  <si>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</si>
  <si>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</si>
  <si>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</si>
  <si>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</si>
  <si>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</si>
  <si>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</si>
  <si>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</si>
  <si>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PAIGNTON</t>
    </r>
  </si>
  <si>
    <r>
      <rPr>
        <sz val="9"/>
        <color theme="1"/>
        <rFont val="Arial"/>
        <family val="2"/>
      </rPr>
      <t>Male</t>
    </r>
  </si>
  <si>
    <r>
      <rPr>
        <sz val="9"/>
        <color theme="1"/>
        <rFont val="Arial"/>
        <family val="2"/>
      </rPr>
      <t>DUKE PRIM</t>
    </r>
  </si>
  <si>
    <r>
      <rPr>
        <sz val="9"/>
        <color theme="1"/>
        <rFont val="Arial"/>
        <family val="2"/>
      </rPr>
      <t>PAIGNTON</t>
    </r>
  </si>
  <si>
    <r>
      <rPr>
        <sz val="9"/>
        <color theme="1"/>
        <rFont val="Arial"/>
        <family val="2"/>
      </rPr>
      <t>PAIGNTON</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</si>
  <si>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</si>
  <si>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</si>
  <si>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</si>
  <si>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</si>
  <si>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CLEVELAND</t>
    </r>
  </si>
  <si>
    <r>
      <rPr>
        <sz val="9"/>
        <color theme="1"/>
        <rFont val="Arial"/>
        <family val="2"/>
      </rPr>
      <t>Male</t>
    </r>
  </si>
  <si>
    <r>
      <rPr>
        <sz val="9"/>
        <color theme="1"/>
        <rFont val="Arial"/>
        <family val="2"/>
      </rPr>
      <t>PHILADELP</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</si>
  <si>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</si>
  <si>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</si>
  <si>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</si>
  <si>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Male</t>
    </r>
  </si>
  <si>
    <r>
      <rPr>
        <sz val="9"/>
        <color theme="1"/>
        <rFont val="Arial"/>
        <family val="2"/>
      </rPr>
      <t>PHILADELP</t>
    </r>
  </si>
  <si>
    <r>
      <rPr>
        <sz val="9"/>
        <color theme="1"/>
        <rFont val="Arial"/>
        <family val="2"/>
      </rPr>
      <t>CLEVELAND</t>
    </r>
  </si>
  <si>
    <r>
      <rPr>
        <sz val="9"/>
        <color theme="1"/>
        <rFont val="Arial"/>
        <family val="2"/>
      </rPr>
      <t>CLEVELAND</t>
    </r>
  </si>
  <si>
    <r>
      <rPr>
        <sz val="9"/>
        <color theme="1"/>
        <rFont val="Arial"/>
        <family val="2"/>
      </rPr>
      <t>CRYSTAL G</t>
    </r>
  </si>
  <si>
    <r>
      <rPr>
        <sz val="9"/>
        <color theme="1"/>
        <rFont val="Arial"/>
        <family val="2"/>
      </rPr>
      <t>CGNP03</t>
    </r>
  </si>
  <si>
    <r>
      <rPr>
        <sz val="9"/>
        <color theme="1"/>
        <rFont val="Arial"/>
        <family val="2"/>
      </rPr>
      <t>Female</t>
    </r>
  </si>
  <si>
    <r>
      <rPr>
        <sz val="9"/>
        <color theme="1"/>
        <rFont val="Arial"/>
        <family val="2"/>
      </rPr>
      <t>CRYSTAL G</t>
    </r>
  </si>
  <si>
    <r>
      <rPr>
        <sz val="9"/>
        <color theme="1"/>
        <rFont val="Arial"/>
        <family val="2"/>
      </rPr>
      <t>CRYSTAL G</t>
    </r>
  </si>
  <si>
    <t>1 day</t>
  </si>
  <si>
    <r>
      <rPr>
        <sz val="9"/>
        <color theme="1"/>
        <rFont val="Arial"/>
        <family val="2"/>
      </rPr>
      <t>CRYSTAL G</t>
    </r>
  </si>
  <si>
    <r>
      <rPr>
        <sz val="9"/>
        <color theme="1"/>
        <rFont val="Arial"/>
        <family val="2"/>
      </rPr>
      <t>CGNP04</t>
    </r>
  </si>
  <si>
    <r>
      <rPr>
        <sz val="9"/>
        <color theme="1"/>
        <rFont val="Arial"/>
        <family val="2"/>
      </rPr>
      <t>Female</t>
    </r>
  </si>
  <si>
    <r>
      <rPr>
        <sz val="9"/>
        <color theme="1"/>
        <rFont val="Arial"/>
        <family val="2"/>
      </rPr>
      <t>CRYSTAL G</t>
    </r>
  </si>
  <si>
    <r>
      <rPr>
        <sz val="9"/>
        <color theme="1"/>
        <rFont val="Arial"/>
        <family val="2"/>
      </rPr>
      <t>CRYSTAL G</t>
    </r>
  </si>
  <si>
    <t>15 day</t>
  </si>
  <si>
    <r>
      <rPr>
        <sz val="9"/>
        <color theme="1"/>
        <rFont val="Arial"/>
        <family val="2"/>
      </rPr>
      <t>OMAHA</t>
    </r>
  </si>
  <si>
    <r>
      <rPr>
        <sz val="9"/>
        <color theme="1"/>
        <rFont val="Arial"/>
        <family val="2"/>
      </rPr>
      <t>Female</t>
    </r>
  </si>
  <si>
    <r>
      <rPr>
        <sz val="9"/>
        <color theme="1"/>
        <rFont val="Arial"/>
        <family val="2"/>
      </rPr>
      <t>HOUSTON</t>
    </r>
  </si>
  <si>
    <r>
      <rPr>
        <sz val="9"/>
        <color theme="1"/>
        <rFont val="Arial"/>
        <family val="2"/>
      </rPr>
      <t>OMAHA</t>
    </r>
  </si>
  <si>
    <r>
      <rPr>
        <sz val="9"/>
        <color theme="1"/>
        <rFont val="Arial"/>
        <family val="2"/>
      </rPr>
      <t>DUKE PRIM</t>
    </r>
  </si>
  <si>
    <r>
      <rPr>
        <sz val="9"/>
        <color theme="1"/>
        <rFont val="Arial"/>
        <family val="2"/>
      </rPr>
      <t>OMAHA</t>
    </r>
  </si>
  <si>
    <r>
      <rPr>
        <sz val="9"/>
        <color theme="1"/>
        <rFont val="Arial"/>
        <family val="2"/>
      </rPr>
      <t>HOUSTON</t>
    </r>
  </si>
  <si>
    <r>
      <rPr>
        <sz val="9"/>
        <color theme="1"/>
        <rFont val="Arial"/>
        <family val="2"/>
      </rPr>
      <t>Female</t>
    </r>
  </si>
  <si>
    <r>
      <rPr>
        <sz val="9"/>
        <color theme="1"/>
        <rFont val="Arial"/>
        <family val="2"/>
      </rPr>
      <t>HOUSTON</t>
    </r>
  </si>
  <si>
    <r>
      <rPr>
        <sz val="9"/>
        <color theme="1"/>
        <rFont val="Arial"/>
        <family val="2"/>
      </rPr>
      <t>HOUSTON</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</si>
  <si>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</si>
  <si>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</si>
  <si>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</si>
  <si>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</si>
  <si>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PAIGNTON</t>
    </r>
  </si>
  <si>
    <r>
      <rPr>
        <sz val="9"/>
        <color theme="1"/>
        <rFont val="Arial"/>
        <family val="2"/>
      </rPr>
      <t>Male</t>
    </r>
  </si>
  <si>
    <r>
      <rPr>
        <sz val="9"/>
        <color theme="1"/>
        <rFont val="Arial"/>
        <family val="2"/>
      </rPr>
      <t>CHICAGOBR</t>
    </r>
  </si>
  <si>
    <r>
      <rPr>
        <sz val="9"/>
        <color theme="1"/>
        <rFont val="Arial"/>
        <family val="2"/>
      </rPr>
      <t>PAIGNTON</t>
    </r>
  </si>
  <si>
    <r>
      <rPr>
        <sz val="9"/>
        <color theme="1"/>
        <rFont val="Arial"/>
        <family val="2"/>
      </rPr>
      <t>PAIGNTON</t>
    </r>
  </si>
  <si>
    <r>
      <rPr>
        <sz val="9"/>
        <color theme="1"/>
        <rFont val="Arial"/>
        <family val="2"/>
      </rPr>
      <t>WHEELING</t>
    </r>
  </si>
  <si>
    <r>
      <rPr>
        <sz val="9"/>
        <color theme="1"/>
        <rFont val="Arial"/>
        <family val="2"/>
      </rPr>
      <t>Female</t>
    </r>
  </si>
  <si>
    <r>
      <rPr>
        <sz val="9"/>
        <color theme="1"/>
        <rFont val="Arial"/>
        <family val="2"/>
      </rPr>
      <t>PHILADELP</t>
    </r>
  </si>
  <si>
    <r>
      <rPr>
        <sz val="9"/>
        <color theme="1"/>
        <rFont val="Arial"/>
        <family val="2"/>
      </rPr>
      <t>WHEELING</t>
    </r>
  </si>
  <si>
    <r>
      <rPr>
        <sz val="9"/>
        <color theme="1"/>
        <rFont val="Arial"/>
        <family val="2"/>
      </rPr>
      <t>WHEELING</t>
    </r>
  </si>
  <si>
    <r>
      <rPr>
        <sz val="9"/>
        <color theme="1"/>
        <rFont val="Arial"/>
        <family val="2"/>
      </rPr>
      <t>PHILADELP</t>
    </r>
  </si>
  <si>
    <r>
      <rPr>
        <sz val="9"/>
        <color theme="1"/>
        <rFont val="Arial"/>
        <family val="2"/>
      </rPr>
      <t>Female</t>
    </r>
  </si>
  <si>
    <r>
      <rPr>
        <sz val="9"/>
        <color theme="1"/>
        <rFont val="Arial"/>
        <family val="2"/>
      </rPr>
      <t>PHILADELP</t>
    </r>
  </si>
  <si>
    <r>
      <rPr>
        <sz val="9"/>
        <color theme="1"/>
        <rFont val="Arial"/>
        <family val="2"/>
      </rPr>
      <t>PHILADELP</t>
    </r>
  </si>
  <si>
    <r>
      <rPr>
        <sz val="9"/>
        <color theme="1"/>
        <rFont val="Arial"/>
        <family val="2"/>
      </rPr>
      <t>PHILADELP</t>
    </r>
  </si>
  <si>
    <r>
      <rPr>
        <sz val="9"/>
        <color theme="1"/>
        <rFont val="Arial"/>
        <family val="2"/>
      </rPr>
      <t>Undetermined</t>
    </r>
  </si>
  <si>
    <r>
      <rPr>
        <sz val="9"/>
        <color theme="1"/>
        <rFont val="Arial"/>
        <family val="2"/>
      </rPr>
      <t>PHILADELP</t>
    </r>
  </si>
  <si>
    <r>
      <rPr>
        <sz val="9"/>
        <color theme="1"/>
        <rFont val="Arial"/>
        <family val="2"/>
      </rPr>
      <t>PHILADELP</t>
    </r>
  </si>
  <si>
    <r>
      <rPr>
        <sz val="9"/>
        <color theme="1"/>
        <rFont val="Arial"/>
        <family val="2"/>
      </rPr>
      <t>PHILADELP</t>
    </r>
  </si>
  <si>
    <r>
      <rPr>
        <sz val="9"/>
        <color theme="1"/>
        <rFont val="Arial"/>
        <family val="2"/>
      </rPr>
      <t>Undetermined</t>
    </r>
  </si>
  <si>
    <r>
      <rPr>
        <sz val="9"/>
        <color theme="1"/>
        <rFont val="Arial"/>
        <family val="2"/>
      </rPr>
      <t>PHILADELP</t>
    </r>
  </si>
  <si>
    <r>
      <rPr>
        <sz val="9"/>
        <color theme="1"/>
        <rFont val="Arial"/>
        <family val="2"/>
      </rPr>
      <t>PHILADELP</t>
    </r>
  </si>
  <si>
    <r>
      <rPr>
        <sz val="9"/>
        <color theme="1"/>
        <rFont val="Arial"/>
        <family val="2"/>
      </rPr>
      <t>OASES</t>
    </r>
  </si>
  <si>
    <r>
      <rPr>
        <sz val="9"/>
        <color theme="1"/>
        <rFont val="Arial"/>
        <family val="2"/>
      </rPr>
      <t>Male</t>
    </r>
  </si>
  <si>
    <r>
      <rPr>
        <sz val="9"/>
        <color theme="1"/>
        <rFont val="Arial"/>
        <family val="2"/>
      </rPr>
      <t>CRYSTAL G</t>
    </r>
  </si>
  <si>
    <r>
      <rPr>
        <sz val="9"/>
        <color theme="1"/>
        <rFont val="Arial"/>
        <family val="2"/>
      </rPr>
      <t>OASES</t>
    </r>
  </si>
  <si>
    <r>
      <rPr>
        <sz val="9"/>
        <color theme="1"/>
        <rFont val="Arial"/>
        <family val="2"/>
      </rPr>
      <t>OASES</t>
    </r>
  </si>
  <si>
    <r>
      <rPr>
        <sz val="9"/>
        <color theme="1"/>
        <rFont val="Arial"/>
        <family val="2"/>
      </rPr>
      <t>IND RIV R</t>
    </r>
  </si>
  <si>
    <r>
      <rPr>
        <sz val="9"/>
        <color theme="1"/>
        <rFont val="Arial"/>
        <family val="2"/>
      </rPr>
      <t>Female</t>
    </r>
  </si>
  <si>
    <r>
      <rPr>
        <sz val="9"/>
        <color theme="1"/>
        <rFont val="Arial"/>
        <family val="2"/>
      </rPr>
      <t>CRYSTAL G</t>
    </r>
  </si>
  <si>
    <r>
      <rPr>
        <sz val="9"/>
        <color theme="1"/>
        <rFont val="Arial"/>
        <family val="2"/>
      </rPr>
      <t>IND RIV R</t>
    </r>
  </si>
  <si>
    <r>
      <rPr>
        <sz val="9"/>
        <color theme="1"/>
        <rFont val="Arial"/>
        <family val="2"/>
      </rPr>
      <t>IND RIV R</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</si>
  <si>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</si>
  <si>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</si>
  <si>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</si>
  <si>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</si>
  <si>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HOUSTON</t>
    </r>
  </si>
  <si>
    <r>
      <rPr>
        <sz val="9"/>
        <color theme="1"/>
        <rFont val="Arial"/>
        <family val="2"/>
      </rPr>
      <t>Male</t>
    </r>
  </si>
  <si>
    <r>
      <rPr>
        <sz val="9"/>
        <color theme="1"/>
        <rFont val="Arial"/>
        <family val="2"/>
      </rPr>
      <t>CHICAGOBR</t>
    </r>
  </si>
  <si>
    <r>
      <rPr>
        <sz val="9"/>
        <color theme="1"/>
        <rFont val="Arial"/>
        <family val="2"/>
      </rPr>
      <t>HOUSTON</t>
    </r>
  </si>
  <si>
    <r>
      <rPr>
        <sz val="9"/>
        <color theme="1"/>
        <rFont val="Arial"/>
        <family val="2"/>
      </rPr>
      <t>HOUSTON</t>
    </r>
  </si>
  <si>
    <r>
      <rPr>
        <sz val="9"/>
        <color theme="1"/>
        <rFont val="Arial"/>
        <family val="2"/>
      </rPr>
      <t>CINCINNAT</t>
    </r>
  </si>
  <si>
    <r>
      <rPr>
        <sz val="9"/>
        <color theme="1"/>
        <rFont val="Arial"/>
        <family val="2"/>
      </rPr>
      <t>Female</t>
    </r>
  </si>
  <si>
    <r>
      <rPr>
        <sz val="9"/>
        <color theme="1"/>
        <rFont val="Arial"/>
        <family val="2"/>
      </rPr>
      <t>CHICAGOBR</t>
    </r>
  </si>
  <si>
    <r>
      <rPr>
        <sz val="9"/>
        <color theme="1"/>
        <rFont val="Arial"/>
        <family val="2"/>
      </rPr>
      <t>CINCINNAT</t>
    </r>
  </si>
  <si>
    <r>
      <rPr>
        <sz val="9"/>
        <color theme="1"/>
        <rFont val="Arial"/>
        <family val="2"/>
      </rPr>
      <t>CINCINNAT</t>
    </r>
  </si>
  <si>
    <r>
      <rPr>
        <sz val="9"/>
        <color theme="1"/>
        <rFont val="Arial"/>
        <family val="2"/>
      </rPr>
      <t>PHILADELP</t>
    </r>
  </si>
  <si>
    <r>
      <rPr>
        <sz val="9"/>
        <color theme="1"/>
        <rFont val="Arial"/>
        <family val="2"/>
      </rPr>
      <t>Female</t>
    </r>
  </si>
  <si>
    <r>
      <rPr>
        <sz val="9"/>
        <color theme="1"/>
        <rFont val="Arial"/>
        <family val="2"/>
      </rPr>
      <t>PHILADELP</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</si>
  <si>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</si>
  <si>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</si>
  <si>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</si>
  <si>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PHILADELP</t>
    </r>
  </si>
  <si>
    <r>
      <rPr>
        <sz val="9"/>
        <color theme="1"/>
        <rFont val="Arial"/>
        <family val="2"/>
      </rPr>
      <t>PHILADELP</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</si>
  <si>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</si>
  <si>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</si>
  <si>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</si>
  <si>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</si>
  <si>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SANDIEGOZ</t>
    </r>
  </si>
  <si>
    <r>
      <rPr>
        <sz val="9"/>
        <color theme="1"/>
        <rFont val="Arial"/>
        <family val="2"/>
      </rPr>
      <t>Male</t>
    </r>
  </si>
  <si>
    <r>
      <rPr>
        <sz val="9"/>
        <color theme="1"/>
        <rFont val="Arial"/>
        <family val="2"/>
      </rPr>
      <t>CHICAGOBR</t>
    </r>
  </si>
  <si>
    <r>
      <rPr>
        <sz val="9"/>
        <color theme="1"/>
        <rFont val="Arial"/>
        <family val="2"/>
      </rPr>
      <t>SANDIEGOZ</t>
    </r>
  </si>
  <si>
    <r>
      <rPr>
        <sz val="9"/>
        <color theme="1"/>
        <rFont val="Arial"/>
        <family val="2"/>
      </rPr>
      <t>SANDIEGOZ</t>
    </r>
  </si>
  <si>
    <r>
      <rPr>
        <sz val="9"/>
        <color theme="1"/>
        <rFont val="Arial"/>
        <family val="2"/>
      </rPr>
      <t>MEMPHIS</t>
    </r>
  </si>
  <si>
    <r>
      <rPr>
        <sz val="9"/>
        <color theme="1"/>
        <rFont val="Arial"/>
        <family val="2"/>
      </rPr>
      <t>Female</t>
    </r>
  </si>
  <si>
    <r>
      <rPr>
        <sz val="9"/>
        <color theme="1"/>
        <rFont val="Arial"/>
        <family val="2"/>
      </rPr>
      <t>CHICAGOBR</t>
    </r>
  </si>
  <si>
    <r>
      <rPr>
        <sz val="9"/>
        <color theme="1"/>
        <rFont val="Arial"/>
        <family val="2"/>
      </rPr>
      <t>MEMPHIS</t>
    </r>
  </si>
  <si>
    <r>
      <rPr>
        <sz val="9"/>
        <color theme="1"/>
        <rFont val="Arial"/>
        <family val="2"/>
      </rPr>
      <t>MEMPHIS</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</si>
  <si>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</si>
  <si>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</si>
  <si>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</si>
  <si>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</si>
  <si>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</si>
  <si>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</si>
  <si>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</si>
  <si>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</si>
  <si>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SEATTLE</t>
    </r>
  </si>
  <si>
    <r>
      <rPr>
        <sz val="9"/>
        <color theme="1"/>
        <rFont val="Arial"/>
        <family val="2"/>
      </rPr>
      <t>Male</t>
    </r>
  </si>
  <si>
    <r>
      <rPr>
        <sz val="9"/>
        <color theme="1"/>
        <rFont val="Arial"/>
        <family val="2"/>
      </rPr>
      <t>SEATTLE</t>
    </r>
  </si>
  <si>
    <r>
      <rPr>
        <sz val="9"/>
        <color theme="1"/>
        <rFont val="Arial"/>
        <family val="2"/>
      </rPr>
      <t>SEATTLE</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</si>
  <si>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</si>
  <si>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</si>
  <si>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</si>
  <si>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</si>
  <si>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SEATTLE</t>
    </r>
  </si>
  <si>
    <r>
      <rPr>
        <sz val="9"/>
        <color theme="1"/>
        <rFont val="Arial"/>
        <family val="2"/>
      </rPr>
      <t>Male</t>
    </r>
  </si>
  <si>
    <r>
      <rPr>
        <sz val="9"/>
        <color theme="1"/>
        <rFont val="Arial"/>
        <family val="2"/>
      </rPr>
      <t>DUKE PRIM</t>
    </r>
  </si>
  <si>
    <r>
      <rPr>
        <sz val="9"/>
        <color theme="1"/>
        <rFont val="Arial"/>
        <family val="2"/>
      </rPr>
      <t>SEATTLE</t>
    </r>
  </si>
  <si>
    <r>
      <rPr>
        <sz val="9"/>
        <color theme="1"/>
        <rFont val="Arial"/>
        <family val="2"/>
      </rPr>
      <t>OMAHA</t>
    </r>
  </si>
  <si>
    <r>
      <rPr>
        <sz val="9"/>
        <color theme="1"/>
        <rFont val="Arial"/>
        <family val="2"/>
      </rPr>
      <t>SEATTLE</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</si>
  <si>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</si>
  <si>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</si>
  <si>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</si>
  <si>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</si>
  <si>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MEMPHIS</t>
    </r>
  </si>
  <si>
    <r>
      <rPr>
        <sz val="9"/>
        <color theme="1"/>
        <rFont val="Arial"/>
        <family val="2"/>
      </rPr>
      <t>Male</t>
    </r>
  </si>
  <si>
    <r>
      <rPr>
        <sz val="9"/>
        <color theme="1"/>
        <rFont val="Arial"/>
        <family val="2"/>
      </rPr>
      <t>PHILADELP</t>
    </r>
  </si>
  <si>
    <r>
      <rPr>
        <sz val="9"/>
        <color theme="1"/>
        <rFont val="Arial"/>
        <family val="2"/>
      </rPr>
      <t>MEMPHIS</t>
    </r>
  </si>
  <si>
    <r>
      <rPr>
        <sz val="9"/>
        <color theme="1"/>
        <rFont val="Arial"/>
        <family val="2"/>
      </rPr>
      <t>MEMPHIS</t>
    </r>
  </si>
  <si>
    <r>
      <rPr>
        <sz val="9"/>
        <color theme="1"/>
        <rFont val="Arial"/>
        <family val="2"/>
      </rPr>
      <t>CHICAGOBR</t>
    </r>
  </si>
  <si>
    <r>
      <rPr>
        <sz val="9"/>
        <color theme="1"/>
        <rFont val="Arial"/>
        <family val="2"/>
      </rPr>
      <t>Female</t>
    </r>
  </si>
  <si>
    <r>
      <rPr>
        <sz val="9"/>
        <color theme="1"/>
        <rFont val="Arial"/>
        <family val="2"/>
      </rPr>
      <t>PHILADELP</t>
    </r>
  </si>
  <si>
    <r>
      <rPr>
        <sz val="9"/>
        <color theme="1"/>
        <rFont val="Arial"/>
        <family val="2"/>
      </rPr>
      <t>CHICAGOBR</t>
    </r>
  </si>
  <si>
    <r>
      <rPr>
        <sz val="9"/>
        <color theme="1"/>
        <rFont val="Arial"/>
        <family val="2"/>
      </rPr>
      <t>CINCINNAT</t>
    </r>
  </si>
  <si>
    <r>
      <rPr>
        <sz val="9"/>
        <color theme="1"/>
        <rFont val="Arial"/>
        <family val="2"/>
      </rPr>
      <t>CHICAGOBR</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</si>
  <si>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</si>
  <si>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</si>
  <si>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</si>
  <si>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</si>
  <si>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</si>
  <si>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</si>
  <si>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</si>
  <si>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CHICAGOBR</t>
    </r>
  </si>
  <si>
    <r>
      <rPr>
        <sz val="9"/>
        <color theme="1"/>
        <rFont val="Arial"/>
        <family val="2"/>
      </rPr>
      <t>CHICAGOBR</t>
    </r>
  </si>
  <si>
    <r>
      <rPr>
        <sz val="9"/>
        <color theme="1"/>
        <rFont val="Arial"/>
        <family val="2"/>
      </rPr>
      <t>Male</t>
    </r>
  </si>
  <si>
    <r>
      <rPr>
        <sz val="9"/>
        <color theme="1"/>
        <rFont val="Arial"/>
        <family val="2"/>
      </rPr>
      <t>CHICAGOBR</t>
    </r>
  </si>
  <si>
    <r>
      <rPr>
        <sz val="9"/>
        <color theme="1"/>
        <rFont val="Arial"/>
        <family val="2"/>
      </rPr>
      <t>CHICAGOBR</t>
    </r>
  </si>
  <si>
    <r>
      <rPr>
        <sz val="9"/>
        <color theme="1"/>
        <rFont val="Arial"/>
        <family val="2"/>
      </rPr>
      <t>CLEVELAND</t>
    </r>
  </si>
  <si>
    <r>
      <rPr>
        <sz val="9"/>
        <color theme="1"/>
        <rFont val="Arial"/>
        <family val="2"/>
      </rPr>
      <t>Female</t>
    </r>
  </si>
  <si>
    <r>
      <rPr>
        <sz val="9"/>
        <color theme="1"/>
        <rFont val="Arial"/>
        <family val="2"/>
      </rPr>
      <t>SEATTLE</t>
    </r>
  </si>
  <si>
    <r>
      <rPr>
        <sz val="9"/>
        <color theme="1"/>
        <rFont val="Arial"/>
        <family val="2"/>
      </rPr>
      <t>CLEVELAND</t>
    </r>
  </si>
  <si>
    <r>
      <rPr>
        <sz val="9"/>
        <color theme="1"/>
        <rFont val="Arial"/>
        <family val="2"/>
      </rPr>
      <t>OMAHA</t>
    </r>
  </si>
  <si>
    <r>
      <rPr>
        <sz val="9"/>
        <color theme="1"/>
        <rFont val="Arial"/>
        <family val="2"/>
      </rPr>
      <t>WILD WRLD</t>
    </r>
  </si>
  <si>
    <r>
      <rPr>
        <sz val="9"/>
        <color theme="1"/>
        <rFont val="Arial"/>
        <family val="2"/>
      </rPr>
      <t>CLEVELAND</t>
    </r>
  </si>
  <si>
    <r>
      <rPr>
        <sz val="9"/>
        <color theme="1"/>
        <rFont val="Arial"/>
        <family val="2"/>
      </rPr>
      <t>CHICAGOBR</t>
    </r>
  </si>
  <si>
    <r>
      <rPr>
        <sz val="9"/>
        <color theme="1"/>
        <rFont val="Arial"/>
        <family val="2"/>
      </rPr>
      <t>Male</t>
    </r>
  </si>
  <si>
    <r>
      <rPr>
        <sz val="9"/>
        <color theme="1"/>
        <rFont val="Arial"/>
        <family val="2"/>
      </rPr>
      <t>SEATTLE</t>
    </r>
  </si>
  <si>
    <r>
      <rPr>
        <sz val="9"/>
        <color theme="1"/>
        <rFont val="Arial"/>
        <family val="2"/>
      </rPr>
      <t>CHICAGOBR</t>
    </r>
  </si>
  <si>
    <r>
      <rPr>
        <sz val="9"/>
        <color theme="1"/>
        <rFont val="Arial"/>
        <family val="2"/>
      </rPr>
      <t>CHICAGOBR</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</si>
  <si>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</si>
  <si>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</si>
  <si>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</si>
  <si>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CHICAGOBR</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</si>
  <si>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</si>
  <si>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</si>
  <si>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</si>
  <si>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CHICAGOBR</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</si>
  <si>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</si>
  <si>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</si>
  <si>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</si>
  <si>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</si>
  <si>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CHICAGOBR</t>
    </r>
  </si>
  <si>
    <r>
      <rPr>
        <sz val="9"/>
        <color theme="1"/>
        <rFont val="Arial"/>
        <family val="2"/>
      </rPr>
      <t>Female</t>
    </r>
  </si>
  <si>
    <r>
      <rPr>
        <sz val="9"/>
        <color theme="1"/>
        <rFont val="Arial"/>
        <family val="2"/>
      </rPr>
      <t>SANDIEGOZ</t>
    </r>
  </si>
  <si>
    <r>
      <rPr>
        <sz val="9"/>
        <color theme="1"/>
        <rFont val="Arial"/>
        <family val="2"/>
      </rPr>
      <t>CHICAGOBR</t>
    </r>
  </si>
  <si>
    <r>
      <rPr>
        <sz val="9"/>
        <color theme="1"/>
        <rFont val="Arial"/>
        <family val="2"/>
      </rPr>
      <t>CHICAGOBR</t>
    </r>
  </si>
  <si>
    <r>
      <rPr>
        <sz val="9"/>
        <color theme="1"/>
        <rFont val="Arial"/>
        <family val="2"/>
      </rPr>
      <t>MOODY</t>
    </r>
  </si>
  <si>
    <r>
      <rPr>
        <sz val="9"/>
        <color theme="1"/>
        <rFont val="Arial"/>
        <family val="2"/>
      </rPr>
      <t>Male</t>
    </r>
  </si>
  <si>
    <r>
      <rPr>
        <sz val="9"/>
        <color theme="1"/>
        <rFont val="Arial"/>
        <family val="2"/>
      </rPr>
      <t>SANDIEGOZ</t>
    </r>
  </si>
  <si>
    <r>
      <rPr>
        <sz val="9"/>
        <color theme="1"/>
        <rFont val="Arial"/>
        <family val="2"/>
      </rPr>
      <t>MOODY</t>
    </r>
  </si>
  <si>
    <r>
      <rPr>
        <sz val="9"/>
        <color theme="1"/>
        <rFont val="Arial"/>
        <family val="2"/>
      </rPr>
      <t>WHEELING</t>
    </r>
  </si>
  <si>
    <r>
      <rPr>
        <sz val="9"/>
        <color theme="1"/>
        <rFont val="Arial"/>
        <family val="2"/>
      </rPr>
      <t>MOODY</t>
    </r>
  </si>
  <si>
    <r>
      <rPr>
        <sz val="9"/>
        <color theme="1"/>
        <rFont val="Arial"/>
        <family val="2"/>
      </rPr>
      <t>HOUSTON</t>
    </r>
  </si>
  <si>
    <r>
      <rPr>
        <sz val="9"/>
        <color theme="1"/>
        <rFont val="Arial"/>
        <family val="2"/>
      </rPr>
      <t>MOODY</t>
    </r>
  </si>
  <si>
    <r>
      <rPr>
        <sz val="9"/>
        <color theme="1"/>
        <rFont val="Arial"/>
        <family val="2"/>
      </rPr>
      <t>LITTLEROC</t>
    </r>
  </si>
  <si>
    <r>
      <rPr>
        <sz val="9"/>
        <color theme="1"/>
        <rFont val="Arial"/>
        <family val="2"/>
      </rPr>
      <t>Male</t>
    </r>
  </si>
  <si>
    <r>
      <rPr>
        <sz val="9"/>
        <color theme="1"/>
        <rFont val="Arial"/>
        <family val="2"/>
      </rPr>
      <t>SANDIEGOZ</t>
    </r>
  </si>
  <si>
    <r>
      <rPr>
        <sz val="9"/>
        <color theme="1"/>
        <rFont val="Arial"/>
        <family val="2"/>
      </rPr>
      <t>LITTLEROC</t>
    </r>
  </si>
  <si>
    <r>
      <rPr>
        <sz val="9"/>
        <color theme="1"/>
        <rFont val="Arial"/>
        <family val="2"/>
      </rPr>
      <t>LITTLEROC</t>
    </r>
  </si>
  <si>
    <r>
      <rPr>
        <sz val="9"/>
        <color theme="1"/>
        <rFont val="Arial"/>
        <family val="2"/>
      </rPr>
      <t>MINNESOTA</t>
    </r>
  </si>
  <si>
    <r>
      <rPr>
        <sz val="9"/>
        <color theme="1"/>
        <rFont val="Arial"/>
        <family val="2"/>
      </rPr>
      <t>Female</t>
    </r>
  </si>
  <si>
    <r>
      <rPr>
        <sz val="9"/>
        <color theme="1"/>
        <rFont val="Arial"/>
        <family val="2"/>
      </rPr>
      <t>DUKE PRIM</t>
    </r>
  </si>
  <si>
    <r>
      <rPr>
        <sz val="9"/>
        <color theme="1"/>
        <rFont val="Arial"/>
        <family val="2"/>
      </rPr>
      <t>MINNESOTA</t>
    </r>
  </si>
  <si>
    <r>
      <rPr>
        <sz val="9"/>
        <color theme="1"/>
        <rFont val="Arial"/>
        <family val="2"/>
      </rPr>
      <t>MINNESOTA</t>
    </r>
  </si>
  <si>
    <r>
      <rPr>
        <sz val="9"/>
        <color theme="1"/>
        <rFont val="Arial"/>
        <family val="2"/>
      </rPr>
      <t>LITTLEROC</t>
    </r>
  </si>
  <si>
    <r>
      <rPr>
        <sz val="9"/>
        <color theme="1"/>
        <rFont val="Arial"/>
        <family val="2"/>
      </rPr>
      <t>Female</t>
    </r>
  </si>
  <si>
    <r>
      <rPr>
        <sz val="9"/>
        <color theme="1"/>
        <rFont val="Arial"/>
        <family val="2"/>
      </rPr>
      <t>CHICAGOBR</t>
    </r>
  </si>
  <si>
    <r>
      <rPr>
        <sz val="9"/>
        <color theme="1"/>
        <rFont val="Arial"/>
        <family val="2"/>
      </rPr>
      <t>LITTLEROC</t>
    </r>
  </si>
  <si>
    <r>
      <rPr>
        <sz val="9"/>
        <color theme="1"/>
        <rFont val="Arial"/>
        <family val="2"/>
      </rPr>
      <t>LITTLEROC</t>
    </r>
  </si>
  <si>
    <r>
      <rPr>
        <sz val="9"/>
        <color theme="1"/>
        <rFont val="Arial"/>
        <family val="2"/>
      </rPr>
      <t>CINCINNAT</t>
    </r>
  </si>
  <si>
    <r>
      <rPr>
        <sz val="9"/>
        <color theme="1"/>
        <rFont val="Arial"/>
        <family val="2"/>
      </rPr>
      <t>NHN</t>
    </r>
  </si>
  <si>
    <r>
      <rPr>
        <sz val="9"/>
        <color theme="1"/>
        <rFont val="Arial"/>
        <family val="2"/>
      </rPr>
      <t>Male</t>
    </r>
  </si>
  <si>
    <r>
      <rPr>
        <sz val="9"/>
        <color theme="1"/>
        <rFont val="Arial"/>
        <family val="2"/>
      </rPr>
      <t>CHICAGOBR</t>
    </r>
  </si>
  <si>
    <r>
      <rPr>
        <sz val="9"/>
        <color theme="1"/>
        <rFont val="Arial"/>
        <family val="2"/>
      </rPr>
      <t>CINCINNAT</t>
    </r>
  </si>
  <si>
    <r>
      <rPr>
        <sz val="9"/>
        <color theme="1"/>
        <rFont val="Arial"/>
        <family val="2"/>
      </rPr>
      <t>PHILADELP</t>
    </r>
  </si>
  <si>
    <r>
      <rPr>
        <sz val="9"/>
        <color theme="1"/>
        <rFont val="Arial"/>
        <family val="2"/>
      </rPr>
      <t>Male</t>
    </r>
  </si>
  <si>
    <r>
      <rPr>
        <sz val="9"/>
        <color theme="1"/>
        <rFont val="Arial"/>
        <family val="2"/>
      </rPr>
      <t>PHILADELP</t>
    </r>
  </si>
  <si>
    <r>
      <rPr>
        <sz val="9"/>
        <color theme="1"/>
        <rFont val="Arial"/>
        <family val="2"/>
      </rPr>
      <t>PHILADELP</t>
    </r>
  </si>
  <si>
    <r>
      <rPr>
        <sz val="9"/>
        <color theme="1"/>
        <rFont val="Arial"/>
        <family val="2"/>
      </rPr>
      <t>ABQBIOPK</t>
    </r>
  </si>
  <si>
    <r>
      <rPr>
        <sz val="9"/>
        <color theme="1"/>
        <rFont val="Arial"/>
        <family val="2"/>
      </rPr>
      <t>M04030</t>
    </r>
  </si>
  <si>
    <r>
      <rPr>
        <sz val="9"/>
        <color theme="1"/>
        <rFont val="Arial"/>
        <family val="2"/>
      </rPr>
      <t>Male</t>
    </r>
  </si>
  <si>
    <r>
      <rPr>
        <sz val="9"/>
        <color theme="1"/>
        <rFont val="Arial"/>
        <family val="2"/>
      </rPr>
      <t>SANDIEGOZ</t>
    </r>
  </si>
  <si>
    <r>
      <rPr>
        <sz val="9"/>
        <color theme="1"/>
        <rFont val="Arial"/>
        <family val="2"/>
      </rPr>
      <t>ABQBIOPK</t>
    </r>
  </si>
  <si>
    <r>
      <rPr>
        <sz val="9"/>
        <color theme="1"/>
        <rFont val="Arial"/>
        <family val="2"/>
      </rPr>
      <t>ABQBIOPK</t>
    </r>
  </si>
  <si>
    <r>
      <rPr>
        <sz val="9"/>
        <color theme="1"/>
        <rFont val="Arial"/>
        <family val="2"/>
      </rPr>
      <t>COLUMBUS</t>
    </r>
  </si>
  <si>
    <r>
      <rPr>
        <sz val="9"/>
        <color theme="1"/>
        <rFont val="Arial"/>
        <family val="2"/>
      </rPr>
      <t>Female</t>
    </r>
  </si>
  <si>
    <r>
      <rPr>
        <sz val="9"/>
        <color theme="1"/>
        <rFont val="Arial"/>
        <family val="2"/>
      </rPr>
      <t>SANDIEGOZ</t>
    </r>
  </si>
  <si>
    <r>
      <rPr>
        <sz val="9"/>
        <color theme="1"/>
        <rFont val="Arial"/>
        <family val="2"/>
      </rPr>
      <t>COLUMBUS</t>
    </r>
  </si>
  <si>
    <r>
      <rPr>
        <sz val="9"/>
        <color theme="1"/>
        <rFont val="Arial"/>
        <family val="2"/>
      </rPr>
      <t>EL PASO</t>
    </r>
  </si>
  <si>
    <r>
      <rPr>
        <sz val="9"/>
        <color theme="1"/>
        <rFont val="Arial"/>
        <family val="2"/>
      </rPr>
      <t>COLUMBUS</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</si>
  <si>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</si>
  <si>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</si>
  <si>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</si>
  <si>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</si>
  <si>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</si>
  <si>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</si>
  <si>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</si>
  <si>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</si>
  <si>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</si>
  <si>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</si>
  <si>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</si>
  <si>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</si>
  <si>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SD-WAP</t>
    </r>
  </si>
  <si>
    <r>
      <rPr>
        <sz val="9"/>
        <color theme="1"/>
        <rFont val="Arial"/>
        <family val="2"/>
      </rPr>
      <t>SANDIEGOZ</t>
    </r>
  </si>
  <si>
    <r>
      <rPr>
        <sz val="9"/>
        <color theme="1"/>
        <rFont val="Arial"/>
        <family val="2"/>
      </rPr>
      <t>SEATTLE</t>
    </r>
  </si>
  <si>
    <r>
      <rPr>
        <sz val="9"/>
        <color theme="1"/>
        <rFont val="Arial"/>
        <family val="2"/>
      </rPr>
      <t>SANDIEGOZ</t>
    </r>
  </si>
  <si>
    <r>
      <rPr>
        <sz val="9"/>
        <color theme="1"/>
        <rFont val="Arial"/>
        <family val="2"/>
      </rPr>
      <t>SEATTLE</t>
    </r>
  </si>
  <si>
    <r>
      <rPr>
        <sz val="9"/>
        <color theme="1"/>
        <rFont val="Arial"/>
        <family val="2"/>
      </rPr>
      <t>Undetermined</t>
    </r>
  </si>
  <si>
    <r>
      <rPr>
        <sz val="9"/>
        <color theme="1"/>
        <rFont val="Arial"/>
        <family val="2"/>
      </rPr>
      <t>SEATTLE</t>
    </r>
  </si>
  <si>
    <r>
      <rPr>
        <sz val="9"/>
        <color theme="1"/>
        <rFont val="Arial"/>
        <family val="2"/>
      </rPr>
      <t>SEATTLE</t>
    </r>
  </si>
  <si>
    <r>
      <rPr>
        <sz val="9"/>
        <color theme="1"/>
        <rFont val="Arial"/>
        <family val="2"/>
      </rPr>
      <t>SEATTLE</t>
    </r>
  </si>
  <si>
    <r>
      <rPr>
        <sz val="9"/>
        <color theme="1"/>
        <rFont val="Arial"/>
        <family val="2"/>
      </rPr>
      <t>Undetermined</t>
    </r>
  </si>
  <si>
    <r>
      <rPr>
        <sz val="9"/>
        <color theme="1"/>
        <rFont val="Arial"/>
        <family val="2"/>
      </rPr>
      <t>SEATTLE</t>
    </r>
  </si>
  <si>
    <r>
      <rPr>
        <sz val="9"/>
        <color theme="1"/>
        <rFont val="Arial"/>
        <family val="2"/>
      </rPr>
      <t>SEATTLE</t>
    </r>
  </si>
  <si>
    <r>
      <rPr>
        <sz val="9"/>
        <color theme="1"/>
        <rFont val="Arial"/>
        <family val="2"/>
      </rPr>
      <t>CLEVELAND</t>
    </r>
  </si>
  <si>
    <r>
      <rPr>
        <sz val="9"/>
        <color theme="1"/>
        <rFont val="Arial"/>
        <family val="2"/>
      </rPr>
      <t>Male</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</si>
  <si>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</si>
  <si>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</si>
  <si>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</si>
  <si>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Female</t>
    </r>
  </si>
  <si>
    <r>
      <rPr>
        <sz val="9"/>
        <color theme="1"/>
        <rFont val="Arial"/>
        <family val="2"/>
      </rPr>
      <t>CLEVELAND</t>
    </r>
  </si>
  <si>
    <r>
      <rPr>
        <sz val="9"/>
        <color theme="1"/>
        <rFont val="Arial"/>
        <family val="2"/>
      </rPr>
      <t>CLEVELAND</t>
    </r>
  </si>
  <si>
    <r>
      <rPr>
        <sz val="9"/>
        <color theme="1"/>
        <rFont val="Arial"/>
        <family val="2"/>
      </rPr>
      <t>PUEBLO</t>
    </r>
  </si>
  <si>
    <r>
      <rPr>
        <sz val="9"/>
        <color theme="1"/>
        <rFont val="Arial"/>
        <family val="2"/>
      </rPr>
      <t>Male</t>
    </r>
  </si>
  <si>
    <r>
      <rPr>
        <sz val="9"/>
        <color theme="1"/>
        <rFont val="Arial"/>
        <family val="2"/>
      </rPr>
      <t>PUEBLO</t>
    </r>
  </si>
  <si>
    <r>
      <rPr>
        <sz val="9"/>
        <color theme="1"/>
        <rFont val="Arial"/>
        <family val="2"/>
      </rPr>
      <t>PUEBLO</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</si>
  <si>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</si>
  <si>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</si>
  <si>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</si>
  <si>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</si>
  <si>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SEATTLE</t>
    </r>
  </si>
  <si>
    <r>
      <rPr>
        <sz val="9"/>
        <color theme="1"/>
        <rFont val="Arial"/>
        <family val="2"/>
      </rPr>
      <t>SANDIEGOZ</t>
    </r>
  </si>
  <si>
    <r>
      <rPr>
        <sz val="9"/>
        <color theme="1"/>
        <rFont val="Arial"/>
        <family val="2"/>
      </rPr>
      <t>CHICAGOLP</t>
    </r>
  </si>
  <si>
    <r>
      <rPr>
        <sz val="9"/>
        <color theme="1"/>
        <rFont val="Arial"/>
        <family val="2"/>
      </rPr>
      <t>Male</t>
    </r>
  </si>
  <si>
    <r>
      <rPr>
        <sz val="9"/>
        <color theme="1"/>
        <rFont val="Arial"/>
        <family val="2"/>
      </rPr>
      <t>SANDIEGOZ</t>
    </r>
  </si>
  <si>
    <r>
      <rPr>
        <sz val="9"/>
        <color theme="1"/>
        <rFont val="Arial"/>
        <family val="2"/>
      </rPr>
      <t>CHICAGOLP</t>
    </r>
  </si>
  <si>
    <r>
      <rPr>
        <sz val="9"/>
        <color theme="1"/>
        <rFont val="Arial"/>
        <family val="2"/>
      </rPr>
      <t>CHICAGOLP</t>
    </r>
  </si>
  <si>
    <r>
      <rPr>
        <sz val="9"/>
        <color theme="1"/>
        <rFont val="Arial"/>
        <family val="2"/>
      </rPr>
      <t>OMAHA</t>
    </r>
  </si>
  <si>
    <r>
      <rPr>
        <sz val="9"/>
        <color theme="1"/>
        <rFont val="Arial"/>
        <family val="2"/>
      </rPr>
      <t>Female</t>
    </r>
  </si>
  <si>
    <r>
      <rPr>
        <sz val="9"/>
        <color theme="1"/>
        <rFont val="Arial"/>
        <family val="2"/>
      </rPr>
      <t>OMAHA</t>
    </r>
  </si>
  <si>
    <r>
      <rPr>
        <sz val="9"/>
        <color theme="1"/>
        <rFont val="Arial"/>
        <family val="2"/>
      </rPr>
      <t>OMAHA</t>
    </r>
  </si>
  <si>
    <r>
      <rPr>
        <sz val="9"/>
        <color theme="1"/>
        <rFont val="Arial"/>
        <family val="2"/>
      </rPr>
      <t>OMAHA</t>
    </r>
  </si>
  <si>
    <r>
      <rPr>
        <sz val="9"/>
        <color theme="1"/>
        <rFont val="Arial"/>
        <family val="2"/>
      </rPr>
      <t>Female</t>
    </r>
  </si>
  <si>
    <r>
      <rPr>
        <sz val="9"/>
        <color theme="1"/>
        <rFont val="Arial"/>
        <family val="2"/>
      </rPr>
      <t>OMAHA</t>
    </r>
  </si>
  <si>
    <r>
      <rPr>
        <sz val="9"/>
        <color theme="1"/>
        <rFont val="Arial"/>
        <family val="2"/>
      </rPr>
      <t>OMAHA</t>
    </r>
  </si>
  <si>
    <r>
      <rPr>
        <sz val="9"/>
        <color theme="1"/>
        <rFont val="Arial"/>
        <family val="2"/>
      </rPr>
      <t>MOODY</t>
    </r>
  </si>
  <si>
    <r>
      <rPr>
        <sz val="9"/>
        <color theme="1"/>
        <rFont val="Arial"/>
        <family val="2"/>
      </rPr>
      <t>Female</t>
    </r>
  </si>
  <si>
    <r>
      <rPr>
        <sz val="9"/>
        <color theme="1"/>
        <rFont val="Arial"/>
        <family val="2"/>
      </rPr>
      <t>SANDIEGOZ</t>
    </r>
  </si>
  <si>
    <r>
      <rPr>
        <sz val="9"/>
        <color theme="1"/>
        <rFont val="Arial"/>
        <family val="2"/>
      </rPr>
      <t>MOODY</t>
    </r>
  </si>
  <si>
    <r>
      <rPr>
        <sz val="9"/>
        <color theme="1"/>
        <rFont val="Arial"/>
        <family val="2"/>
      </rPr>
      <t>WHEELING</t>
    </r>
  </si>
  <si>
    <r>
      <rPr>
        <sz val="9"/>
        <color theme="1"/>
        <rFont val="Arial"/>
        <family val="2"/>
      </rPr>
      <t>MOODY</t>
    </r>
  </si>
  <si>
    <r>
      <rPr>
        <sz val="9"/>
        <color theme="1"/>
        <rFont val="Arial"/>
        <family val="2"/>
      </rPr>
      <t>HOUSTON</t>
    </r>
  </si>
  <si>
    <r>
      <rPr>
        <sz val="9"/>
        <color theme="1"/>
        <rFont val="Arial"/>
        <family val="2"/>
      </rPr>
      <t>MOODY</t>
    </r>
  </si>
  <si>
    <r>
      <rPr>
        <sz val="9"/>
        <color theme="1"/>
        <rFont val="Arial"/>
        <family val="2"/>
      </rPr>
      <t>SANDIEGOZ</t>
    </r>
  </si>
  <si>
    <r>
      <rPr>
        <sz val="9"/>
        <color theme="1"/>
        <rFont val="Arial"/>
        <family val="2"/>
      </rPr>
      <t>Female</t>
    </r>
  </si>
  <si>
    <r>
      <rPr>
        <sz val="9"/>
        <color theme="1"/>
        <rFont val="Arial"/>
        <family val="2"/>
      </rPr>
      <t>SANDIEGOZ</t>
    </r>
  </si>
  <si>
    <r>
      <rPr>
        <sz val="9"/>
        <color theme="1"/>
        <rFont val="Arial"/>
        <family val="2"/>
      </rPr>
      <t>SANDIEGOZ</t>
    </r>
  </si>
  <si>
    <r>
      <rPr>
        <sz val="9"/>
        <color theme="1"/>
        <rFont val="Arial"/>
        <family val="2"/>
      </rPr>
      <t>CHICAGOBR</t>
    </r>
  </si>
  <si>
    <r>
      <rPr>
        <sz val="9"/>
        <color theme="1"/>
        <rFont val="Arial"/>
        <family val="2"/>
      </rPr>
      <t>Male</t>
    </r>
  </si>
  <si>
    <r>
      <rPr>
        <sz val="9"/>
        <color theme="1"/>
        <rFont val="Arial"/>
        <family val="2"/>
      </rPr>
      <t>CHICAGOBR</t>
    </r>
  </si>
  <si>
    <r>
      <rPr>
        <sz val="9"/>
        <color theme="1"/>
        <rFont val="Arial"/>
        <family val="2"/>
      </rPr>
      <t>CHICAGOBR</t>
    </r>
  </si>
  <si>
    <r>
      <rPr>
        <sz val="9"/>
        <color theme="1"/>
        <rFont val="Arial"/>
        <family val="2"/>
      </rPr>
      <t>CHICAGOBR</t>
    </r>
  </si>
  <si>
    <r>
      <rPr>
        <sz val="9"/>
        <color theme="1"/>
        <rFont val="Arial"/>
        <family val="2"/>
      </rPr>
      <t>Male</t>
    </r>
  </si>
  <si>
    <r>
      <rPr>
        <sz val="9"/>
        <color theme="1"/>
        <rFont val="Arial"/>
        <family val="2"/>
      </rPr>
      <t>CHICAGOBR</t>
    </r>
  </si>
  <si>
    <r>
      <rPr>
        <sz val="9"/>
        <color theme="1"/>
        <rFont val="Arial"/>
        <family val="2"/>
      </rPr>
      <t>CHICAGOBR</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</si>
  <si>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</si>
  <si>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</si>
  <si>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</si>
  <si>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</si>
  <si>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PUEBLO</t>
    </r>
  </si>
  <si>
    <r>
      <rPr>
        <sz val="9"/>
        <color theme="1"/>
        <rFont val="Arial"/>
        <family val="2"/>
      </rPr>
      <t>Male</t>
    </r>
  </si>
  <si>
    <r>
      <rPr>
        <sz val="9"/>
        <color theme="1"/>
        <rFont val="Arial"/>
        <family val="2"/>
      </rPr>
      <t>PUEBLO</t>
    </r>
  </si>
  <si>
    <r>
      <rPr>
        <sz val="9"/>
        <color theme="1"/>
        <rFont val="Arial"/>
        <family val="2"/>
      </rPr>
      <t>PUEBLO</t>
    </r>
  </si>
  <si>
    <r>
      <rPr>
        <sz val="9"/>
        <color theme="1"/>
        <rFont val="Arial"/>
        <family val="2"/>
      </rPr>
      <t>CLEVELAND</t>
    </r>
  </si>
  <si>
    <r>
      <rPr>
        <sz val="9"/>
        <color theme="1"/>
        <rFont val="Arial"/>
        <family val="2"/>
      </rPr>
      <t>M40613</t>
    </r>
  </si>
  <si>
    <r>
      <rPr>
        <sz val="9"/>
        <color theme="1"/>
        <rFont val="Arial"/>
        <family val="2"/>
      </rPr>
      <t>Male</t>
    </r>
  </si>
  <si>
    <r>
      <rPr>
        <sz val="9"/>
        <color theme="1"/>
        <rFont val="Arial"/>
        <family val="2"/>
      </rPr>
      <t>PUEBLO</t>
    </r>
  </si>
  <si>
    <r>
      <rPr>
        <sz val="9"/>
        <color theme="1"/>
        <rFont val="Arial"/>
        <family val="2"/>
      </rPr>
      <t>CLEVELAND</t>
    </r>
  </si>
  <si>
    <r>
      <rPr>
        <sz val="9"/>
        <color theme="1"/>
        <rFont val="Arial"/>
        <family val="2"/>
      </rPr>
      <t>CLEVELAND</t>
    </r>
  </si>
  <si>
    <r>
      <rPr>
        <sz val="9"/>
        <color theme="1"/>
        <rFont val="Arial"/>
        <family val="2"/>
      </rPr>
      <t>KOLN</t>
    </r>
  </si>
  <si>
    <r>
      <rPr>
        <sz val="9"/>
        <color theme="1"/>
        <rFont val="Arial"/>
        <family val="2"/>
      </rPr>
      <t>Male</t>
    </r>
  </si>
  <si>
    <r>
      <rPr>
        <sz val="9"/>
        <color theme="1"/>
        <rFont val="Arial"/>
        <family val="2"/>
      </rPr>
      <t>UND</t>
    </r>
  </si>
  <si>
    <r>
      <rPr>
        <sz val="9"/>
        <color theme="1"/>
        <rFont val="Arial"/>
        <family val="2"/>
      </rPr>
      <t>IRCHEL</t>
    </r>
  </si>
  <si>
    <r>
      <rPr>
        <sz val="9"/>
        <color theme="1"/>
        <rFont val="Arial"/>
        <family val="2"/>
      </rPr>
      <t>KOLN</t>
    </r>
  </si>
  <si>
    <r>
      <rPr>
        <sz val="9"/>
        <color theme="1"/>
        <rFont val="Arial"/>
        <family val="2"/>
      </rPr>
      <t>FRANKFURT</t>
    </r>
  </si>
  <si>
    <r>
      <rPr>
        <sz val="9"/>
        <color theme="1"/>
        <rFont val="Arial"/>
        <family val="2"/>
      </rPr>
      <t>KOLN</t>
    </r>
  </si>
  <si>
    <r>
      <rPr>
        <sz val="9"/>
        <color theme="1"/>
        <rFont val="Arial"/>
        <family val="2"/>
      </rPr>
      <t>MINNESOTA</t>
    </r>
  </si>
  <si>
    <r>
      <rPr>
        <sz val="9"/>
        <color theme="1"/>
        <rFont val="Arial"/>
        <family val="2"/>
      </rPr>
      <t>Male</t>
    </r>
  </si>
  <si>
    <r>
      <rPr>
        <sz val="9"/>
        <color theme="1"/>
        <rFont val="Arial"/>
        <family val="2"/>
      </rPr>
      <t>FRANKFURT</t>
    </r>
  </si>
  <si>
    <r>
      <rPr>
        <sz val="9"/>
        <color theme="1"/>
        <rFont val="Arial"/>
        <family val="2"/>
      </rPr>
      <t>MINNESOTA</t>
    </r>
  </si>
  <si>
    <r>
      <rPr>
        <sz val="9"/>
        <color theme="1"/>
        <rFont val="Arial"/>
        <family val="2"/>
      </rPr>
      <t>COLUMBUS</t>
    </r>
  </si>
  <si>
    <r>
      <rPr>
        <sz val="9"/>
        <color theme="1"/>
        <rFont val="Arial"/>
        <family val="2"/>
      </rPr>
      <t>MINNESOTA</t>
    </r>
  </si>
  <si>
    <r>
      <rPr>
        <sz val="9"/>
        <color theme="1"/>
        <rFont val="Arial"/>
        <family val="2"/>
      </rPr>
      <t>COLUMBUS</t>
    </r>
  </si>
  <si>
    <r>
      <rPr>
        <sz val="9"/>
        <color theme="1"/>
        <rFont val="Arial"/>
        <family val="2"/>
      </rPr>
      <t>Female</t>
    </r>
  </si>
  <si>
    <r>
      <rPr>
        <sz val="9"/>
        <color theme="1"/>
        <rFont val="Arial"/>
        <family val="2"/>
      </rPr>
      <t>FRANKFURT</t>
    </r>
  </si>
  <si>
    <r>
      <rPr>
        <sz val="9"/>
        <color theme="1"/>
        <rFont val="Arial"/>
        <family val="2"/>
      </rPr>
      <t>COLUMBUS</t>
    </r>
  </si>
  <si>
    <r>
      <rPr>
        <sz val="9"/>
        <color theme="1"/>
        <rFont val="Arial"/>
        <family val="2"/>
      </rPr>
      <t>COLUMBUS</t>
    </r>
  </si>
  <si>
    <r>
      <rPr>
        <sz val="9"/>
        <color theme="1"/>
        <rFont val="Arial"/>
        <family val="2"/>
      </rPr>
      <t>PUEBLO</t>
    </r>
  </si>
  <si>
    <r>
      <rPr>
        <sz val="9"/>
        <color theme="1"/>
        <rFont val="Arial"/>
        <family val="2"/>
      </rPr>
      <t>M21002</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</si>
  <si>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</si>
  <si>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</si>
  <si>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</si>
  <si>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PUEBLO</t>
    </r>
  </si>
  <si>
    <r>
      <rPr>
        <sz val="9"/>
        <color theme="1"/>
        <rFont val="Arial"/>
        <family val="2"/>
      </rPr>
      <t>M21003</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</si>
  <si>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</si>
  <si>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</si>
  <si>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</si>
  <si>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DUKE PRIM</t>
    </r>
  </si>
  <si>
    <r>
      <rPr>
        <sz val="9"/>
        <color theme="1"/>
        <rFont val="Arial"/>
        <family val="2"/>
      </rPr>
      <t>Undetermined</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</si>
  <si>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</si>
  <si>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</si>
  <si>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</si>
  <si>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Undetermined</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</si>
  <si>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</si>
  <si>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</si>
  <si>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</si>
  <si>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Undetermined</t>
    </r>
  </si>
  <si>
    <r>
      <rPr>
        <sz val="9"/>
        <color theme="1"/>
        <rFont val="Arial"/>
        <family val="2"/>
      </rPr>
      <t>DUKE PRIM</t>
    </r>
  </si>
  <si>
    <r>
      <rPr>
        <sz val="9"/>
        <color theme="1"/>
        <rFont val="Arial"/>
        <family val="2"/>
      </rPr>
      <t>DUKE PRIM</t>
    </r>
  </si>
  <si>
    <r>
      <rPr>
        <sz val="9"/>
        <color theme="1"/>
        <rFont val="Arial"/>
        <family val="2"/>
      </rPr>
      <t>EVANSVLLE</t>
    </r>
  </si>
  <si>
    <r>
      <rPr>
        <sz val="9"/>
        <color theme="1"/>
        <rFont val="Arial"/>
        <family val="2"/>
      </rPr>
      <t>Female</t>
    </r>
  </si>
  <si>
    <r>
      <rPr>
        <sz val="9"/>
        <color theme="1"/>
        <rFont val="Arial"/>
        <family val="2"/>
      </rPr>
      <t>MINNESOTA</t>
    </r>
  </si>
  <si>
    <r>
      <rPr>
        <sz val="9"/>
        <color theme="1"/>
        <rFont val="Arial"/>
        <family val="2"/>
      </rPr>
      <t>EVANSVLLE</t>
    </r>
  </si>
  <si>
    <r>
      <rPr>
        <sz val="9"/>
        <color theme="1"/>
        <rFont val="Arial"/>
        <family val="2"/>
      </rPr>
      <t>EVANSVLLE</t>
    </r>
  </si>
  <si>
    <r>
      <rPr>
        <sz val="9"/>
        <color theme="1"/>
        <rFont val="Arial"/>
        <family val="2"/>
      </rPr>
      <t>MINNESOTA</t>
    </r>
  </si>
  <si>
    <r>
      <rPr>
        <sz val="9"/>
        <color theme="1"/>
        <rFont val="Arial"/>
        <family val="2"/>
      </rPr>
      <t>Undetermined</t>
    </r>
  </si>
  <si>
    <r>
      <rPr>
        <sz val="9"/>
        <color theme="1"/>
        <rFont val="Arial"/>
        <family val="2"/>
      </rPr>
      <t>MINNESOTA</t>
    </r>
  </si>
  <si>
    <r>
      <rPr>
        <sz val="9"/>
        <color theme="1"/>
        <rFont val="Arial"/>
        <family val="2"/>
      </rPr>
      <t>MINNESOTA</t>
    </r>
  </si>
  <si>
    <r>
      <rPr>
        <sz val="9"/>
        <color theme="1"/>
        <rFont val="Arial"/>
        <family val="2"/>
      </rPr>
      <t>AKRON</t>
    </r>
  </si>
  <si>
    <r>
      <rPr>
        <sz val="9"/>
        <color theme="1"/>
        <rFont val="Arial"/>
        <family val="2"/>
      </rPr>
      <t>Female</t>
    </r>
  </si>
  <si>
    <r>
      <rPr>
        <sz val="9"/>
        <color theme="1"/>
        <rFont val="Arial"/>
        <family val="2"/>
      </rPr>
      <t>MINNESOTA</t>
    </r>
  </si>
  <si>
    <r>
      <rPr>
        <sz val="9"/>
        <color theme="1"/>
        <rFont val="Arial"/>
        <family val="2"/>
      </rPr>
      <t>AKRON</t>
    </r>
  </si>
  <si>
    <r>
      <rPr>
        <sz val="9"/>
        <color theme="1"/>
        <rFont val="Arial"/>
        <family val="2"/>
      </rPr>
      <t>AKRON</t>
    </r>
  </si>
  <si>
    <r>
      <rPr>
        <sz val="9"/>
        <color theme="1"/>
        <rFont val="Arial"/>
        <family val="2"/>
      </rPr>
      <t>GARDENCTY</t>
    </r>
  </si>
  <si>
    <r>
      <rPr>
        <sz val="9"/>
        <color theme="1"/>
        <rFont val="Arial"/>
        <family val="2"/>
      </rPr>
      <t>Male</t>
    </r>
  </si>
  <si>
    <r>
      <rPr>
        <sz val="9"/>
        <color theme="1"/>
        <rFont val="Arial"/>
        <family val="2"/>
      </rPr>
      <t>SEATTLE</t>
    </r>
  </si>
  <si>
    <r>
      <rPr>
        <sz val="9"/>
        <color theme="1"/>
        <rFont val="Arial"/>
        <family val="2"/>
      </rPr>
      <t>GARDENCTY</t>
    </r>
  </si>
  <si>
    <r>
      <rPr>
        <sz val="9"/>
        <color theme="1"/>
        <rFont val="Arial"/>
        <family val="2"/>
      </rPr>
      <t>OMAHA</t>
    </r>
  </si>
  <si>
    <r>
      <rPr>
        <sz val="9"/>
        <color theme="1"/>
        <rFont val="Arial"/>
        <family val="2"/>
      </rPr>
      <t>GARDENCTY</t>
    </r>
  </si>
  <si>
    <r>
      <rPr>
        <sz val="9"/>
        <color theme="1"/>
        <rFont val="Arial"/>
        <family val="2"/>
      </rPr>
      <t>OMAHA</t>
    </r>
  </si>
  <si>
    <r>
      <rPr>
        <sz val="9"/>
        <color theme="1"/>
        <rFont val="Arial"/>
        <family val="2"/>
      </rPr>
      <t>Female</t>
    </r>
  </si>
  <si>
    <r>
      <rPr>
        <sz val="9"/>
        <color theme="1"/>
        <rFont val="Arial"/>
        <family val="2"/>
      </rPr>
      <t>SEATTLE</t>
    </r>
  </si>
  <si>
    <r>
      <rPr>
        <sz val="9"/>
        <color theme="1"/>
        <rFont val="Arial"/>
        <family val="2"/>
      </rPr>
      <t>OMAHA</t>
    </r>
  </si>
  <si>
    <r>
      <rPr>
        <sz val="9"/>
        <color theme="1"/>
        <rFont val="Arial"/>
        <family val="2"/>
      </rPr>
      <t>ABQBIOPK</t>
    </r>
  </si>
  <si>
    <r>
      <rPr>
        <sz val="9"/>
        <color theme="1"/>
        <rFont val="Arial"/>
        <family val="2"/>
      </rPr>
      <t>CLEVELAND</t>
    </r>
  </si>
  <si>
    <r>
      <rPr>
        <sz val="9"/>
        <color theme="1"/>
        <rFont val="Arial"/>
        <family val="2"/>
      </rPr>
      <t>OMAHA</t>
    </r>
  </si>
  <si>
    <r>
      <rPr>
        <sz val="9"/>
        <color theme="1"/>
        <rFont val="Arial"/>
        <family val="2"/>
      </rPr>
      <t>BOWMANVIL</t>
    </r>
  </si>
  <si>
    <r>
      <rPr>
        <sz val="9"/>
        <color theme="1"/>
        <rFont val="Arial"/>
        <family val="2"/>
      </rPr>
      <t>L08010</t>
    </r>
  </si>
  <si>
    <r>
      <rPr>
        <sz val="9"/>
        <color theme="1"/>
        <rFont val="Arial"/>
        <family val="2"/>
      </rPr>
      <t>Female</t>
    </r>
  </si>
  <si>
    <r>
      <rPr>
        <sz val="9"/>
        <color theme="1"/>
        <rFont val="Arial"/>
        <family val="2"/>
      </rPr>
      <t>CALGARY</t>
    </r>
  </si>
  <si>
    <r>
      <rPr>
        <sz val="9"/>
        <color theme="1"/>
        <rFont val="Arial"/>
        <family val="2"/>
      </rPr>
      <t>BOWMANVIL</t>
    </r>
  </si>
  <si>
    <r>
      <rPr>
        <sz val="9"/>
        <color theme="1"/>
        <rFont val="Arial"/>
        <family val="2"/>
      </rPr>
      <t>CRYSTAL G</t>
    </r>
  </si>
  <si>
    <r>
      <rPr>
        <sz val="9"/>
        <color theme="1"/>
        <rFont val="Arial"/>
        <family val="2"/>
      </rPr>
      <t>OASES</t>
    </r>
  </si>
  <si>
    <r>
      <rPr>
        <sz val="9"/>
        <color theme="1"/>
        <rFont val="Arial"/>
        <family val="2"/>
      </rPr>
      <t>LANGLEY</t>
    </r>
  </si>
  <si>
    <r>
      <rPr>
        <sz val="9"/>
        <color theme="1"/>
        <rFont val="Arial"/>
        <family val="2"/>
      </rPr>
      <t>BOWMANVIL</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</si>
  <si>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</si>
  <si>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</si>
  <si>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</si>
  <si>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</si>
  <si>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</si>
  <si>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</si>
  <si>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</si>
  <si>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</si>
  <si>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AKRON</t>
    </r>
  </si>
  <si>
    <r>
      <rPr>
        <sz val="9"/>
        <color theme="1"/>
        <rFont val="Arial"/>
        <family val="2"/>
      </rPr>
      <t>Male</t>
    </r>
  </si>
  <si>
    <r>
      <rPr>
        <sz val="9"/>
        <color theme="1"/>
        <rFont val="Arial"/>
        <family val="2"/>
      </rPr>
      <t>SANDIEGOZ</t>
    </r>
  </si>
  <si>
    <r>
      <rPr>
        <sz val="9"/>
        <color theme="1"/>
        <rFont val="Arial"/>
        <family val="2"/>
      </rPr>
      <t>AKRON</t>
    </r>
  </si>
  <si>
    <r>
      <rPr>
        <sz val="9"/>
        <color theme="1"/>
        <rFont val="Arial"/>
        <family val="2"/>
      </rPr>
      <t>AKRON</t>
    </r>
  </si>
  <si>
    <r>
      <rPr>
        <sz val="9"/>
        <color theme="1"/>
        <rFont val="Arial"/>
        <family val="2"/>
      </rPr>
      <t>ATTLEBORO</t>
    </r>
  </si>
  <si>
    <r>
      <rPr>
        <sz val="9"/>
        <color theme="1"/>
        <rFont val="Arial"/>
        <family val="2"/>
      </rPr>
      <t>Male</t>
    </r>
  </si>
  <si>
    <r>
      <rPr>
        <sz val="9"/>
        <color theme="1"/>
        <rFont val="Arial"/>
        <family val="2"/>
      </rPr>
      <t>SANDIEGOZ</t>
    </r>
  </si>
  <si>
    <r>
      <rPr>
        <sz val="9"/>
        <color theme="1"/>
        <rFont val="Arial"/>
        <family val="2"/>
      </rPr>
      <t>ATTLEBORO</t>
    </r>
  </si>
  <si>
    <r>
      <rPr>
        <sz val="9"/>
        <color theme="1"/>
        <rFont val="Arial"/>
        <family val="2"/>
      </rPr>
      <t>ATTLEBORO</t>
    </r>
  </si>
  <si>
    <r>
      <rPr>
        <sz val="9"/>
        <color theme="1"/>
        <rFont val="Arial"/>
        <family val="2"/>
      </rPr>
      <t>PUEBLO</t>
    </r>
  </si>
  <si>
    <r>
      <rPr>
        <sz val="9"/>
        <color theme="1"/>
        <rFont val="Arial"/>
        <family val="2"/>
      </rPr>
      <t>M22006</t>
    </r>
  </si>
  <si>
    <r>
      <rPr>
        <sz val="9"/>
        <color theme="1"/>
        <rFont val="Arial"/>
        <family val="2"/>
      </rPr>
      <t>Male</t>
    </r>
  </si>
  <si>
    <r>
      <rPr>
        <sz val="9"/>
        <color theme="1"/>
        <rFont val="Arial"/>
        <family val="2"/>
      </rPr>
      <t>PUEBLO</t>
    </r>
  </si>
  <si>
    <r>
      <rPr>
        <sz val="9"/>
        <color theme="1"/>
        <rFont val="Arial"/>
        <family val="2"/>
      </rPr>
      <t>PUEBLO</t>
    </r>
  </si>
  <si>
    <r>
      <rPr>
        <sz val="9"/>
        <color theme="1"/>
        <rFont val="Arial"/>
        <family val="2"/>
      </rPr>
      <t>BUSCH TAM</t>
    </r>
  </si>
  <si>
    <r>
      <rPr>
        <sz val="9"/>
        <color theme="1"/>
        <rFont val="Arial"/>
        <family val="2"/>
      </rPr>
      <t>Female</t>
    </r>
  </si>
  <si>
    <r>
      <rPr>
        <sz val="9"/>
        <color theme="1"/>
        <rFont val="Arial"/>
        <family val="2"/>
      </rPr>
      <t>PUEBLO</t>
    </r>
  </si>
  <si>
    <r>
      <rPr>
        <sz val="9"/>
        <color theme="1"/>
        <rFont val="Arial"/>
        <family val="2"/>
      </rPr>
      <t>BUSCH TAM</t>
    </r>
  </si>
  <si>
    <r>
      <rPr>
        <sz val="9"/>
        <color theme="1"/>
        <rFont val="Arial"/>
        <family val="2"/>
      </rPr>
      <t>CHICAGOLP</t>
    </r>
  </si>
  <si>
    <r>
      <rPr>
        <sz val="9"/>
        <color theme="1"/>
        <rFont val="Arial"/>
        <family val="2"/>
      </rPr>
      <t>BUSCH TAM</t>
    </r>
  </si>
  <si>
    <r>
      <rPr>
        <sz val="9"/>
        <color theme="1"/>
        <rFont val="Arial"/>
        <family val="2"/>
      </rPr>
      <t>CHICAGOLP</t>
    </r>
  </si>
  <si>
    <r>
      <rPr>
        <sz val="9"/>
        <color theme="1"/>
        <rFont val="Arial"/>
        <family val="2"/>
      </rPr>
      <t>Male</t>
    </r>
  </si>
  <si>
    <r>
      <rPr>
        <sz val="9"/>
        <color theme="1"/>
        <rFont val="Arial"/>
        <family val="2"/>
      </rPr>
      <t>MINNESOTA</t>
    </r>
  </si>
  <si>
    <r>
      <rPr>
        <sz val="9"/>
        <color theme="1"/>
        <rFont val="Arial"/>
        <family val="2"/>
      </rPr>
      <t>CHICAGOLP</t>
    </r>
  </si>
  <si>
    <r>
      <rPr>
        <sz val="9"/>
        <color theme="1"/>
        <rFont val="Arial"/>
        <family val="2"/>
      </rPr>
      <t>CHICAGOLP</t>
    </r>
  </si>
  <si>
    <r>
      <rPr>
        <sz val="9"/>
        <color theme="1"/>
        <rFont val="Arial"/>
        <family val="2"/>
      </rPr>
      <t>CLEVELAND</t>
    </r>
  </si>
  <si>
    <r>
      <rPr>
        <sz val="9"/>
        <color theme="1"/>
        <rFont val="Arial"/>
        <family val="2"/>
      </rPr>
      <t>M31008</t>
    </r>
  </si>
  <si>
    <r>
      <rPr>
        <sz val="9"/>
        <color theme="1"/>
        <rFont val="Arial"/>
        <family val="2"/>
      </rPr>
      <t>Female</t>
    </r>
  </si>
  <si>
    <r>
      <rPr>
        <sz val="9"/>
        <color theme="1"/>
        <rFont val="Arial"/>
        <family val="2"/>
      </rPr>
      <t>MINNESOTA</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</si>
  <si>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</si>
  <si>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</si>
  <si>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</si>
  <si>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Female</t>
    </r>
  </si>
  <si>
    <r>
      <rPr>
        <sz val="9"/>
        <color theme="1"/>
        <rFont val="Arial"/>
        <family val="2"/>
      </rPr>
      <t>SEATTLE</t>
    </r>
  </si>
  <si>
    <r>
      <rPr>
        <sz val="9"/>
        <color theme="1"/>
        <rFont val="Arial"/>
        <family val="2"/>
      </rPr>
      <t>CLEVELAND</t>
    </r>
  </si>
  <si>
    <r>
      <rPr>
        <sz val="9"/>
        <color theme="1"/>
        <rFont val="Arial"/>
        <family val="2"/>
      </rPr>
      <t>ABQBIOPK</t>
    </r>
  </si>
  <si>
    <r>
      <rPr>
        <sz val="9"/>
        <color theme="1"/>
        <rFont val="Arial"/>
        <family val="2"/>
      </rPr>
      <t>CLEVELAND</t>
    </r>
  </si>
  <si>
    <r>
      <rPr>
        <sz val="9"/>
        <color theme="1"/>
        <rFont val="Arial"/>
        <family val="2"/>
      </rPr>
      <t>MEMPHIS</t>
    </r>
  </si>
  <si>
    <r>
      <rPr>
        <sz val="9"/>
        <color theme="1"/>
        <rFont val="Arial"/>
        <family val="2"/>
      </rPr>
      <t>Male</t>
    </r>
  </si>
  <si>
    <r>
      <rPr>
        <sz val="9"/>
        <color theme="1"/>
        <rFont val="Arial"/>
        <family val="2"/>
      </rPr>
      <t>SEATTLE</t>
    </r>
  </si>
  <si>
    <r>
      <rPr>
        <sz val="9"/>
        <color theme="1"/>
        <rFont val="Arial"/>
        <family val="2"/>
      </rPr>
      <t>MEMPHIS</t>
    </r>
  </si>
  <si>
    <r>
      <rPr>
        <sz val="9"/>
        <color theme="1"/>
        <rFont val="Arial"/>
        <family val="2"/>
      </rPr>
      <t>MEMPHIS</t>
    </r>
  </si>
  <si>
    <r>
      <rPr>
        <sz val="9"/>
        <color theme="1"/>
        <rFont val="Arial"/>
        <family val="2"/>
      </rPr>
      <t>MEMPHIS</t>
    </r>
  </si>
  <si>
    <r>
      <rPr>
        <sz val="9"/>
        <color theme="1"/>
        <rFont val="Arial"/>
        <family val="2"/>
      </rPr>
      <t>Female</t>
    </r>
  </si>
  <si>
    <r>
      <rPr>
        <sz val="9"/>
        <color theme="1"/>
        <rFont val="Arial"/>
        <family val="2"/>
      </rPr>
      <t>CALGARY</t>
    </r>
  </si>
  <si>
    <r>
      <rPr>
        <sz val="9"/>
        <color theme="1"/>
        <rFont val="Arial"/>
        <family val="2"/>
      </rPr>
      <t>MEMPHIS</t>
    </r>
  </si>
  <si>
    <r>
      <rPr>
        <sz val="9"/>
        <color rgb="FF000000"/>
        <rFont val="Arial"/>
        <family val="2"/>
      </rPr>
      <t xml:space="preserve">01/Jan/2007 +/-
</t>
    </r>
    <r>
      <rPr>
        <sz val="9"/>
        <color rgb="FF000000"/>
        <rFont val="Arial"/>
        <family val="2"/>
      </rPr>
      <t>6 month</t>
    </r>
  </si>
  <si>
    <r>
      <rPr>
        <sz val="9"/>
        <color theme="1"/>
        <rFont val="Arial"/>
        <family val="2"/>
      </rPr>
      <t>ST LOUIS</t>
    </r>
  </si>
  <si>
    <r>
      <rPr>
        <sz val="9"/>
        <color theme="1"/>
        <rFont val="Arial"/>
        <family val="2"/>
      </rPr>
      <t>MEMPHIS</t>
    </r>
  </si>
  <si>
    <r>
      <rPr>
        <sz val="9"/>
        <color theme="1"/>
        <rFont val="Arial"/>
        <family val="2"/>
      </rPr>
      <t>NY BRONX</t>
    </r>
  </si>
  <si>
    <r>
      <rPr>
        <sz val="9"/>
        <color theme="1"/>
        <rFont val="Arial"/>
        <family val="2"/>
      </rPr>
      <t>Male</t>
    </r>
  </si>
  <si>
    <r>
      <rPr>
        <sz val="9"/>
        <color theme="1"/>
        <rFont val="Arial"/>
        <family val="2"/>
      </rPr>
      <t>CALGARY</t>
    </r>
  </si>
  <si>
    <r>
      <rPr>
        <sz val="9"/>
        <color theme="1"/>
        <rFont val="Arial"/>
        <family val="2"/>
      </rPr>
      <t>NY BRONX</t>
    </r>
  </si>
  <si>
    <r>
      <rPr>
        <sz val="9"/>
        <color theme="1"/>
        <rFont val="Arial"/>
        <family val="2"/>
      </rPr>
      <t>ST LOUIS</t>
    </r>
  </si>
  <si>
    <r>
      <rPr>
        <sz val="9"/>
        <color theme="1"/>
        <rFont val="Arial"/>
        <family val="2"/>
      </rPr>
      <t>NY BRONX</t>
    </r>
  </si>
  <si>
    <r>
      <rPr>
        <sz val="9"/>
        <color theme="1"/>
        <rFont val="Arial"/>
        <family val="2"/>
      </rPr>
      <t>AKRON</t>
    </r>
  </si>
  <si>
    <r>
      <rPr>
        <sz val="9"/>
        <color theme="1"/>
        <rFont val="Arial"/>
        <family val="2"/>
      </rPr>
      <t>Female</t>
    </r>
  </si>
  <si>
    <r>
      <rPr>
        <sz val="9"/>
        <color theme="1"/>
        <rFont val="Arial"/>
        <family val="2"/>
      </rPr>
      <t>PUEBLO</t>
    </r>
  </si>
  <si>
    <r>
      <rPr>
        <sz val="9"/>
        <color theme="1"/>
        <rFont val="Arial"/>
        <family val="2"/>
      </rPr>
      <t>AKRON</t>
    </r>
  </si>
  <si>
    <r>
      <rPr>
        <sz val="9"/>
        <color theme="1"/>
        <rFont val="Arial"/>
        <family val="2"/>
      </rPr>
      <t>MINNESOTA</t>
    </r>
  </si>
  <si>
    <r>
      <rPr>
        <sz val="9"/>
        <color theme="1"/>
        <rFont val="Arial"/>
        <family val="2"/>
      </rPr>
      <t>AKRON</t>
    </r>
  </si>
  <si>
    <r>
      <rPr>
        <sz val="9"/>
        <color theme="1"/>
        <rFont val="Arial"/>
        <family val="2"/>
      </rPr>
      <t>PUEBLO</t>
    </r>
  </si>
  <si>
    <r>
      <rPr>
        <sz val="9"/>
        <color theme="1"/>
        <rFont val="Arial"/>
        <family val="2"/>
      </rPr>
      <t>M23003</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</si>
  <si>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</si>
  <si>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</si>
  <si>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</si>
  <si>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NY BRONX</t>
    </r>
  </si>
  <si>
    <r>
      <rPr>
        <sz val="9"/>
        <color theme="1"/>
        <rFont val="Arial"/>
        <family val="2"/>
      </rPr>
      <t>M07143</t>
    </r>
  </si>
  <si>
    <r>
      <rPr>
        <sz val="9"/>
        <color theme="1"/>
        <rFont val="Arial"/>
        <family val="2"/>
      </rPr>
      <t>Female</t>
    </r>
  </si>
  <si>
    <r>
      <rPr>
        <sz val="9"/>
        <color theme="1"/>
        <rFont val="Arial"/>
        <family val="2"/>
      </rPr>
      <t>WILD</t>
    </r>
  </si>
  <si>
    <r>
      <rPr>
        <sz val="9"/>
        <color theme="1"/>
        <rFont val="Arial"/>
        <family val="2"/>
      </rPr>
      <t>PUBLIC</t>
    </r>
  </si>
  <si>
    <r>
      <rPr>
        <sz val="9"/>
        <color theme="1"/>
        <rFont val="Arial"/>
        <family val="2"/>
      </rPr>
      <t>NY BRONX</t>
    </r>
  </si>
  <si>
    <r>
      <rPr>
        <sz val="9"/>
        <color theme="1"/>
        <rFont val="Arial"/>
        <family val="2"/>
      </rPr>
      <t>MYAKKACLR</t>
    </r>
  </si>
  <si>
    <r>
      <rPr>
        <sz val="9"/>
        <color theme="1"/>
        <rFont val="Arial"/>
        <family val="2"/>
      </rPr>
      <t>AUDUBON</t>
    </r>
  </si>
  <si>
    <r>
      <rPr>
        <sz val="9"/>
        <color theme="1"/>
        <rFont val="Arial"/>
        <family val="2"/>
      </rPr>
      <t>CALGARY</t>
    </r>
  </si>
  <si>
    <r>
      <rPr>
        <sz val="9"/>
        <color theme="1"/>
        <rFont val="Arial"/>
        <family val="2"/>
      </rPr>
      <t>ST LOUIS</t>
    </r>
  </si>
  <si>
    <r>
      <rPr>
        <sz val="9"/>
        <color theme="1"/>
        <rFont val="Arial"/>
        <family val="2"/>
      </rPr>
      <t>NY BRONX</t>
    </r>
  </si>
  <si>
    <r>
      <rPr>
        <sz val="9"/>
        <color theme="1"/>
        <rFont val="Arial"/>
        <family val="2"/>
      </rPr>
      <t>DUKE PRIM</t>
    </r>
  </si>
  <si>
    <r>
      <rPr>
        <sz val="9"/>
        <color theme="1"/>
        <rFont val="Arial"/>
        <family val="2"/>
      </rPr>
      <t>Female</t>
    </r>
  </si>
  <si>
    <r>
      <rPr>
        <sz val="9"/>
        <color theme="1"/>
        <rFont val="Arial"/>
        <family val="2"/>
      </rPr>
      <t>WILD</t>
    </r>
  </si>
  <si>
    <r>
      <rPr>
        <sz val="9"/>
        <color theme="1"/>
        <rFont val="Arial"/>
        <family val="2"/>
      </rPr>
      <t>PUBLIC</t>
    </r>
  </si>
  <si>
    <r>
      <rPr>
        <sz val="9"/>
        <color theme="1"/>
        <rFont val="Arial"/>
        <family val="2"/>
      </rPr>
      <t>DUKE PRIM</t>
    </r>
  </si>
  <si>
    <r>
      <rPr>
        <sz val="9"/>
        <color theme="1"/>
        <rFont val="Arial"/>
        <family val="2"/>
      </rPr>
      <t>AUDUBON</t>
    </r>
  </si>
  <si>
    <r>
      <rPr>
        <sz val="9"/>
        <color theme="1"/>
        <rFont val="Arial"/>
        <family val="2"/>
      </rPr>
      <t>DUKE PRIM</t>
    </r>
  </si>
  <si>
    <r>
      <rPr>
        <sz val="9"/>
        <color theme="1"/>
        <rFont val="Arial"/>
        <family val="2"/>
      </rPr>
      <t>CHICAGOBR</t>
    </r>
  </si>
  <si>
    <r>
      <rPr>
        <sz val="9"/>
        <color theme="1"/>
        <rFont val="Arial"/>
        <family val="2"/>
      </rPr>
      <t>Male</t>
    </r>
  </si>
  <si>
    <r>
      <rPr>
        <sz val="9"/>
        <color theme="1"/>
        <rFont val="Arial"/>
        <family val="2"/>
      </rPr>
      <t>CHICAGOBR</t>
    </r>
  </si>
  <si>
    <r>
      <rPr>
        <sz val="9"/>
        <color theme="1"/>
        <rFont val="Arial"/>
        <family val="2"/>
      </rPr>
      <t>CHICAGOBR</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</si>
  <si>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</si>
  <si>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</si>
  <si>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</si>
  <si>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CHICAGOBR</t>
    </r>
  </si>
  <si>
    <r>
      <rPr>
        <sz val="9"/>
        <color theme="1"/>
        <rFont val="Arial"/>
        <family val="2"/>
      </rPr>
      <t>EVANSVLLE</t>
    </r>
  </si>
  <si>
    <r>
      <rPr>
        <sz val="9"/>
        <color theme="1"/>
        <rFont val="Arial"/>
        <family val="2"/>
      </rPr>
      <t>Male</t>
    </r>
  </si>
  <si>
    <r>
      <rPr>
        <sz val="9"/>
        <color theme="1"/>
        <rFont val="Arial"/>
        <family val="2"/>
      </rPr>
      <t>CALGARY</t>
    </r>
  </si>
  <si>
    <r>
      <rPr>
        <sz val="9"/>
        <color theme="1"/>
        <rFont val="Arial"/>
        <family val="2"/>
      </rPr>
      <t>EVANSVLLE</t>
    </r>
  </si>
  <si>
    <r>
      <rPr>
        <sz val="9"/>
        <color theme="1"/>
        <rFont val="Arial"/>
        <family val="2"/>
      </rPr>
      <t>ST LOUIS</t>
    </r>
  </si>
  <si>
    <r>
      <rPr>
        <sz val="9"/>
        <color theme="1"/>
        <rFont val="Arial"/>
        <family val="2"/>
      </rPr>
      <t>MEMPHIS</t>
    </r>
  </si>
  <si>
    <r>
      <rPr>
        <sz val="9"/>
        <color theme="1"/>
        <rFont val="Arial"/>
        <family val="2"/>
      </rPr>
      <t>EVANSVLLE</t>
    </r>
  </si>
  <si>
    <r>
      <rPr>
        <sz val="9"/>
        <color theme="1"/>
        <rFont val="Arial"/>
        <family val="2"/>
      </rPr>
      <t>OMAHA</t>
    </r>
  </si>
  <si>
    <r>
      <rPr>
        <sz val="9"/>
        <color theme="1"/>
        <rFont val="Arial"/>
        <family val="2"/>
      </rPr>
      <t>Female</t>
    </r>
  </si>
  <si>
    <r>
      <rPr>
        <sz val="9"/>
        <color theme="1"/>
        <rFont val="Arial"/>
        <family val="2"/>
      </rPr>
      <t>CALGARY</t>
    </r>
  </si>
  <si>
    <r>
      <rPr>
        <sz val="9"/>
        <color theme="1"/>
        <rFont val="Arial"/>
        <family val="2"/>
      </rPr>
      <t>OMAHA</t>
    </r>
  </si>
  <si>
    <r>
      <rPr>
        <sz val="9"/>
        <color theme="1"/>
        <rFont val="Arial"/>
        <family val="2"/>
      </rPr>
      <t>GRANBY</t>
    </r>
  </si>
  <si>
    <r>
      <rPr>
        <sz val="9"/>
        <color theme="1"/>
        <rFont val="Arial"/>
        <family val="2"/>
      </rPr>
      <t>NY BRONX</t>
    </r>
  </si>
  <si>
    <r>
      <rPr>
        <sz val="9"/>
        <color theme="1"/>
        <rFont val="Arial"/>
        <family val="2"/>
      </rPr>
      <t>OMAHA</t>
    </r>
  </si>
  <si>
    <r>
      <rPr>
        <sz val="9"/>
        <color theme="1"/>
        <rFont val="Arial"/>
        <family val="2"/>
      </rPr>
      <t>EVANSVLLE</t>
    </r>
  </si>
  <si>
    <r>
      <rPr>
        <sz val="9"/>
        <color theme="1"/>
        <rFont val="Arial"/>
        <family val="2"/>
      </rPr>
      <t>Female</t>
    </r>
  </si>
  <si>
    <r>
      <rPr>
        <sz val="9"/>
        <color theme="1"/>
        <rFont val="Arial"/>
        <family val="2"/>
      </rPr>
      <t>QUEBEC</t>
    </r>
  </si>
  <si>
    <r>
      <rPr>
        <sz val="9"/>
        <color theme="1"/>
        <rFont val="Arial"/>
        <family val="2"/>
      </rPr>
      <t>EVANSVLLE</t>
    </r>
  </si>
  <si>
    <r>
      <rPr>
        <sz val="9"/>
        <color theme="1"/>
        <rFont val="Arial"/>
        <family val="2"/>
      </rPr>
      <t>GRANBY</t>
    </r>
  </si>
  <si>
    <r>
      <rPr>
        <sz val="9"/>
        <color theme="1"/>
        <rFont val="Arial"/>
        <family val="2"/>
      </rPr>
      <t>NY BRONX</t>
    </r>
  </si>
  <si>
    <r>
      <rPr>
        <sz val="9"/>
        <color theme="1"/>
        <rFont val="Arial"/>
        <family val="2"/>
      </rPr>
      <t>EVANSVLLE</t>
    </r>
  </si>
  <si>
    <r>
      <rPr>
        <sz val="9"/>
        <color theme="1"/>
        <rFont val="Arial"/>
        <family val="2"/>
      </rPr>
      <t>ATTLEBORO</t>
    </r>
  </si>
  <si>
    <r>
      <rPr>
        <sz val="9"/>
        <color theme="1"/>
        <rFont val="Arial"/>
        <family val="2"/>
      </rPr>
      <t>Female</t>
    </r>
  </si>
  <si>
    <r>
      <rPr>
        <sz val="9"/>
        <color theme="1"/>
        <rFont val="Arial"/>
        <family val="2"/>
      </rPr>
      <t>PUEBLO</t>
    </r>
  </si>
  <si>
    <r>
      <rPr>
        <sz val="9"/>
        <color theme="1"/>
        <rFont val="Arial"/>
        <family val="2"/>
      </rPr>
      <t>ATTLEBORO</t>
    </r>
  </si>
  <si>
    <r>
      <rPr>
        <sz val="9"/>
        <color theme="1"/>
        <rFont val="Arial"/>
        <family val="2"/>
      </rPr>
      <t>HOUSTON</t>
    </r>
  </si>
  <si>
    <r>
      <rPr>
        <sz val="9"/>
        <color theme="1"/>
        <rFont val="Arial"/>
        <family val="2"/>
      </rPr>
      <t>ATTLEBORO</t>
    </r>
  </si>
  <si>
    <r>
      <rPr>
        <sz val="9"/>
        <color theme="1"/>
        <rFont val="Arial"/>
        <family val="2"/>
      </rPr>
      <t>PUEBLO</t>
    </r>
  </si>
  <si>
    <r>
      <rPr>
        <sz val="9"/>
        <color theme="1"/>
        <rFont val="Arial"/>
        <family val="2"/>
      </rPr>
      <t>M23048</t>
    </r>
  </si>
  <si>
    <r>
      <rPr>
        <sz val="9"/>
        <color theme="1"/>
        <rFont val="Arial"/>
        <family val="2"/>
      </rPr>
      <t>Male</t>
    </r>
  </si>
  <si>
    <r>
      <rPr>
        <sz val="9"/>
        <color theme="1"/>
        <rFont val="Arial"/>
        <family val="2"/>
      </rPr>
      <t>PUEBLO</t>
    </r>
  </si>
  <si>
    <r>
      <rPr>
        <sz val="9"/>
        <color theme="1"/>
        <rFont val="Arial"/>
        <family val="2"/>
      </rPr>
      <t>PUEBLO</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</si>
  <si>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</si>
  <si>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</si>
  <si>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</si>
  <si>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</si>
  <si>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OMAHA</t>
    </r>
  </si>
  <si>
    <r>
      <rPr>
        <sz val="9"/>
        <color theme="1"/>
        <rFont val="Arial"/>
        <family val="2"/>
      </rPr>
      <t>Undetermined</t>
    </r>
  </si>
  <si>
    <r>
      <rPr>
        <sz val="9"/>
        <color theme="1"/>
        <rFont val="Arial"/>
        <family val="2"/>
      </rPr>
      <t>OMAHA</t>
    </r>
  </si>
  <si>
    <r>
      <rPr>
        <sz val="9"/>
        <color theme="1"/>
        <rFont val="Arial"/>
        <family val="2"/>
      </rPr>
      <t>OMAHA</t>
    </r>
  </si>
  <si>
    <r>
      <rPr>
        <sz val="9"/>
        <color theme="1"/>
        <rFont val="Arial"/>
        <family val="2"/>
      </rPr>
      <t>SEATTLE</t>
    </r>
  </si>
  <si>
    <r>
      <rPr>
        <sz val="9"/>
        <color theme="1"/>
        <rFont val="Arial"/>
        <family val="2"/>
      </rPr>
      <t>Undetermined</t>
    </r>
  </si>
  <si>
    <r>
      <rPr>
        <sz val="9"/>
        <color theme="1"/>
        <rFont val="Arial"/>
        <family val="2"/>
      </rPr>
      <t>SEATTLE</t>
    </r>
  </si>
  <si>
    <r>
      <rPr>
        <sz val="9"/>
        <color theme="1"/>
        <rFont val="Arial"/>
        <family val="2"/>
      </rPr>
      <t>SEATTLE</t>
    </r>
  </si>
  <si>
    <r>
      <rPr>
        <sz val="9"/>
        <color theme="1"/>
        <rFont val="Arial"/>
        <family val="2"/>
      </rPr>
      <t>SANDIEGOZ</t>
    </r>
  </si>
  <si>
    <r>
      <rPr>
        <sz val="9"/>
        <color theme="1"/>
        <rFont val="Arial"/>
        <family val="2"/>
      </rPr>
      <t>Male</t>
    </r>
  </si>
  <si>
    <r>
      <rPr>
        <sz val="9"/>
        <color theme="1"/>
        <rFont val="Arial"/>
        <family val="2"/>
      </rPr>
      <t>MINNESOTA</t>
    </r>
  </si>
  <si>
    <r>
      <rPr>
        <sz val="9"/>
        <color theme="1"/>
        <rFont val="Arial"/>
        <family val="2"/>
      </rPr>
      <t>SANDIEGOZ</t>
    </r>
  </si>
  <si>
    <r>
      <rPr>
        <sz val="9"/>
        <color theme="1"/>
        <rFont val="Arial"/>
        <family val="2"/>
      </rPr>
      <t>ABQBIOPK</t>
    </r>
  </si>
  <si>
    <r>
      <rPr>
        <sz val="9"/>
        <color theme="1"/>
        <rFont val="Arial"/>
        <family val="2"/>
      </rPr>
      <t>PUEBLO</t>
    </r>
  </si>
  <si>
    <r>
      <rPr>
        <sz val="9"/>
        <color theme="1"/>
        <rFont val="Arial"/>
        <family val="2"/>
      </rPr>
      <t>EVANSVLLE</t>
    </r>
  </si>
  <si>
    <r>
      <rPr>
        <sz val="9"/>
        <color theme="1"/>
        <rFont val="Arial"/>
        <family val="2"/>
      </rPr>
      <t>SANDIEGOZ</t>
    </r>
  </si>
  <si>
    <r>
      <rPr>
        <sz val="9"/>
        <color theme="1"/>
        <rFont val="Arial"/>
        <family val="2"/>
      </rPr>
      <t>PUEBLO</t>
    </r>
  </si>
  <si>
    <r>
      <rPr>
        <sz val="9"/>
        <color theme="1"/>
        <rFont val="Arial"/>
        <family val="2"/>
      </rPr>
      <t>Female</t>
    </r>
  </si>
  <si>
    <r>
      <rPr>
        <sz val="9"/>
        <color theme="1"/>
        <rFont val="Arial"/>
        <family val="2"/>
      </rPr>
      <t>MINNESOTA</t>
    </r>
  </si>
  <si>
    <r>
      <rPr>
        <sz val="9"/>
        <color theme="1"/>
        <rFont val="Arial"/>
        <family val="2"/>
      </rPr>
      <t>PUEBLO</t>
    </r>
  </si>
  <si>
    <r>
      <rPr>
        <sz val="9"/>
        <color theme="1"/>
        <rFont val="Arial"/>
        <family val="2"/>
      </rPr>
      <t>PHILADELP</t>
    </r>
  </si>
  <si>
    <r>
      <rPr>
        <sz val="9"/>
        <color theme="1"/>
        <rFont val="Arial"/>
        <family val="2"/>
      </rPr>
      <t>SANDIEGOZ</t>
    </r>
  </si>
  <si>
    <r>
      <rPr>
        <sz val="9"/>
        <color theme="1"/>
        <rFont val="Arial"/>
        <family val="2"/>
      </rPr>
      <t>PUEBLO</t>
    </r>
  </si>
  <si>
    <r>
      <rPr>
        <sz val="9"/>
        <color theme="1"/>
        <rFont val="Arial"/>
        <family val="2"/>
      </rPr>
      <t>PUEBLO</t>
    </r>
  </si>
  <si>
    <r>
      <rPr>
        <sz val="9"/>
        <color theme="1"/>
        <rFont val="Arial"/>
        <family val="2"/>
      </rPr>
      <t>M24024</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</si>
  <si>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</si>
  <si>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</si>
  <si>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</si>
  <si>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PUEBLO</t>
    </r>
  </si>
  <si>
    <r>
      <rPr>
        <sz val="9"/>
        <color theme="1"/>
        <rFont val="Arial"/>
        <family val="2"/>
      </rPr>
      <t>M24023</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</si>
  <si>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</si>
  <si>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</si>
  <si>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</si>
  <si>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CALGARY</t>
    </r>
  </si>
  <si>
    <r>
      <rPr>
        <sz val="9"/>
        <color theme="1"/>
        <rFont val="Arial"/>
        <family val="2"/>
      </rPr>
      <t>Male</t>
    </r>
  </si>
  <si>
    <r>
      <rPr>
        <sz val="9"/>
        <color theme="1"/>
        <rFont val="Arial"/>
        <family val="2"/>
      </rPr>
      <t>CALGARY</t>
    </r>
  </si>
  <si>
    <r>
      <rPr>
        <sz val="9"/>
        <color theme="1"/>
        <rFont val="Arial"/>
        <family val="2"/>
      </rPr>
      <t>CALGARY</t>
    </r>
  </si>
  <si>
    <r>
      <rPr>
        <sz val="9"/>
        <color theme="1"/>
        <rFont val="Arial"/>
        <family val="2"/>
      </rPr>
      <t>CALGARY</t>
    </r>
  </si>
  <si>
    <r>
      <rPr>
        <sz val="9"/>
        <color theme="1"/>
        <rFont val="Arial"/>
        <family val="2"/>
      </rPr>
      <t>Male</t>
    </r>
  </si>
  <si>
    <r>
      <rPr>
        <sz val="9"/>
        <color theme="1"/>
        <rFont val="Arial"/>
        <family val="2"/>
      </rPr>
      <t>CALGARY</t>
    </r>
  </si>
  <si>
    <r>
      <rPr>
        <sz val="9"/>
        <color theme="1"/>
        <rFont val="Arial"/>
        <family val="2"/>
      </rPr>
      <t>CALGARY</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</si>
  <si>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</si>
  <si>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</si>
  <si>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</si>
  <si>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</si>
  <si>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</si>
  <si>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</si>
  <si>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SANDIEGOZ</t>
    </r>
  </si>
  <si>
    <r>
      <rPr>
        <sz val="9"/>
        <color theme="1"/>
        <rFont val="Arial"/>
        <family val="2"/>
      </rPr>
      <t>SANDIEGOZ</t>
    </r>
  </si>
  <si>
    <r>
      <rPr>
        <sz val="9"/>
        <color theme="1"/>
        <rFont val="Arial"/>
        <family val="2"/>
      </rPr>
      <t>BOWMANVIL</t>
    </r>
  </si>
  <si>
    <r>
      <rPr>
        <sz val="9"/>
        <color theme="1"/>
        <rFont val="Arial"/>
        <family val="2"/>
      </rPr>
      <t>L08007</t>
    </r>
  </si>
  <si>
    <r>
      <rPr>
        <sz val="9"/>
        <color theme="1"/>
        <rFont val="Arial"/>
        <family val="2"/>
      </rPr>
      <t>Male</t>
    </r>
  </si>
  <si>
    <r>
      <rPr>
        <sz val="9"/>
        <color theme="1"/>
        <rFont val="Arial"/>
        <family val="2"/>
      </rPr>
      <t>QUEBEC</t>
    </r>
  </si>
  <si>
    <r>
      <rPr>
        <sz val="9"/>
        <color theme="1"/>
        <rFont val="Arial"/>
        <family val="2"/>
      </rPr>
      <t>Undetermined</t>
    </r>
  </si>
  <si>
    <r>
      <rPr>
        <sz val="9"/>
        <color theme="1"/>
        <rFont val="Arial"/>
        <family val="2"/>
      </rPr>
      <t>Undetermined</t>
    </r>
  </si>
  <si>
    <t>BOWMANVIL</t>
  </si>
  <si>
    <r>
      <rPr>
        <sz val="9"/>
        <color theme="1"/>
        <rFont val="Arial"/>
        <family val="2"/>
      </rPr>
      <t>LANGLEY</t>
    </r>
  </si>
  <si>
    <r>
      <rPr>
        <sz val="9"/>
        <color theme="1"/>
        <rFont val="Arial"/>
        <family val="2"/>
      </rPr>
      <t>BOWMANVIL</t>
    </r>
  </si>
  <si>
    <r>
      <rPr>
        <sz val="9"/>
        <color theme="1"/>
        <rFont val="Arial"/>
        <family val="2"/>
      </rPr>
      <t>PUEBLO</t>
    </r>
  </si>
  <si>
    <r>
      <rPr>
        <sz val="9"/>
        <color theme="1"/>
        <rFont val="Arial"/>
        <family val="2"/>
      </rPr>
      <t>M25007</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</si>
  <si>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</si>
  <si>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</si>
  <si>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</si>
  <si>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PUEBLO</t>
    </r>
  </si>
  <si>
    <r>
      <rPr>
        <sz val="9"/>
        <color theme="1"/>
        <rFont val="Arial"/>
        <family val="2"/>
      </rPr>
      <t>M25008</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</si>
  <si>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</si>
  <si>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</si>
  <si>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</si>
  <si>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CALGARY</t>
    </r>
  </si>
  <si>
    <r>
      <rPr>
        <sz val="9"/>
        <color theme="1"/>
        <rFont val="Arial"/>
        <family val="2"/>
      </rPr>
      <t>Undetermined</t>
    </r>
  </si>
  <si>
    <r>
      <rPr>
        <sz val="9"/>
        <color theme="1"/>
        <rFont val="Arial"/>
        <family val="2"/>
      </rPr>
      <t>CALGARY</t>
    </r>
  </si>
  <si>
    <r>
      <rPr>
        <sz val="9"/>
        <color theme="1"/>
        <rFont val="Arial"/>
        <family val="2"/>
      </rPr>
      <t>CALGARY</t>
    </r>
  </si>
  <si>
    <r>
      <rPr>
        <sz val="9"/>
        <color theme="1"/>
        <rFont val="Arial"/>
        <family val="2"/>
      </rPr>
      <t>CALGARY</t>
    </r>
  </si>
  <si>
    <r>
      <rPr>
        <sz val="9"/>
        <color theme="1"/>
        <rFont val="Arial"/>
        <family val="2"/>
      </rPr>
      <t>Undetermined</t>
    </r>
  </si>
  <si>
    <r>
      <rPr>
        <sz val="9"/>
        <color theme="1"/>
        <rFont val="Arial"/>
        <family val="2"/>
      </rPr>
      <t>CALGARY</t>
    </r>
  </si>
  <si>
    <r>
      <rPr>
        <sz val="9"/>
        <color theme="1"/>
        <rFont val="Arial"/>
        <family val="2"/>
      </rPr>
      <t>CALGARY</t>
    </r>
  </si>
  <si>
    <r>
      <rPr>
        <sz val="9"/>
        <color theme="1"/>
        <rFont val="Arial"/>
        <family val="2"/>
      </rPr>
      <t>EL PASO</t>
    </r>
  </si>
  <si>
    <r>
      <rPr>
        <sz val="9"/>
        <color theme="1"/>
        <rFont val="Arial"/>
        <family val="2"/>
      </rPr>
      <t>Male</t>
    </r>
  </si>
  <si>
    <r>
      <rPr>
        <sz val="9"/>
        <color theme="1"/>
        <rFont val="Arial"/>
        <family val="2"/>
      </rPr>
      <t>SANDIEGOZ</t>
    </r>
  </si>
  <si>
    <r>
      <rPr>
        <sz val="9"/>
        <color theme="1"/>
        <rFont val="Arial"/>
        <family val="2"/>
      </rPr>
      <t>EL PASO</t>
    </r>
  </si>
  <si>
    <r>
      <rPr>
        <sz val="9"/>
        <color theme="1"/>
        <rFont val="Arial"/>
        <family val="2"/>
      </rPr>
      <t>EL PASO</t>
    </r>
  </si>
  <si>
    <t>Y</t>
  </si>
  <si>
    <r>
      <rPr>
        <sz val="9"/>
        <color theme="1"/>
        <rFont val="Arial"/>
        <family val="2"/>
      </rPr>
      <t>BLOOMINGT</t>
    </r>
  </si>
  <si>
    <r>
      <rPr>
        <sz val="9"/>
        <color theme="1"/>
        <rFont val="Arial"/>
        <family val="2"/>
      </rPr>
      <t>M17002</t>
    </r>
  </si>
  <si>
    <r>
      <rPr>
        <sz val="9"/>
        <color theme="1"/>
        <rFont val="Arial"/>
        <family val="2"/>
      </rPr>
      <t>Female</t>
    </r>
  </si>
  <si>
    <t>HOLD</t>
  </si>
  <si>
    <r>
      <rPr>
        <sz val="9"/>
        <color theme="1"/>
        <rFont val="Arial"/>
        <family val="2"/>
      </rPr>
      <t>BLOOMINGT</t>
    </r>
  </si>
  <si>
    <t>Female #2661 has not reproduced yet at the age of six; no female has reproduced for the first time past the age
of 10.</t>
  </si>
  <si>
    <r>
      <rPr>
        <sz val="9"/>
        <color theme="1"/>
        <rFont val="Arial"/>
        <family val="2"/>
      </rPr>
      <t>COLUMBUS</t>
    </r>
  </si>
  <si>
    <r>
      <rPr>
        <sz val="9"/>
        <color theme="1"/>
        <rFont val="Arial"/>
        <family val="2"/>
      </rPr>
      <t>BUSCH TAM</t>
    </r>
  </si>
  <si>
    <r>
      <rPr>
        <sz val="9"/>
        <color theme="1"/>
        <rFont val="Arial"/>
        <family val="2"/>
      </rPr>
      <t>BLOOMINGT</t>
    </r>
  </si>
  <si>
    <r>
      <rPr>
        <sz val="9"/>
        <color theme="1"/>
        <rFont val="Arial"/>
        <family val="2"/>
      </rPr>
      <t>EL PASO</t>
    </r>
  </si>
  <si>
    <r>
      <rPr>
        <sz val="9"/>
        <color theme="1"/>
        <rFont val="Arial"/>
        <family val="2"/>
      </rPr>
      <t>Male</t>
    </r>
  </si>
  <si>
    <r>
      <rPr>
        <sz val="9"/>
        <color theme="1"/>
        <rFont val="Arial"/>
        <family val="2"/>
      </rPr>
      <t>SANDIEGOZ</t>
    </r>
  </si>
  <si>
    <r>
      <rPr>
        <sz val="9"/>
        <color theme="1"/>
        <rFont val="Arial"/>
        <family val="2"/>
      </rPr>
      <t>WILD WRLD</t>
    </r>
  </si>
  <si>
    <r>
      <rPr>
        <sz val="9"/>
        <color theme="1"/>
        <rFont val="Arial"/>
        <family val="2"/>
      </rPr>
      <t>CLEVELAND</t>
    </r>
  </si>
  <si>
    <r>
      <rPr>
        <sz val="9"/>
        <color theme="1"/>
        <rFont val="Arial"/>
        <family val="2"/>
      </rPr>
      <t>EL PASO</t>
    </r>
  </si>
  <si>
    <r>
      <rPr>
        <sz val="9"/>
        <color theme="1"/>
        <rFont val="Arial"/>
        <family val="2"/>
      </rPr>
      <t>PUEBLO</t>
    </r>
  </si>
  <si>
    <r>
      <rPr>
        <sz val="9"/>
        <color theme="1"/>
        <rFont val="Arial"/>
        <family val="2"/>
      </rPr>
      <t>M33045</t>
    </r>
  </si>
  <si>
    <r>
      <rPr>
        <sz val="9"/>
        <color theme="1"/>
        <rFont val="Arial"/>
        <family val="2"/>
      </rPr>
      <t>Female</t>
    </r>
  </si>
  <si>
    <r>
      <rPr>
        <sz val="9"/>
        <color theme="1"/>
        <rFont val="Arial"/>
        <family val="2"/>
      </rPr>
      <t>DUKE PRIM</t>
    </r>
  </si>
  <si>
    <r>
      <rPr>
        <sz val="9"/>
        <color theme="1"/>
        <rFont val="Arial"/>
        <family val="2"/>
      </rPr>
      <t>PUEBLO</t>
    </r>
  </si>
  <si>
    <r>
      <rPr>
        <sz val="9"/>
        <color theme="1"/>
        <rFont val="Arial"/>
        <family val="2"/>
      </rPr>
      <t>GARDENCTY</t>
    </r>
  </si>
  <si>
    <r>
      <rPr>
        <sz val="9"/>
        <color theme="1"/>
        <rFont val="Arial"/>
        <family val="2"/>
      </rPr>
      <t>PUEBLO</t>
    </r>
  </si>
  <si>
    <r>
      <rPr>
        <sz val="9"/>
        <color theme="1"/>
        <rFont val="Arial"/>
        <family val="2"/>
      </rPr>
      <t>CLEVELAND</t>
    </r>
  </si>
  <si>
    <r>
      <rPr>
        <sz val="9"/>
        <color theme="1"/>
        <rFont val="Arial"/>
        <family val="2"/>
      </rPr>
      <t>Undetermined</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</si>
  <si>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</si>
  <si>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</si>
  <si>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</si>
  <si>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</si>
  <si>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M40803</t>
    </r>
  </si>
  <si>
    <r>
      <rPr>
        <sz val="9"/>
        <color theme="1"/>
        <rFont val="Arial"/>
        <family val="2"/>
      </rPr>
      <t>Undetermined</t>
    </r>
  </si>
  <si>
    <r>
      <rPr>
        <sz val="9"/>
        <color theme="1"/>
        <rFont val="Arial"/>
        <family val="2"/>
      </rPr>
      <t>CLEVELAND</t>
    </r>
  </si>
  <si>
    <r>
      <rPr>
        <sz val="9"/>
        <color theme="1"/>
        <rFont val="Arial"/>
        <family val="2"/>
      </rPr>
      <t>BOWMANVIL</t>
    </r>
  </si>
  <si>
    <r>
      <rPr>
        <sz val="9"/>
        <color theme="1"/>
        <rFont val="Arial"/>
        <family val="2"/>
      </rPr>
      <t>L08006</t>
    </r>
  </si>
  <si>
    <r>
      <rPr>
        <sz val="9"/>
        <color theme="1"/>
        <rFont val="Arial"/>
        <family val="2"/>
      </rPr>
      <t>Male</t>
    </r>
  </si>
  <si>
    <r>
      <rPr>
        <sz val="9"/>
        <color theme="1"/>
        <rFont val="Arial"/>
        <family val="2"/>
      </rPr>
      <t>QUEBEC</t>
    </r>
  </si>
  <si>
    <r>
      <rPr>
        <sz val="9"/>
        <color theme="1"/>
        <rFont val="Arial"/>
        <family val="2"/>
      </rPr>
      <t>Undetermined</t>
    </r>
  </si>
  <si>
    <r>
      <rPr>
        <sz val="9"/>
        <color theme="1"/>
        <rFont val="Arial"/>
        <family val="2"/>
      </rPr>
      <t>Undetermined</t>
    </r>
  </si>
  <si>
    <r>
      <rPr>
        <sz val="9"/>
        <color theme="1"/>
        <rFont val="Arial"/>
        <family val="2"/>
      </rPr>
      <t>BOWMANVIL</t>
    </r>
  </si>
  <si>
    <r>
      <rPr>
        <sz val="9"/>
        <color theme="1"/>
        <rFont val="Arial"/>
        <family val="2"/>
      </rPr>
      <t>LANGLEY</t>
    </r>
  </si>
  <si>
    <r>
      <rPr>
        <sz val="9"/>
        <color theme="1"/>
        <rFont val="Arial"/>
        <family val="2"/>
      </rPr>
      <t>BOWMANVIL</t>
    </r>
  </si>
  <si>
    <r>
      <rPr>
        <sz val="9"/>
        <color theme="1"/>
        <rFont val="Arial"/>
        <family val="2"/>
      </rPr>
      <t>MOODY</t>
    </r>
  </si>
  <si>
    <r>
      <rPr>
        <sz val="9"/>
        <color theme="1"/>
        <rFont val="Arial"/>
        <family val="2"/>
      </rPr>
      <t>Undetermined</t>
    </r>
  </si>
  <si>
    <r>
      <rPr>
        <sz val="9"/>
        <color theme="1"/>
        <rFont val="Arial"/>
        <family val="2"/>
      </rPr>
      <t>MOODY</t>
    </r>
  </si>
  <si>
    <r>
      <rPr>
        <sz val="9"/>
        <color theme="1"/>
        <rFont val="Arial"/>
        <family val="2"/>
      </rPr>
      <t>MOODY</t>
    </r>
  </si>
  <si>
    <r>
      <rPr>
        <sz val="9"/>
        <color theme="1"/>
        <rFont val="Arial"/>
        <family val="2"/>
      </rPr>
      <t>DUKE PRIM</t>
    </r>
  </si>
  <si>
    <r>
      <rPr>
        <sz val="9"/>
        <color theme="1"/>
        <rFont val="Arial"/>
        <family val="2"/>
      </rPr>
      <t>Male</t>
    </r>
  </si>
  <si>
    <r>
      <rPr>
        <sz val="9"/>
        <color theme="1"/>
        <rFont val="Arial"/>
        <family val="2"/>
      </rPr>
      <t>MOODY</t>
    </r>
  </si>
  <si>
    <r>
      <rPr>
        <sz val="9"/>
        <color theme="1"/>
        <rFont val="Arial"/>
        <family val="2"/>
      </rPr>
      <t>DUKE PRIM</t>
    </r>
  </si>
  <si>
    <r>
      <rPr>
        <sz val="9"/>
        <color theme="1"/>
        <rFont val="Arial"/>
        <family val="2"/>
      </rPr>
      <t>HOUSTON</t>
    </r>
  </si>
  <si>
    <r>
      <rPr>
        <sz val="9"/>
        <color theme="1"/>
        <rFont val="Arial"/>
        <family val="2"/>
      </rPr>
      <t>CLEVELAND</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</si>
  <si>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</si>
  <si>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</si>
  <si>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</si>
  <si>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</si>
  <si>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</si>
  <si>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OMAHA</t>
    </r>
  </si>
  <si>
    <r>
      <rPr>
        <sz val="9"/>
        <color theme="1"/>
        <rFont val="Arial"/>
        <family val="2"/>
      </rPr>
      <t>Female</t>
    </r>
  </si>
  <si>
    <r>
      <rPr>
        <sz val="9"/>
        <color theme="1"/>
        <rFont val="Arial"/>
        <family val="2"/>
      </rPr>
      <t>DUKE PRIM</t>
    </r>
  </si>
  <si>
    <r>
      <rPr>
        <sz val="9"/>
        <color theme="1"/>
        <rFont val="Arial"/>
        <family val="2"/>
      </rPr>
      <t>OMAHA</t>
    </r>
  </si>
  <si>
    <r>
      <rPr>
        <sz val="9"/>
        <color theme="1"/>
        <rFont val="Arial"/>
        <family val="2"/>
      </rPr>
      <t>OMAHA</t>
    </r>
  </si>
  <si>
    <r>
      <rPr>
        <sz val="9"/>
        <color theme="1"/>
        <rFont val="Arial"/>
        <family val="2"/>
      </rPr>
      <t>OMAHA</t>
    </r>
  </si>
  <si>
    <r>
      <rPr>
        <sz val="9"/>
        <color theme="1"/>
        <rFont val="Arial"/>
        <family val="2"/>
      </rPr>
      <t>Male</t>
    </r>
  </si>
  <si>
    <r>
      <rPr>
        <sz val="9"/>
        <color theme="1"/>
        <rFont val="Arial"/>
        <family val="2"/>
      </rPr>
      <t>SANDIEGOZ</t>
    </r>
  </si>
  <si>
    <r>
      <rPr>
        <sz val="9"/>
        <color theme="1"/>
        <rFont val="Arial"/>
        <family val="2"/>
      </rPr>
      <t>OMAHA</t>
    </r>
  </si>
  <si>
    <r>
      <rPr>
        <sz val="9"/>
        <color theme="1"/>
        <rFont val="Arial"/>
        <family val="2"/>
      </rPr>
      <t>OMAHA</t>
    </r>
  </si>
  <si>
    <r>
      <rPr>
        <sz val="9"/>
        <color theme="1"/>
        <rFont val="Arial"/>
        <family val="2"/>
      </rPr>
      <t>CLEVELAND</t>
    </r>
  </si>
  <si>
    <r>
      <rPr>
        <sz val="9"/>
        <color theme="1"/>
        <rFont val="Arial"/>
        <family val="2"/>
      </rPr>
      <t>M70104</t>
    </r>
  </si>
  <si>
    <r>
      <rPr>
        <sz val="9"/>
        <color theme="1"/>
        <rFont val="Arial"/>
        <family val="2"/>
      </rPr>
      <t>Female</t>
    </r>
  </si>
  <si>
    <r>
      <rPr>
        <sz val="9"/>
        <color theme="1"/>
        <rFont val="Arial"/>
        <family val="2"/>
      </rPr>
      <t>CLEVELAND</t>
    </r>
  </si>
  <si>
    <r>
      <rPr>
        <sz val="9"/>
        <color theme="1"/>
        <rFont val="Arial"/>
        <family val="2"/>
      </rPr>
      <t>CLEVELAND</t>
    </r>
  </si>
  <si>
    <r>
      <rPr>
        <sz val="9"/>
        <color theme="1"/>
        <rFont val="Arial"/>
        <family val="2"/>
      </rPr>
      <t>BLOOMINGT</t>
    </r>
  </si>
  <si>
    <r>
      <rPr>
        <sz val="9"/>
        <color theme="1"/>
        <rFont val="Arial"/>
        <family val="2"/>
      </rPr>
      <t>M19007</t>
    </r>
  </si>
  <si>
    <r>
      <rPr>
        <sz val="9"/>
        <color theme="1"/>
        <rFont val="Arial"/>
        <family val="2"/>
      </rPr>
      <t>Male</t>
    </r>
  </si>
  <si>
    <r>
      <rPr>
        <sz val="9"/>
        <color theme="1"/>
        <rFont val="Arial"/>
        <family val="2"/>
      </rPr>
      <t>BLOOMINGT</t>
    </r>
  </si>
  <si>
    <r>
      <rPr>
        <sz val="9"/>
        <color theme="1"/>
        <rFont val="Arial"/>
        <family val="2"/>
      </rPr>
      <t>LITTLEROC</t>
    </r>
  </si>
  <si>
    <r>
      <rPr>
        <sz val="9"/>
        <color theme="1"/>
        <rFont val="Arial"/>
        <family val="2"/>
      </rPr>
      <t>BLOOMINGT</t>
    </r>
  </si>
  <si>
    <r>
      <rPr>
        <sz val="9"/>
        <color theme="1"/>
        <rFont val="Arial"/>
        <family val="2"/>
      </rPr>
      <t>EVANSVLLE</t>
    </r>
  </si>
  <si>
    <r>
      <rPr>
        <sz val="9"/>
        <color theme="1"/>
        <rFont val="Arial"/>
        <family val="2"/>
      </rPr>
      <t>Female</t>
    </r>
  </si>
  <si>
    <r>
      <rPr>
        <sz val="9"/>
        <color theme="1"/>
        <rFont val="Arial"/>
        <family val="2"/>
      </rPr>
      <t>CLEVELAND</t>
    </r>
  </si>
  <si>
    <r>
      <rPr>
        <sz val="9"/>
        <color theme="1"/>
        <rFont val="Arial"/>
        <family val="2"/>
      </rPr>
      <t>DUKE PRIM</t>
    </r>
  </si>
  <si>
    <r>
      <rPr>
        <sz val="9"/>
        <color theme="1"/>
        <rFont val="Arial"/>
        <family val="2"/>
      </rPr>
      <t>EVANSVLLE</t>
    </r>
  </si>
  <si>
    <r>
      <rPr>
        <sz val="9"/>
        <color theme="1"/>
        <rFont val="Arial"/>
        <family val="2"/>
      </rPr>
      <t>ABQBIOPK</t>
    </r>
  </si>
  <si>
    <r>
      <rPr>
        <sz val="9"/>
        <color theme="1"/>
        <rFont val="Arial"/>
        <family val="2"/>
      </rPr>
      <t>M07001</t>
    </r>
  </si>
  <si>
    <r>
      <rPr>
        <sz val="9"/>
        <color theme="1"/>
        <rFont val="Arial"/>
        <family val="2"/>
      </rPr>
      <t>Undetermined</t>
    </r>
  </si>
  <si>
    <r>
      <rPr>
        <sz val="9"/>
        <color theme="1"/>
        <rFont val="Arial"/>
        <family val="2"/>
      </rPr>
      <t>ABQBIOPK</t>
    </r>
  </si>
  <si>
    <r>
      <rPr>
        <sz val="9"/>
        <color theme="1"/>
        <rFont val="Arial"/>
        <family val="2"/>
      </rPr>
      <t>ABQBIOPK</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</si>
  <si>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</si>
  <si>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</si>
  <si>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</si>
  <si>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GARDENCTY</t>
    </r>
  </si>
  <si>
    <r>
      <rPr>
        <sz val="9"/>
        <color theme="1"/>
        <rFont val="Arial"/>
        <family val="2"/>
      </rPr>
      <t>CHICAGOBR</t>
    </r>
  </si>
  <si>
    <r>
      <rPr>
        <sz val="9"/>
        <color theme="1"/>
        <rFont val="Arial"/>
        <family val="2"/>
      </rPr>
      <t>PROSPECTP</t>
    </r>
  </si>
  <si>
    <r>
      <rPr>
        <sz val="9"/>
        <color theme="1"/>
        <rFont val="Arial"/>
        <family val="2"/>
      </rPr>
      <t>P09015</t>
    </r>
  </si>
  <si>
    <r>
      <rPr>
        <sz val="9"/>
        <color theme="1"/>
        <rFont val="Arial"/>
        <family val="2"/>
      </rPr>
      <t>Male</t>
    </r>
  </si>
  <si>
    <r>
      <rPr>
        <sz val="9"/>
        <color theme="1"/>
        <rFont val="Arial"/>
        <family val="2"/>
      </rPr>
      <t>ABQBIOPK</t>
    </r>
  </si>
  <si>
    <r>
      <rPr>
        <sz val="9"/>
        <color theme="1"/>
        <rFont val="Arial"/>
        <family val="2"/>
      </rPr>
      <t>PROSPECTP</t>
    </r>
  </si>
  <si>
    <r>
      <rPr>
        <sz val="9"/>
        <color theme="1"/>
        <rFont val="Arial"/>
        <family val="2"/>
      </rPr>
      <t>SANDIEGOZ</t>
    </r>
  </si>
  <si>
    <r>
      <rPr>
        <sz val="9"/>
        <color theme="1"/>
        <rFont val="Arial"/>
        <family val="2"/>
      </rPr>
      <t>Undetermined</t>
    </r>
  </si>
  <si>
    <r>
      <rPr>
        <sz val="9"/>
        <color theme="1"/>
        <rFont val="Arial"/>
        <family val="2"/>
      </rPr>
      <t>SANDIEGOZ</t>
    </r>
  </si>
  <si>
    <r>
      <rPr>
        <sz val="9"/>
        <color theme="1"/>
        <rFont val="Arial"/>
        <family val="2"/>
      </rPr>
      <t>SANDIEGOZ</t>
    </r>
  </si>
  <si>
    <r>
      <rPr>
        <sz val="9"/>
        <color theme="1"/>
        <rFont val="Arial"/>
        <family val="2"/>
      </rPr>
      <t>CLEVELAND</t>
    </r>
  </si>
  <si>
    <r>
      <rPr>
        <sz val="9"/>
        <color theme="1"/>
        <rFont val="Arial"/>
        <family val="2"/>
      </rPr>
      <t>M81010</t>
    </r>
  </si>
  <si>
    <r>
      <rPr>
        <sz val="9"/>
        <color theme="1"/>
        <rFont val="Arial"/>
        <family val="2"/>
      </rPr>
      <t>Female</t>
    </r>
  </si>
  <si>
    <r>
      <rPr>
        <sz val="9"/>
        <color theme="1"/>
        <rFont val="Arial"/>
        <family val="2"/>
      </rPr>
      <t>PUEBLO</t>
    </r>
  </si>
  <si>
    <r>
      <rPr>
        <sz val="9"/>
        <color theme="1"/>
        <rFont val="Arial"/>
        <family val="2"/>
      </rPr>
      <t>CLEVELAND</t>
    </r>
  </si>
  <si>
    <r>
      <rPr>
        <sz val="9"/>
        <color theme="1"/>
        <rFont val="Arial"/>
        <family val="2"/>
      </rPr>
      <t>CLEVELAND</t>
    </r>
  </si>
  <si>
    <r>
      <rPr>
        <sz val="9"/>
        <color theme="1"/>
        <rFont val="Arial"/>
        <family val="2"/>
      </rPr>
      <t>OMAHA</t>
    </r>
  </si>
  <si>
    <r>
      <rPr>
        <sz val="9"/>
        <color theme="1"/>
        <rFont val="Arial"/>
        <family val="2"/>
      </rPr>
      <t>Male</t>
    </r>
  </si>
  <si>
    <r>
      <rPr>
        <sz val="9"/>
        <color theme="1"/>
        <rFont val="Arial"/>
        <family val="2"/>
      </rPr>
      <t>PUEBLO</t>
    </r>
  </si>
  <si>
    <r>
      <rPr>
        <sz val="9"/>
        <color theme="1"/>
        <rFont val="Arial"/>
        <family val="2"/>
      </rPr>
      <t>OMAHA</t>
    </r>
  </si>
  <si>
    <r>
      <rPr>
        <sz val="9"/>
        <color theme="1"/>
        <rFont val="Arial"/>
        <family val="2"/>
      </rPr>
      <t>OMAHA</t>
    </r>
  </si>
  <si>
    <r>
      <rPr>
        <sz val="9"/>
        <color theme="1"/>
        <rFont val="Arial"/>
        <family val="2"/>
      </rPr>
      <t>CINCINNAT</t>
    </r>
  </si>
  <si>
    <r>
      <rPr>
        <sz val="9"/>
        <color theme="1"/>
        <rFont val="Arial"/>
        <family val="2"/>
      </rPr>
      <t>Male</t>
    </r>
  </si>
  <si>
    <r>
      <rPr>
        <sz val="9"/>
        <color theme="1"/>
        <rFont val="Arial"/>
        <family val="2"/>
      </rPr>
      <t>AKRON</t>
    </r>
  </si>
  <si>
    <r>
      <rPr>
        <sz val="9"/>
        <color theme="1"/>
        <rFont val="Arial"/>
        <family val="2"/>
      </rPr>
      <t>CINCINNAT</t>
    </r>
  </si>
  <si>
    <r>
      <rPr>
        <sz val="9"/>
        <color theme="1"/>
        <rFont val="Arial"/>
        <family val="2"/>
      </rPr>
      <t>CINCINNAT</t>
    </r>
  </si>
  <si>
    <r>
      <rPr>
        <sz val="9"/>
        <color theme="1"/>
        <rFont val="Arial"/>
        <family val="2"/>
      </rPr>
      <t>MOODY</t>
    </r>
  </si>
  <si>
    <r>
      <rPr>
        <sz val="9"/>
        <color theme="1"/>
        <rFont val="Arial"/>
        <family val="2"/>
      </rPr>
      <t>Female</t>
    </r>
  </si>
  <si>
    <r>
      <rPr>
        <sz val="9"/>
        <color theme="1"/>
        <rFont val="Arial"/>
        <family val="2"/>
      </rPr>
      <t>MOODY</t>
    </r>
  </si>
  <si>
    <r>
      <rPr>
        <sz val="9"/>
        <color theme="1"/>
        <rFont val="Arial"/>
        <family val="2"/>
      </rPr>
      <t>MOODY</t>
    </r>
  </si>
  <si>
    <r>
      <rPr>
        <sz val="9"/>
        <color theme="1"/>
        <rFont val="Arial"/>
        <family val="2"/>
      </rPr>
      <t>MOODY</t>
    </r>
  </si>
  <si>
    <r>
      <rPr>
        <sz val="9"/>
        <color theme="1"/>
        <rFont val="Arial"/>
        <family val="2"/>
      </rPr>
      <t>Female</t>
    </r>
  </si>
  <si>
    <r>
      <rPr>
        <sz val="9"/>
        <color theme="1"/>
        <rFont val="Arial"/>
        <family val="2"/>
      </rPr>
      <t>MOODY</t>
    </r>
  </si>
  <si>
    <r>
      <rPr>
        <sz val="9"/>
        <color theme="1"/>
        <rFont val="Arial"/>
        <family val="2"/>
      </rPr>
      <t>MOODY</t>
    </r>
  </si>
  <si>
    <r>
      <rPr>
        <sz val="9"/>
        <color theme="1"/>
        <rFont val="Arial"/>
        <family val="2"/>
      </rPr>
      <t>OMAHA</t>
    </r>
  </si>
  <si>
    <r>
      <rPr>
        <sz val="9"/>
        <color theme="1"/>
        <rFont val="Arial"/>
        <family val="2"/>
      </rPr>
      <t>Undetermined</t>
    </r>
  </si>
  <si>
    <r>
      <rPr>
        <sz val="9"/>
        <color theme="1"/>
        <rFont val="Arial"/>
        <family val="2"/>
      </rPr>
      <t>OMAHA</t>
    </r>
  </si>
  <si>
    <r>
      <rPr>
        <sz val="9"/>
        <color theme="1"/>
        <rFont val="Arial"/>
        <family val="2"/>
      </rPr>
      <t>OMAHA</t>
    </r>
  </si>
  <si>
    <r>
      <rPr>
        <sz val="9"/>
        <color theme="1"/>
        <rFont val="Arial"/>
        <family val="2"/>
      </rPr>
      <t>PHILADELP</t>
    </r>
  </si>
  <si>
    <r>
      <rPr>
        <sz val="9"/>
        <color theme="1"/>
        <rFont val="Arial"/>
        <family val="2"/>
      </rPr>
      <t>Male</t>
    </r>
  </si>
  <si>
    <r>
      <rPr>
        <sz val="9"/>
        <color theme="1"/>
        <rFont val="Arial"/>
        <family val="2"/>
      </rPr>
      <t>PHILADELP</t>
    </r>
  </si>
  <si>
    <r>
      <rPr>
        <sz val="9"/>
        <color theme="1"/>
        <rFont val="Arial"/>
        <family val="2"/>
      </rPr>
      <t>PHILADELP</t>
    </r>
  </si>
  <si>
    <r>
      <rPr>
        <sz val="9"/>
        <color theme="1"/>
        <rFont val="Arial"/>
        <family val="2"/>
      </rPr>
      <t>AKRON</t>
    </r>
  </si>
  <si>
    <r>
      <rPr>
        <sz val="9"/>
        <color theme="1"/>
        <rFont val="Arial"/>
        <family val="2"/>
      </rPr>
      <t>Female</t>
    </r>
  </si>
  <si>
    <r>
      <rPr>
        <sz val="9"/>
        <color theme="1"/>
        <rFont val="Arial"/>
        <family val="2"/>
      </rPr>
      <t>AKRON</t>
    </r>
  </si>
  <si>
    <t>DO NOT BREED</t>
  </si>
  <si>
    <t>Excluded Behavior</t>
  </si>
  <si>
    <r>
      <rPr>
        <sz val="9"/>
        <color theme="1"/>
        <rFont val="Arial"/>
        <family val="2"/>
      </rPr>
      <t>PHILADELP</t>
    </r>
  </si>
  <si>
    <t>PROSPECTP</t>
  </si>
  <si>
    <t>AKRON</t>
  </si>
  <si>
    <r>
      <rPr>
        <sz val="9"/>
        <color theme="1"/>
        <rFont val="Arial"/>
        <family val="2"/>
      </rPr>
      <t>AKRON</t>
    </r>
  </si>
  <si>
    <r>
      <rPr>
        <sz val="9"/>
        <color theme="1"/>
        <rFont val="Arial"/>
        <family val="2"/>
      </rPr>
      <t>Female</t>
    </r>
  </si>
  <si>
    <r>
      <rPr>
        <sz val="9"/>
        <color theme="1"/>
        <rFont val="Arial"/>
        <family val="2"/>
      </rPr>
      <t>PHILADELP</t>
    </r>
  </si>
  <si>
    <r>
      <rPr>
        <sz val="9"/>
        <color theme="1"/>
        <rFont val="Arial"/>
        <family val="2"/>
      </rPr>
      <t>PROSPECTP</t>
    </r>
  </si>
  <si>
    <r>
      <rPr>
        <sz val="9"/>
        <color theme="1"/>
        <rFont val="Arial"/>
        <family val="2"/>
      </rPr>
      <t>AKRON</t>
    </r>
  </si>
  <si>
    <r>
      <rPr>
        <sz val="9"/>
        <color theme="1"/>
        <rFont val="Arial"/>
        <family val="2"/>
      </rPr>
      <t>PUEBLO</t>
    </r>
  </si>
  <si>
    <r>
      <rPr>
        <sz val="9"/>
        <color theme="1"/>
        <rFont val="Arial"/>
        <family val="2"/>
      </rPr>
      <t>M28004</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</si>
  <si>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</si>
  <si>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</si>
  <si>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</si>
  <si>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SANDIEGOZ</t>
    </r>
  </si>
  <si>
    <r>
      <rPr>
        <sz val="9"/>
        <color theme="1"/>
        <rFont val="Arial"/>
        <family val="2"/>
      </rPr>
      <t>Female</t>
    </r>
  </si>
  <si>
    <r>
      <rPr>
        <sz val="9"/>
        <color theme="1"/>
        <rFont val="Arial"/>
        <family val="2"/>
      </rPr>
      <t>ABQBIOPK</t>
    </r>
  </si>
  <si>
    <r>
      <rPr>
        <sz val="9"/>
        <color theme="1"/>
        <rFont val="Arial"/>
        <family val="2"/>
      </rPr>
      <t>SANDIEGOZ</t>
    </r>
  </si>
  <si>
    <r>
      <rPr>
        <sz val="9"/>
        <color theme="1"/>
        <rFont val="Arial"/>
        <family val="2"/>
      </rPr>
      <t>SANDIEGOZ</t>
    </r>
  </si>
  <si>
    <r>
      <rPr>
        <sz val="9"/>
        <color theme="1"/>
        <rFont val="Arial"/>
        <family val="2"/>
      </rPr>
      <t>AKRON</t>
    </r>
  </si>
  <si>
    <r>
      <rPr>
        <sz val="9"/>
        <color theme="1"/>
        <rFont val="Arial"/>
        <family val="2"/>
      </rPr>
      <t>Female</t>
    </r>
  </si>
  <si>
    <r>
      <rPr>
        <sz val="9"/>
        <color theme="1"/>
        <rFont val="Arial"/>
        <family val="2"/>
      </rPr>
      <t>ABQBIOPK</t>
    </r>
  </si>
  <si>
    <r>
      <rPr>
        <sz val="9"/>
        <color theme="1"/>
        <rFont val="Arial"/>
        <family val="2"/>
      </rPr>
      <t>AKRON</t>
    </r>
  </si>
  <si>
    <r>
      <rPr>
        <sz val="9"/>
        <color theme="1"/>
        <rFont val="Arial"/>
        <family val="2"/>
      </rPr>
      <t>DUKE PRIM</t>
    </r>
  </si>
  <si>
    <r>
      <rPr>
        <sz val="9"/>
        <color theme="1"/>
        <rFont val="Arial"/>
        <family val="2"/>
      </rPr>
      <t>AKRON</t>
    </r>
  </si>
  <si>
    <r>
      <rPr>
        <sz val="9"/>
        <color theme="1"/>
        <rFont val="Arial"/>
        <family val="2"/>
      </rPr>
      <t>OMAHA</t>
    </r>
  </si>
  <si>
    <r>
      <rPr>
        <sz val="9"/>
        <color theme="1"/>
        <rFont val="Arial"/>
        <family val="2"/>
      </rPr>
      <t>Male</t>
    </r>
  </si>
  <si>
    <r>
      <rPr>
        <sz val="9"/>
        <color theme="1"/>
        <rFont val="Arial"/>
        <family val="2"/>
      </rPr>
      <t>CLEVELAND</t>
    </r>
  </si>
  <si>
    <r>
      <rPr>
        <sz val="9"/>
        <color theme="1"/>
        <rFont val="Arial"/>
        <family val="2"/>
      </rPr>
      <t>OMAHA</t>
    </r>
  </si>
  <si>
    <r>
      <rPr>
        <sz val="9"/>
        <color theme="1"/>
        <rFont val="Arial"/>
        <family val="2"/>
      </rPr>
      <t>MEMPHIS</t>
    </r>
  </si>
  <si>
    <r>
      <rPr>
        <sz val="9"/>
        <color theme="1"/>
        <rFont val="Arial"/>
        <family val="2"/>
      </rPr>
      <t>OMAHA</t>
    </r>
  </si>
  <si>
    <r>
      <rPr>
        <sz val="9"/>
        <color theme="1"/>
        <rFont val="Arial"/>
        <family val="2"/>
      </rPr>
      <t>CLEVELAND</t>
    </r>
  </si>
  <si>
    <r>
      <rPr>
        <sz val="9"/>
        <color theme="1"/>
        <rFont val="Arial"/>
        <family val="2"/>
      </rPr>
      <t>M91135</t>
    </r>
  </si>
  <si>
    <r>
      <rPr>
        <sz val="9"/>
        <color theme="1"/>
        <rFont val="Arial"/>
        <family val="2"/>
      </rPr>
      <t>Undetermined</t>
    </r>
  </si>
  <si>
    <r>
      <rPr>
        <sz val="9"/>
        <color theme="1"/>
        <rFont val="Arial"/>
        <family val="2"/>
      </rPr>
      <t>CLEVELAND</t>
    </r>
  </si>
  <si>
    <r>
      <rPr>
        <sz val="9"/>
        <color theme="1"/>
        <rFont val="Arial"/>
        <family val="2"/>
      </rPr>
      <t>CLEVELAND</t>
    </r>
  </si>
  <si>
    <r>
      <rPr>
        <sz val="9"/>
        <color theme="1"/>
        <rFont val="Arial"/>
        <family val="2"/>
      </rPr>
      <t>MOODY</t>
    </r>
  </si>
  <si>
    <r>
      <rPr>
        <sz val="9"/>
        <color theme="1"/>
        <rFont val="Arial"/>
        <family val="2"/>
      </rPr>
      <t>Male</t>
    </r>
  </si>
  <si>
    <r>
      <rPr>
        <sz val="9"/>
        <color theme="1"/>
        <rFont val="Arial"/>
        <family val="2"/>
      </rPr>
      <t>MOODY</t>
    </r>
  </si>
  <si>
    <r>
      <rPr>
        <sz val="9"/>
        <color theme="1"/>
        <rFont val="Arial"/>
        <family val="2"/>
      </rPr>
      <t>MOODY</t>
    </r>
  </si>
  <si>
    <r>
      <rPr>
        <sz val="9"/>
        <color theme="1"/>
        <rFont val="Arial"/>
        <family val="2"/>
      </rPr>
      <t>PHILADELP</t>
    </r>
  </si>
  <si>
    <r>
      <rPr>
        <sz val="9"/>
        <color theme="1"/>
        <rFont val="Arial"/>
        <family val="2"/>
      </rPr>
      <t>Male</t>
    </r>
  </si>
  <si>
    <r>
      <rPr>
        <sz val="9"/>
        <color theme="1"/>
        <rFont val="Arial"/>
        <family val="2"/>
      </rPr>
      <t>PHILADELP</t>
    </r>
  </si>
  <si>
    <r>
      <rPr>
        <sz val="9"/>
        <color theme="1"/>
        <rFont val="Arial"/>
        <family val="2"/>
      </rPr>
      <t>PHILADELP</t>
    </r>
  </si>
  <si>
    <r>
      <rPr>
        <sz val="9"/>
        <color theme="1"/>
        <rFont val="Arial"/>
        <family val="2"/>
      </rPr>
      <t>ABQBIOPK</t>
    </r>
  </si>
  <si>
    <r>
      <rPr>
        <sz val="9"/>
        <color theme="1"/>
        <rFont val="Arial"/>
        <family val="2"/>
      </rPr>
      <t>M09022</t>
    </r>
  </si>
  <si>
    <r>
      <rPr>
        <sz val="9"/>
        <color theme="1"/>
        <rFont val="Arial"/>
        <family val="2"/>
      </rPr>
      <t>Male</t>
    </r>
  </si>
  <si>
    <r>
      <rPr>
        <sz val="9"/>
        <color theme="1"/>
        <rFont val="Arial"/>
        <family val="2"/>
      </rPr>
      <t>ABQBIOPK</t>
    </r>
  </si>
  <si>
    <r>
      <rPr>
        <sz val="9"/>
        <color theme="1"/>
        <rFont val="Arial"/>
        <family val="2"/>
      </rPr>
      <t>ABQBIOPK</t>
    </r>
  </si>
  <si>
    <r>
      <rPr>
        <sz val="9"/>
        <color theme="1"/>
        <rFont val="Arial"/>
        <family val="2"/>
      </rPr>
      <t>CHICAGOBR</t>
    </r>
  </si>
  <si>
    <r>
      <rPr>
        <sz val="9"/>
        <color theme="1"/>
        <rFont val="Arial"/>
        <family val="2"/>
      </rPr>
      <t>Male</t>
    </r>
  </si>
  <si>
    <r>
      <rPr>
        <sz val="9"/>
        <color theme="1"/>
        <rFont val="Arial"/>
        <family val="2"/>
      </rPr>
      <t>CHICAGOBR</t>
    </r>
  </si>
  <si>
    <r>
      <rPr>
        <sz val="9"/>
        <color theme="1"/>
        <rFont val="Arial"/>
        <family val="2"/>
      </rPr>
      <t>MOODY</t>
    </r>
  </si>
  <si>
    <r>
      <rPr>
        <sz val="9"/>
        <color theme="1"/>
        <rFont val="Arial"/>
        <family val="2"/>
      </rPr>
      <t>CHICAGOBR</t>
    </r>
  </si>
  <si>
    <r>
      <rPr>
        <sz val="9"/>
        <color theme="1"/>
        <rFont val="Arial"/>
        <family val="2"/>
      </rPr>
      <t>PUEBLO</t>
    </r>
  </si>
  <si>
    <r>
      <rPr>
        <sz val="9"/>
        <color theme="1"/>
        <rFont val="Arial"/>
        <family val="2"/>
      </rPr>
      <t>M39021</t>
    </r>
  </si>
  <si>
    <r>
      <rPr>
        <sz val="9"/>
        <color theme="1"/>
        <rFont val="Arial"/>
        <family val="2"/>
      </rPr>
      <t>Female</t>
    </r>
  </si>
  <si>
    <r>
      <rPr>
        <sz val="9"/>
        <color theme="1"/>
        <rFont val="Arial"/>
        <family val="2"/>
      </rPr>
      <t>ABQBIOPK</t>
    </r>
  </si>
  <si>
    <r>
      <rPr>
        <sz val="9"/>
        <color theme="1"/>
        <rFont val="Arial"/>
        <family val="2"/>
      </rPr>
      <t>PUEBLO</t>
    </r>
  </si>
  <si>
    <r>
      <rPr>
        <sz val="9"/>
        <color theme="1"/>
        <rFont val="Arial"/>
        <family val="2"/>
      </rPr>
      <t>CHICAGOLP</t>
    </r>
  </si>
  <si>
    <r>
      <rPr>
        <sz val="9"/>
        <color theme="1"/>
        <rFont val="Arial"/>
        <family val="2"/>
      </rPr>
      <t>Male</t>
    </r>
  </si>
  <si>
    <r>
      <rPr>
        <sz val="9"/>
        <color theme="1"/>
        <rFont val="Arial"/>
        <family val="2"/>
      </rPr>
      <t>CHICAGOLP</t>
    </r>
  </si>
  <si>
    <r>
      <rPr>
        <sz val="9"/>
        <color theme="1"/>
        <rFont val="Arial"/>
        <family val="2"/>
      </rPr>
      <t>CHICAGOLP</t>
    </r>
  </si>
  <si>
    <r>
      <rPr>
        <sz val="9"/>
        <color theme="1"/>
        <rFont val="Arial"/>
        <family val="2"/>
      </rPr>
      <t>CHICAGOLP</t>
    </r>
  </si>
  <si>
    <r>
      <rPr>
        <sz val="9"/>
        <color theme="1"/>
        <rFont val="Arial"/>
        <family val="2"/>
      </rPr>
      <t>Female</t>
    </r>
  </si>
  <si>
    <r>
      <rPr>
        <sz val="9"/>
        <color theme="1"/>
        <rFont val="Arial"/>
        <family val="2"/>
      </rPr>
      <t>CHICAGOLP</t>
    </r>
  </si>
  <si>
    <r>
      <rPr>
        <sz val="9"/>
        <color theme="1"/>
        <rFont val="Arial"/>
        <family val="2"/>
      </rPr>
      <t>CHICAGOLP</t>
    </r>
  </si>
  <si>
    <r>
      <rPr>
        <sz val="9"/>
        <color theme="1"/>
        <rFont val="Arial"/>
        <family val="2"/>
      </rPr>
      <t>CINCINNAT</t>
    </r>
  </si>
  <si>
    <r>
      <rPr>
        <sz val="9"/>
        <color theme="1"/>
        <rFont val="Arial"/>
        <family val="2"/>
      </rPr>
      <t>Male</t>
    </r>
  </si>
  <si>
    <r>
      <rPr>
        <sz val="9"/>
        <color theme="1"/>
        <rFont val="Arial"/>
        <family val="2"/>
      </rPr>
      <t>CINCINNAT</t>
    </r>
  </si>
  <si>
    <r>
      <rPr>
        <sz val="9"/>
        <color theme="1"/>
        <rFont val="Arial"/>
        <family val="2"/>
      </rPr>
      <t>DUKE PRIM</t>
    </r>
  </si>
  <si>
    <r>
      <rPr>
        <sz val="9"/>
        <color theme="1"/>
        <rFont val="Arial"/>
        <family val="2"/>
      </rPr>
      <t>MEMPHIS</t>
    </r>
  </si>
  <si>
    <r>
      <rPr>
        <sz val="9"/>
        <color theme="1"/>
        <rFont val="Arial"/>
        <family val="2"/>
      </rPr>
      <t>CINCINNAT</t>
    </r>
  </si>
  <si>
    <r>
      <rPr>
        <sz val="9"/>
        <color theme="1"/>
        <rFont val="Arial"/>
        <family val="2"/>
      </rPr>
      <t>PHILADELP</t>
    </r>
  </si>
  <si>
    <r>
      <rPr>
        <sz val="9"/>
        <color theme="1"/>
        <rFont val="Arial"/>
        <family val="2"/>
      </rPr>
      <t>Female</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</si>
  <si>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</si>
  <si>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</si>
  <si>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</si>
  <si>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PHILADELP</t>
    </r>
  </si>
  <si>
    <r>
      <rPr>
        <sz val="9"/>
        <color theme="1"/>
        <rFont val="Arial"/>
        <family val="2"/>
      </rPr>
      <t>PHILADELP</t>
    </r>
  </si>
  <si>
    <r>
      <rPr>
        <sz val="9"/>
        <color theme="1"/>
        <rFont val="Arial"/>
        <family val="2"/>
      </rPr>
      <t>CINCINNAT</t>
    </r>
  </si>
  <si>
    <t>UNK</t>
  </si>
  <si>
    <r>
      <rPr>
        <sz val="9"/>
        <color theme="1"/>
        <rFont val="Arial"/>
        <family val="2"/>
      </rPr>
      <t>Female</t>
    </r>
  </si>
  <si>
    <r>
      <rPr>
        <sz val="9"/>
        <color theme="1"/>
        <rFont val="Arial"/>
        <family val="2"/>
      </rPr>
      <t>CINCINNAT</t>
    </r>
  </si>
  <si>
    <r>
      <rPr>
        <sz val="9"/>
        <color theme="1"/>
        <rFont val="Arial"/>
        <family val="2"/>
      </rPr>
      <t>MOODY</t>
    </r>
  </si>
  <si>
    <t>CINCINNAT</t>
  </si>
  <si>
    <t>CLEVELAND</t>
  </si>
  <si>
    <r>
      <rPr>
        <sz val="9"/>
        <color theme="1"/>
        <rFont val="Arial"/>
        <family val="2"/>
      </rPr>
      <t>Male</t>
    </r>
  </si>
  <si>
    <t>SEND TO</t>
  </si>
  <si>
    <t>Male #2667 will remain at your facility at least until June 2022 since the female he will be paired with does not turn one until then and therefore cannot leave her group.</t>
  </si>
  <si>
    <r>
      <rPr>
        <sz val="9"/>
        <color theme="1"/>
        <rFont val="Arial"/>
        <family val="2"/>
      </rPr>
      <t>COLUMBUS</t>
    </r>
  </si>
  <si>
    <r>
      <rPr>
        <sz val="9"/>
        <color theme="1"/>
        <rFont val="Arial"/>
        <family val="2"/>
      </rPr>
      <t>DUKE PRIM</t>
    </r>
  </si>
  <si>
    <r>
      <rPr>
        <sz val="9"/>
        <color theme="1"/>
        <rFont val="Arial"/>
        <family val="2"/>
      </rPr>
      <t>Male</t>
    </r>
  </si>
  <si>
    <r>
      <rPr>
        <sz val="9"/>
        <color theme="1"/>
        <rFont val="Arial"/>
        <family val="2"/>
      </rPr>
      <t>GARDENCTY</t>
    </r>
  </si>
  <si>
    <r>
      <rPr>
        <sz val="9"/>
        <color theme="1"/>
        <rFont val="Arial"/>
        <family val="2"/>
      </rPr>
      <t>DUKE PRIM</t>
    </r>
  </si>
  <si>
    <r>
      <rPr>
        <sz val="9"/>
        <color theme="1"/>
        <rFont val="Arial"/>
        <family val="2"/>
      </rPr>
      <t>DUKE PRIM</t>
    </r>
  </si>
  <si>
    <r>
      <rPr>
        <sz val="9"/>
        <color theme="1"/>
        <rFont val="Arial"/>
        <family val="2"/>
      </rPr>
      <t>CINCINNAT</t>
    </r>
  </si>
  <si>
    <r>
      <rPr>
        <sz val="9"/>
        <color theme="1"/>
        <rFont val="Arial"/>
        <family val="2"/>
      </rPr>
      <t>Female</t>
    </r>
  </si>
  <si>
    <r>
      <rPr>
        <sz val="9"/>
        <color theme="1"/>
        <rFont val="Arial"/>
        <family val="2"/>
      </rPr>
      <t>GARDENCTY</t>
    </r>
  </si>
  <si>
    <r>
      <rPr>
        <sz val="9"/>
        <color theme="1"/>
        <rFont val="Arial"/>
        <family val="2"/>
      </rPr>
      <t>CINCINNAT</t>
    </r>
  </si>
  <si>
    <r>
      <rPr>
        <sz val="9"/>
        <color theme="1"/>
        <rFont val="Arial"/>
        <family val="2"/>
      </rPr>
      <t>CINCINNAT</t>
    </r>
  </si>
  <si>
    <r>
      <rPr>
        <sz val="9"/>
        <color theme="1"/>
        <rFont val="Arial"/>
        <family val="2"/>
      </rPr>
      <t>CHICAGOBR</t>
    </r>
  </si>
  <si>
    <r>
      <rPr>
        <sz val="9"/>
        <color theme="1"/>
        <rFont val="Arial"/>
        <family val="2"/>
      </rPr>
      <t>Female</t>
    </r>
  </si>
  <si>
    <r>
      <rPr>
        <sz val="9"/>
        <color theme="1"/>
        <rFont val="Arial"/>
        <family val="2"/>
      </rPr>
      <t>GARDENCTY</t>
    </r>
  </si>
  <si>
    <r>
      <rPr>
        <sz val="9"/>
        <color theme="1"/>
        <rFont val="Arial"/>
        <family val="2"/>
      </rPr>
      <t>CHICAGOBR</t>
    </r>
  </si>
  <si>
    <t>Female</t>
  </si>
  <si>
    <t>LITTLEROC</t>
  </si>
  <si>
    <r>
      <rPr>
        <sz val="9"/>
        <color theme="1"/>
        <rFont val="Arial"/>
        <family val="2"/>
      </rPr>
      <t>MINNESOTA</t>
    </r>
  </si>
  <si>
    <r>
      <rPr>
        <sz val="9"/>
        <color theme="1"/>
        <rFont val="Arial"/>
        <family val="2"/>
      </rPr>
      <t>UNK</t>
    </r>
  </si>
  <si>
    <r>
      <rPr>
        <sz val="9"/>
        <color theme="1"/>
        <rFont val="Arial"/>
        <family val="2"/>
      </rPr>
      <t>Undetermined</t>
    </r>
  </si>
  <si>
    <r>
      <rPr>
        <sz val="9"/>
        <color theme="1"/>
        <rFont val="Arial"/>
        <family val="2"/>
      </rPr>
      <t>MINNESOTA</t>
    </r>
  </si>
  <si>
    <r>
      <rPr>
        <sz val="9"/>
        <color theme="1"/>
        <rFont val="Arial"/>
        <family val="2"/>
      </rPr>
      <t>MINNESOTA</t>
    </r>
  </si>
  <si>
    <r>
      <rPr>
        <sz val="9"/>
        <color theme="1"/>
        <rFont val="Arial"/>
        <family val="2"/>
      </rPr>
      <t>MINNESOTA</t>
    </r>
  </si>
  <si>
    <r>
      <rPr>
        <sz val="9"/>
        <color theme="1"/>
        <rFont val="Arial"/>
        <family val="2"/>
      </rPr>
      <t>UNK</t>
    </r>
  </si>
  <si>
    <r>
      <rPr>
        <sz val="9"/>
        <color theme="1"/>
        <rFont val="Arial"/>
        <family val="2"/>
      </rPr>
      <t>Undetermined</t>
    </r>
  </si>
  <si>
    <r>
      <rPr>
        <sz val="9"/>
        <color theme="1"/>
        <rFont val="Arial"/>
        <family val="2"/>
      </rPr>
      <t>MINNESOTA</t>
    </r>
  </si>
  <si>
    <r>
      <rPr>
        <sz val="9"/>
        <color theme="1"/>
        <rFont val="Arial"/>
        <family val="2"/>
      </rPr>
      <t>MINNESOTA</t>
    </r>
  </si>
  <si>
    <r>
      <rPr>
        <sz val="9"/>
        <color theme="1"/>
        <rFont val="Arial"/>
        <family val="2"/>
      </rPr>
      <t>MINNESOTA</t>
    </r>
  </si>
  <si>
    <r>
      <rPr>
        <sz val="9"/>
        <color theme="1"/>
        <rFont val="Arial"/>
        <family val="2"/>
      </rPr>
      <t>UNK</t>
    </r>
  </si>
  <si>
    <r>
      <rPr>
        <sz val="9"/>
        <color theme="1"/>
        <rFont val="Arial"/>
        <family val="2"/>
      </rPr>
      <t>Undetermined</t>
    </r>
  </si>
  <si>
    <r>
      <rPr>
        <sz val="9"/>
        <color theme="1"/>
        <rFont val="Arial"/>
        <family val="2"/>
      </rPr>
      <t>MINNESOTA</t>
    </r>
  </si>
  <si>
    <r>
      <rPr>
        <sz val="9"/>
        <color theme="1"/>
        <rFont val="Arial"/>
        <family val="2"/>
      </rPr>
      <t>MINNESOTA</t>
    </r>
  </si>
  <si>
    <r>
      <rPr>
        <sz val="9"/>
        <color theme="1"/>
        <rFont val="Arial"/>
        <family val="2"/>
      </rPr>
      <t>COLUMBUS</t>
    </r>
  </si>
  <si>
    <r>
      <rPr>
        <sz val="9"/>
        <color theme="1"/>
        <rFont val="Arial"/>
        <family val="2"/>
      </rPr>
      <t>Female</t>
    </r>
  </si>
  <si>
    <r>
      <rPr>
        <sz val="9"/>
        <color theme="1"/>
        <rFont val="Arial"/>
        <family val="2"/>
      </rPr>
      <t>CLEVELAND</t>
    </r>
  </si>
  <si>
    <r>
      <rPr>
        <sz val="9"/>
        <color theme="1"/>
        <rFont val="Arial"/>
        <family val="2"/>
      </rPr>
      <t>COLUMBUS</t>
    </r>
  </si>
  <si>
    <r>
      <rPr>
        <sz val="9"/>
        <color theme="1"/>
        <rFont val="Arial"/>
        <family val="2"/>
      </rPr>
      <t>CHICAGOBR</t>
    </r>
  </si>
  <si>
    <r>
      <rPr>
        <sz val="9"/>
        <color theme="1"/>
        <rFont val="Arial"/>
        <family val="2"/>
      </rPr>
      <t>Male</t>
    </r>
  </si>
  <si>
    <r>
      <rPr>
        <sz val="9"/>
        <color theme="1"/>
        <rFont val="Arial"/>
        <family val="2"/>
      </rPr>
      <t>MOODY</t>
    </r>
  </si>
  <si>
    <r>
      <rPr>
        <sz val="9"/>
        <color theme="1"/>
        <rFont val="Arial"/>
        <family val="2"/>
      </rPr>
      <t>CHICAGOBR</t>
    </r>
  </si>
  <si>
    <r>
      <rPr>
        <sz val="9"/>
        <color theme="1"/>
        <rFont val="Arial"/>
        <family val="2"/>
      </rPr>
      <t>DULUTH</t>
    </r>
  </si>
  <si>
    <r>
      <rPr>
        <sz val="9"/>
        <color theme="1"/>
        <rFont val="Arial"/>
        <family val="2"/>
      </rPr>
      <t>Female</t>
    </r>
  </si>
  <si>
    <r>
      <rPr>
        <sz val="9"/>
        <color theme="1"/>
        <rFont val="Arial"/>
        <family val="2"/>
      </rPr>
      <t>DULUTH</t>
    </r>
  </si>
  <si>
    <r>
      <rPr>
        <sz val="9"/>
        <color theme="1"/>
        <rFont val="Arial"/>
        <family val="2"/>
      </rPr>
      <t>COLUMBUS</t>
    </r>
  </si>
  <si>
    <r>
      <rPr>
        <sz val="9"/>
        <color theme="1"/>
        <rFont val="Arial"/>
        <family val="2"/>
      </rPr>
      <t>DULUTH</t>
    </r>
  </si>
  <si>
    <r>
      <rPr>
        <sz val="9"/>
        <color theme="1"/>
        <rFont val="Arial"/>
        <family val="2"/>
      </rPr>
      <t>DULUTH</t>
    </r>
  </si>
  <si>
    <r>
      <rPr>
        <sz val="9"/>
        <color theme="1"/>
        <rFont val="Arial"/>
        <family val="2"/>
      </rPr>
      <t>Male</t>
    </r>
  </si>
  <si>
    <r>
      <rPr>
        <sz val="9"/>
        <color theme="1"/>
        <rFont val="Arial"/>
        <family val="2"/>
      </rPr>
      <t>DULUTH</t>
    </r>
  </si>
  <si>
    <r>
      <rPr>
        <sz val="9"/>
        <color theme="1"/>
        <rFont val="Arial"/>
        <family val="2"/>
      </rPr>
      <t>CHICAGOLP</t>
    </r>
  </si>
  <si>
    <r>
      <rPr>
        <sz val="9"/>
        <color theme="1"/>
        <rFont val="Arial"/>
        <family val="2"/>
      </rPr>
      <t>DULUTH</t>
    </r>
  </si>
  <si>
    <r>
      <rPr>
        <sz val="9"/>
        <color theme="1"/>
        <rFont val="Arial"/>
        <family val="2"/>
      </rPr>
      <t>EL PASO</t>
    </r>
  </si>
  <si>
    <r>
      <rPr>
        <sz val="9"/>
        <color theme="1"/>
        <rFont val="Arial"/>
        <family val="2"/>
      </rPr>
      <t>Female</t>
    </r>
  </si>
  <si>
    <r>
      <rPr>
        <sz val="9"/>
        <color theme="1"/>
        <rFont val="Arial"/>
        <family val="2"/>
      </rPr>
      <t>PHILADELP</t>
    </r>
  </si>
  <si>
    <r>
      <rPr>
        <sz val="9"/>
        <color theme="1"/>
        <rFont val="Arial"/>
        <family val="2"/>
      </rPr>
      <t>EL PASO</t>
    </r>
  </si>
  <si>
    <r>
      <rPr>
        <sz val="9"/>
        <color theme="1"/>
        <rFont val="Arial"/>
        <family val="2"/>
      </rPr>
      <t>PHILADELP</t>
    </r>
  </si>
  <si>
    <r>
      <rPr>
        <sz val="9"/>
        <color theme="1"/>
        <rFont val="Arial"/>
        <family val="2"/>
      </rPr>
      <t>Undetermined</t>
    </r>
  </si>
  <si>
    <r>
      <rPr>
        <sz val="9"/>
        <color theme="1"/>
        <rFont val="Arial"/>
        <family val="2"/>
      </rPr>
      <t>PHILADELP</t>
    </r>
  </si>
  <si>
    <r>
      <rPr>
        <sz val="9"/>
        <color theme="1"/>
        <rFont val="Arial"/>
        <family val="2"/>
      </rPr>
      <t>PHILADELP</t>
    </r>
  </si>
  <si>
    <r>
      <rPr>
        <sz val="9"/>
        <color theme="1"/>
        <rFont val="Arial"/>
        <family val="2"/>
      </rPr>
      <t>EL PASO</t>
    </r>
  </si>
  <si>
    <r>
      <rPr>
        <sz val="9"/>
        <color theme="1"/>
        <rFont val="Arial"/>
        <family val="2"/>
      </rPr>
      <t>Male</t>
    </r>
  </si>
  <si>
    <r>
      <rPr>
        <sz val="9"/>
        <color theme="1"/>
        <rFont val="Arial"/>
        <family val="2"/>
      </rPr>
      <t>EL PASO</t>
    </r>
  </si>
  <si>
    <t>This pair has a low likelihood of success due to the male’s age, however, please do not limit breeding. No recorded male has reproduced past the age of 16.</t>
  </si>
  <si>
    <r>
      <rPr>
        <sz val="9"/>
        <color theme="1"/>
        <rFont val="Arial"/>
        <family val="2"/>
      </rPr>
      <t>SANDIEGOZ</t>
    </r>
  </si>
  <si>
    <r>
      <rPr>
        <sz val="9"/>
        <color theme="1"/>
        <rFont val="Arial"/>
        <family val="2"/>
      </rPr>
      <t>WILD WRLD</t>
    </r>
  </si>
  <si>
    <r>
      <rPr>
        <sz val="9"/>
        <color theme="1"/>
        <rFont val="Arial"/>
        <family val="2"/>
      </rPr>
      <t>CLEVELAND</t>
    </r>
  </si>
  <si>
    <r>
      <rPr>
        <sz val="9"/>
        <color theme="1"/>
        <rFont val="Arial"/>
        <family val="2"/>
      </rPr>
      <t>EL PASO</t>
    </r>
  </si>
  <si>
    <r>
      <rPr>
        <sz val="9"/>
        <color theme="1"/>
        <rFont val="Arial"/>
        <family val="2"/>
      </rPr>
      <t>LITTLEROC</t>
    </r>
  </si>
  <si>
    <r>
      <rPr>
        <sz val="9"/>
        <color theme="1"/>
        <rFont val="Arial"/>
        <family val="2"/>
      </rPr>
      <t>Male</t>
    </r>
  </si>
  <si>
    <r>
      <rPr>
        <sz val="9"/>
        <color theme="1"/>
        <rFont val="Arial"/>
        <family val="2"/>
      </rPr>
      <t>ABQBIOPK</t>
    </r>
  </si>
  <si>
    <r>
      <rPr>
        <sz val="9"/>
        <color theme="1"/>
        <rFont val="Arial"/>
        <family val="2"/>
      </rPr>
      <t>LITTLEROC</t>
    </r>
  </si>
  <si>
    <r>
      <rPr>
        <sz val="9"/>
        <color theme="1"/>
        <rFont val="Arial"/>
        <family val="2"/>
      </rPr>
      <t>BLOOMINGT</t>
    </r>
  </si>
  <si>
    <r>
      <rPr>
        <sz val="9"/>
        <color theme="1"/>
        <rFont val="Arial"/>
        <family val="2"/>
      </rPr>
      <t>M17001</t>
    </r>
  </si>
  <si>
    <r>
      <rPr>
        <sz val="9"/>
        <color theme="1"/>
        <rFont val="Arial"/>
        <family val="2"/>
      </rPr>
      <t>Male</t>
    </r>
  </si>
  <si>
    <r>
      <rPr>
        <sz val="9"/>
        <color theme="1"/>
        <rFont val="Arial"/>
        <family val="2"/>
      </rPr>
      <t>ABQBIOPK</t>
    </r>
  </si>
  <si>
    <r>
      <rPr>
        <sz val="9"/>
        <color theme="1"/>
        <rFont val="Arial"/>
        <family val="2"/>
      </rPr>
      <t>BLOOMINGT</t>
    </r>
  </si>
  <si>
    <r>
      <rPr>
        <sz val="9"/>
        <color theme="1"/>
        <rFont val="Arial"/>
        <family val="2"/>
      </rPr>
      <t>BUSCH TAM</t>
    </r>
  </si>
  <si>
    <r>
      <rPr>
        <sz val="9"/>
        <color theme="1"/>
        <rFont val="Arial"/>
        <family val="2"/>
      </rPr>
      <t>BLOOMINGT</t>
    </r>
  </si>
  <si>
    <r>
      <rPr>
        <sz val="9"/>
        <color theme="1"/>
        <rFont val="Arial"/>
        <family val="2"/>
      </rPr>
      <t>NY BRONX</t>
    </r>
  </si>
  <si>
    <r>
      <rPr>
        <sz val="9"/>
        <color theme="1"/>
        <rFont val="Arial"/>
        <family val="2"/>
      </rPr>
      <t>Undetermined</t>
    </r>
  </si>
  <si>
    <r>
      <rPr>
        <sz val="9"/>
        <color theme="1"/>
        <rFont val="Arial"/>
        <family val="2"/>
      </rPr>
      <t>NY BRONX</t>
    </r>
  </si>
  <si>
    <r>
      <rPr>
        <sz val="9"/>
        <color theme="1"/>
        <rFont val="Arial"/>
        <family val="2"/>
      </rPr>
      <t>NY BRONX</t>
    </r>
  </si>
  <si>
    <r>
      <rPr>
        <sz val="9"/>
        <color theme="1"/>
        <rFont val="Arial"/>
        <family val="2"/>
      </rPr>
      <t>CHICAGOLP</t>
    </r>
  </si>
  <si>
    <r>
      <rPr>
        <sz val="9"/>
        <color theme="1"/>
        <rFont val="Arial"/>
        <family val="2"/>
      </rPr>
      <t>Female</t>
    </r>
  </si>
  <si>
    <r>
      <rPr>
        <sz val="9"/>
        <color theme="1"/>
        <rFont val="Arial"/>
        <family val="2"/>
      </rPr>
      <t>CHICAGOLP</t>
    </r>
  </si>
  <si>
    <r>
      <rPr>
        <sz val="9"/>
        <color theme="1"/>
        <rFont val="Arial"/>
        <family val="2"/>
      </rPr>
      <t>DUKE PRIM</t>
    </r>
  </si>
  <si>
    <r>
      <rPr>
        <sz val="9"/>
        <color theme="1"/>
        <rFont val="Arial"/>
        <family val="2"/>
      </rPr>
      <t>CHICAGOBR</t>
    </r>
  </si>
  <si>
    <r>
      <rPr>
        <sz val="9"/>
        <color theme="1"/>
        <rFont val="Arial"/>
        <family val="2"/>
      </rPr>
      <t>CHICAGOLP</t>
    </r>
  </si>
  <si>
    <r>
      <rPr>
        <sz val="9"/>
        <color theme="1"/>
        <rFont val="Arial"/>
        <family val="2"/>
      </rPr>
      <t>CHICAGOLP</t>
    </r>
  </si>
  <si>
    <r>
      <rPr>
        <sz val="9"/>
        <color theme="1"/>
        <rFont val="Arial"/>
        <family val="2"/>
      </rPr>
      <t>Female</t>
    </r>
  </si>
  <si>
    <r>
      <rPr>
        <sz val="9"/>
        <color theme="1"/>
        <rFont val="Arial"/>
        <family val="2"/>
      </rPr>
      <t>DUKE PRIM</t>
    </r>
  </si>
  <si>
    <r>
      <rPr>
        <sz val="9"/>
        <color theme="1"/>
        <rFont val="Arial"/>
        <family val="2"/>
      </rPr>
      <t>CHICAGOBR</t>
    </r>
  </si>
  <si>
    <r>
      <rPr>
        <sz val="9"/>
        <color theme="1"/>
        <rFont val="Arial"/>
        <family val="2"/>
      </rPr>
      <t>CHICAGOLP</t>
    </r>
  </si>
  <si>
    <r>
      <rPr>
        <sz val="9"/>
        <color theme="1"/>
        <rFont val="Arial"/>
        <family val="2"/>
      </rPr>
      <t>EL PASO</t>
    </r>
  </si>
  <si>
    <r>
      <rPr>
        <sz val="9"/>
        <color theme="1"/>
        <rFont val="Arial"/>
        <family val="2"/>
      </rPr>
      <t>Female</t>
    </r>
  </si>
  <si>
    <r>
      <rPr>
        <sz val="9"/>
        <color theme="1"/>
        <rFont val="Arial"/>
        <family val="2"/>
      </rPr>
      <t>EL PASO</t>
    </r>
  </si>
  <si>
    <r>
      <rPr>
        <sz val="9"/>
        <color theme="1"/>
        <rFont val="Arial"/>
        <family val="2"/>
      </rPr>
      <t>PHILADELP</t>
    </r>
  </si>
  <si>
    <r>
      <rPr>
        <sz val="9"/>
        <color theme="1"/>
        <rFont val="Arial"/>
        <family val="2"/>
      </rPr>
      <t>EL PASO</t>
    </r>
  </si>
  <si>
    <r>
      <rPr>
        <sz val="9"/>
        <color theme="1"/>
        <rFont val="Arial"/>
        <family val="2"/>
      </rPr>
      <t>MOODY</t>
    </r>
  </si>
  <si>
    <r>
      <rPr>
        <sz val="9"/>
        <color theme="1"/>
        <rFont val="Arial"/>
        <family val="2"/>
      </rPr>
      <t>Female</t>
    </r>
  </si>
  <si>
    <r>
      <rPr>
        <sz val="9"/>
        <color theme="1"/>
        <rFont val="Arial"/>
        <family val="2"/>
      </rPr>
      <t>MOODY</t>
    </r>
  </si>
  <si>
    <r>
      <rPr>
        <sz val="9"/>
        <color theme="1"/>
        <rFont val="Arial"/>
        <family val="2"/>
      </rPr>
      <t>COLUMBUS</t>
    </r>
  </si>
  <si>
    <r>
      <rPr>
        <sz val="9"/>
        <color theme="1"/>
        <rFont val="Arial"/>
        <family val="2"/>
      </rPr>
      <t>Male</t>
    </r>
  </si>
  <si>
    <r>
      <rPr>
        <sz val="9"/>
        <color theme="1"/>
        <rFont val="Arial"/>
        <family val="2"/>
      </rPr>
      <t>MOODY</t>
    </r>
  </si>
  <si>
    <r>
      <rPr>
        <sz val="9"/>
        <color theme="1"/>
        <rFont val="Arial"/>
        <family val="2"/>
      </rPr>
      <t>COLUMBUS</t>
    </r>
  </si>
  <si>
    <r>
      <rPr>
        <sz val="9"/>
        <color theme="1"/>
        <rFont val="Arial"/>
        <family val="2"/>
      </rPr>
      <t>COLUMBUS</t>
    </r>
  </si>
  <si>
    <r>
      <rPr>
        <sz val="9"/>
        <color theme="1"/>
        <rFont val="Arial"/>
        <family val="2"/>
      </rPr>
      <t>Male</t>
    </r>
  </si>
  <si>
    <r>
      <rPr>
        <sz val="9"/>
        <color theme="1"/>
        <rFont val="Arial"/>
        <family val="2"/>
      </rPr>
      <t>MOODY</t>
    </r>
  </si>
  <si>
    <r>
      <rPr>
        <sz val="9"/>
        <color theme="1"/>
        <rFont val="Arial"/>
        <family val="2"/>
      </rPr>
      <t>COLUMBUS</t>
    </r>
  </si>
  <si>
    <r>
      <rPr>
        <sz val="9"/>
        <color theme="1"/>
        <rFont val="Arial"/>
        <family val="2"/>
      </rPr>
      <t>EVANSVLLE</t>
    </r>
  </si>
  <si>
    <r>
      <rPr>
        <sz val="9"/>
        <color theme="1"/>
        <rFont val="Arial"/>
        <family val="2"/>
      </rPr>
      <t>Female</t>
    </r>
  </si>
  <si>
    <r>
      <rPr>
        <sz val="9"/>
        <color theme="1"/>
        <rFont val="Arial"/>
        <family val="2"/>
      </rPr>
      <t>EVANSVLLE</t>
    </r>
  </si>
  <si>
    <r>
      <rPr>
        <sz val="9"/>
        <color theme="1"/>
        <rFont val="Arial"/>
        <family val="2"/>
      </rPr>
      <t>CLEVELAND</t>
    </r>
  </si>
  <si>
    <r>
      <rPr>
        <sz val="9"/>
        <color theme="1"/>
        <rFont val="Arial"/>
        <family val="2"/>
      </rPr>
      <t>DUKE PRIM</t>
    </r>
  </si>
  <si>
    <r>
      <rPr>
        <sz val="9"/>
        <color theme="1"/>
        <rFont val="Arial"/>
        <family val="2"/>
      </rPr>
      <t>EVANSVLLE</t>
    </r>
  </si>
  <si>
    <r>
      <rPr>
        <sz val="9"/>
        <color theme="1"/>
        <rFont val="Arial"/>
        <family val="2"/>
      </rPr>
      <t>NY BRONX</t>
    </r>
  </si>
  <si>
    <r>
      <rPr>
        <sz val="9"/>
        <color theme="1"/>
        <rFont val="Arial"/>
        <family val="2"/>
      </rPr>
      <t>M14053</t>
    </r>
  </si>
  <si>
    <r>
      <rPr>
        <sz val="9"/>
        <color theme="1"/>
        <rFont val="Arial"/>
        <family val="2"/>
      </rPr>
      <t>Female</t>
    </r>
  </si>
  <si>
    <r>
      <rPr>
        <sz val="9"/>
        <color theme="1"/>
        <rFont val="Arial"/>
        <family val="2"/>
      </rPr>
      <t>DUKE PRIM</t>
    </r>
  </si>
  <si>
    <r>
      <rPr>
        <sz val="9"/>
        <color theme="1"/>
        <rFont val="Arial"/>
        <family val="2"/>
      </rPr>
      <t>NY BRONX</t>
    </r>
  </si>
  <si>
    <r>
      <rPr>
        <sz val="9"/>
        <color theme="1"/>
        <rFont val="Arial"/>
        <family val="2"/>
      </rPr>
      <t>EVANSVLLE</t>
    </r>
  </si>
  <si>
    <r>
      <rPr>
        <sz val="9"/>
        <color theme="1"/>
        <rFont val="Arial"/>
        <family val="2"/>
      </rPr>
      <t>Male</t>
    </r>
  </si>
  <si>
    <r>
      <rPr>
        <sz val="9"/>
        <color theme="1"/>
        <rFont val="Arial"/>
        <family val="2"/>
      </rPr>
      <t>EVANSVLLE</t>
    </r>
  </si>
  <si>
    <r>
      <rPr>
        <sz val="9"/>
        <color theme="1"/>
        <rFont val="Arial"/>
        <family val="2"/>
      </rPr>
      <t>DUKE PRIM</t>
    </r>
  </si>
  <si>
    <r>
      <rPr>
        <sz val="9"/>
        <color theme="1"/>
        <rFont val="Arial"/>
        <family val="2"/>
      </rPr>
      <t>SANDIEGOZ</t>
    </r>
  </si>
  <si>
    <r>
      <rPr>
        <sz val="9"/>
        <color theme="1"/>
        <rFont val="Arial"/>
        <family val="2"/>
      </rPr>
      <t>EVANSVLLE</t>
    </r>
  </si>
  <si>
    <r>
      <rPr>
        <sz val="9"/>
        <color theme="1"/>
        <rFont val="Arial"/>
        <family val="2"/>
      </rPr>
      <t>EVANSVLLE</t>
    </r>
  </si>
  <si>
    <r>
      <rPr>
        <sz val="9"/>
        <color theme="1"/>
        <rFont val="Arial"/>
        <family val="2"/>
      </rPr>
      <t>Male</t>
    </r>
  </si>
  <si>
    <r>
      <rPr>
        <sz val="9"/>
        <color theme="1"/>
        <rFont val="Arial"/>
        <family val="2"/>
      </rPr>
      <t>DUKE PRIM</t>
    </r>
  </si>
  <si>
    <r>
      <rPr>
        <sz val="9"/>
        <color theme="1"/>
        <rFont val="Arial"/>
        <family val="2"/>
      </rPr>
      <t>SANDIEGOZ</t>
    </r>
  </si>
  <si>
    <r>
      <rPr>
        <sz val="9"/>
        <color theme="1"/>
        <rFont val="Arial"/>
        <family val="2"/>
      </rPr>
      <t>EVANSVLLE</t>
    </r>
  </si>
  <si>
    <r>
      <rPr>
        <sz val="9"/>
        <color theme="1"/>
        <rFont val="Arial"/>
        <family val="2"/>
      </rPr>
      <t>COLUMBUS</t>
    </r>
  </si>
  <si>
    <r>
      <rPr>
        <sz val="9"/>
        <color theme="1"/>
        <rFont val="Arial"/>
        <family val="2"/>
      </rPr>
      <t>Female</t>
    </r>
  </si>
  <si>
    <r>
      <rPr>
        <sz val="9"/>
        <color theme="1"/>
        <rFont val="Arial"/>
        <family val="2"/>
      </rPr>
      <t>GARDENCTY</t>
    </r>
  </si>
  <si>
    <r>
      <rPr>
        <sz val="9"/>
        <color theme="1"/>
        <rFont val="Arial"/>
        <family val="2"/>
      </rPr>
      <t>COLUMBUS</t>
    </r>
  </si>
  <si>
    <r>
      <rPr>
        <sz val="9"/>
        <color theme="1"/>
        <rFont val="Arial"/>
        <family val="2"/>
      </rPr>
      <t>COLUMBUS</t>
    </r>
  </si>
  <si>
    <r>
      <rPr>
        <sz val="9"/>
        <color theme="1"/>
        <rFont val="Arial"/>
        <family val="2"/>
      </rPr>
      <t>Female</t>
    </r>
  </si>
  <si>
    <r>
      <rPr>
        <sz val="9"/>
        <color theme="1"/>
        <rFont val="Arial"/>
        <family val="2"/>
      </rPr>
      <t>GARDENCTY</t>
    </r>
  </si>
  <si>
    <r>
      <rPr>
        <sz val="9"/>
        <color theme="1"/>
        <rFont val="Arial"/>
        <family val="2"/>
      </rPr>
      <t>COLUMBUS</t>
    </r>
  </si>
  <si>
    <r>
      <rPr>
        <sz val="9"/>
        <color theme="1"/>
        <rFont val="Arial"/>
        <family val="2"/>
      </rPr>
      <t>NY BRONX</t>
    </r>
  </si>
  <si>
    <r>
      <rPr>
        <sz val="9"/>
        <color theme="1"/>
        <rFont val="Arial"/>
        <family val="2"/>
      </rPr>
      <t>M11179</t>
    </r>
  </si>
  <si>
    <r>
      <rPr>
        <sz val="9"/>
        <color theme="1"/>
        <rFont val="Arial"/>
        <family val="2"/>
      </rPr>
      <t>Female</t>
    </r>
  </si>
  <si>
    <r>
      <rPr>
        <sz val="9"/>
        <color theme="1"/>
        <rFont val="Arial"/>
        <family val="2"/>
      </rPr>
      <t>NY BRONX</t>
    </r>
  </si>
  <si>
    <r>
      <rPr>
        <sz val="9"/>
        <color theme="1"/>
        <rFont val="Arial"/>
        <family val="2"/>
      </rPr>
      <t>NY BRONX</t>
    </r>
  </si>
  <si>
    <r>
      <rPr>
        <sz val="9"/>
        <color theme="1"/>
        <rFont val="Arial"/>
        <family val="2"/>
      </rPr>
      <t>NY BRONX</t>
    </r>
  </si>
  <si>
    <r>
      <rPr>
        <sz val="9"/>
        <color theme="1"/>
        <rFont val="Arial"/>
        <family val="2"/>
      </rPr>
      <t>M11180</t>
    </r>
  </si>
  <si>
    <r>
      <rPr>
        <sz val="9"/>
        <color theme="1"/>
        <rFont val="Arial"/>
        <family val="2"/>
      </rPr>
      <t>Undetermined</t>
    </r>
  </si>
  <si>
    <r>
      <rPr>
        <sz val="9"/>
        <color theme="1"/>
        <rFont val="Arial"/>
        <family val="2"/>
      </rPr>
      <t>NY BRONX</t>
    </r>
  </si>
  <si>
    <r>
      <rPr>
        <sz val="9"/>
        <color theme="1"/>
        <rFont val="Arial"/>
        <family val="2"/>
      </rPr>
      <t>NY BRONX</t>
    </r>
  </si>
  <si>
    <r>
      <rPr>
        <sz val="9"/>
        <color theme="1"/>
        <rFont val="Arial"/>
        <family val="2"/>
      </rPr>
      <t>ABQBIOPK</t>
    </r>
  </si>
  <si>
    <r>
      <rPr>
        <sz val="9"/>
        <color theme="1"/>
        <rFont val="Arial"/>
        <family val="2"/>
      </rPr>
      <t>M11026</t>
    </r>
  </si>
  <si>
    <r>
      <rPr>
        <sz val="9"/>
        <color theme="1"/>
        <rFont val="Arial"/>
        <family val="2"/>
      </rPr>
      <t>Male</t>
    </r>
  </si>
  <si>
    <r>
      <rPr>
        <sz val="9"/>
        <color theme="1"/>
        <rFont val="Arial"/>
        <family val="2"/>
      </rPr>
      <t>UND</t>
    </r>
  </si>
  <si>
    <r>
      <rPr>
        <sz val="9"/>
        <color theme="1"/>
        <rFont val="Arial"/>
        <family val="2"/>
      </rPr>
      <t>ABQBIOPK</t>
    </r>
  </si>
  <si>
    <r>
      <rPr>
        <sz val="9"/>
        <color theme="1"/>
        <rFont val="Arial"/>
        <family val="2"/>
      </rPr>
      <t>ABQBIOPK</t>
    </r>
  </si>
  <si>
    <r>
      <rPr>
        <sz val="9"/>
        <color theme="1"/>
        <rFont val="Arial"/>
        <family val="2"/>
      </rPr>
      <t>CHICAGOLP</t>
    </r>
  </si>
  <si>
    <r>
      <rPr>
        <sz val="9"/>
        <color theme="1"/>
        <rFont val="Arial"/>
        <family val="2"/>
      </rPr>
      <t>Male</t>
    </r>
  </si>
  <si>
    <r>
      <rPr>
        <sz val="9"/>
        <color theme="1"/>
        <rFont val="Arial"/>
        <family val="2"/>
      </rPr>
      <t>CHICAGOLP</t>
    </r>
  </si>
  <si>
    <r>
      <rPr>
        <sz val="9"/>
        <color theme="1"/>
        <rFont val="Arial"/>
        <family val="2"/>
      </rPr>
      <t>EL PASO</t>
    </r>
  </si>
  <si>
    <r>
      <rPr>
        <sz val="9"/>
        <color theme="1"/>
        <rFont val="Arial"/>
        <family val="2"/>
      </rPr>
      <t>CHICAGOLP</t>
    </r>
  </si>
  <si>
    <r>
      <rPr>
        <sz val="9"/>
        <color theme="1"/>
        <rFont val="Arial"/>
        <family val="2"/>
      </rPr>
      <t>GARDENCTY</t>
    </r>
  </si>
  <si>
    <r>
      <rPr>
        <sz val="9"/>
        <color theme="1"/>
        <rFont val="Arial"/>
        <family val="2"/>
      </rPr>
      <t>Female</t>
    </r>
  </si>
  <si>
    <r>
      <rPr>
        <sz val="9"/>
        <color theme="1"/>
        <rFont val="Arial"/>
        <family val="2"/>
      </rPr>
      <t>EL PASO</t>
    </r>
  </si>
  <si>
    <r>
      <rPr>
        <sz val="9"/>
        <color theme="1"/>
        <rFont val="Arial"/>
        <family val="2"/>
      </rPr>
      <t>GARDENCTY</t>
    </r>
  </si>
  <si>
    <r>
      <rPr>
        <sz val="9"/>
        <color theme="1"/>
        <rFont val="Arial"/>
        <family val="2"/>
      </rPr>
      <t>GARDENCTY</t>
    </r>
  </si>
  <si>
    <r>
      <rPr>
        <sz val="9"/>
        <color theme="1"/>
        <rFont val="Arial"/>
        <family val="2"/>
      </rPr>
      <t>DUKE PRIM</t>
    </r>
  </si>
  <si>
    <r>
      <rPr>
        <sz val="9"/>
        <color theme="1"/>
        <rFont val="Arial"/>
        <family val="2"/>
      </rPr>
      <t>Male</t>
    </r>
  </si>
  <si>
    <r>
      <rPr>
        <sz val="9"/>
        <color theme="1"/>
        <rFont val="Arial"/>
        <family val="2"/>
      </rPr>
      <t>DUKE PRIM</t>
    </r>
  </si>
  <si>
    <r>
      <rPr>
        <sz val="9"/>
        <color theme="1"/>
        <rFont val="Arial"/>
        <family val="2"/>
      </rPr>
      <t>DUKE PRIM</t>
    </r>
  </si>
  <si>
    <r>
      <rPr>
        <sz val="9"/>
        <color theme="1"/>
        <rFont val="Arial"/>
        <family val="2"/>
      </rPr>
      <t>GARDENCTY</t>
    </r>
  </si>
  <si>
    <r>
      <rPr>
        <sz val="9"/>
        <color theme="1"/>
        <rFont val="Arial"/>
        <family val="2"/>
      </rPr>
      <t>Female</t>
    </r>
  </si>
  <si>
    <r>
      <rPr>
        <sz val="9"/>
        <color theme="1"/>
        <rFont val="Arial"/>
        <family val="2"/>
      </rPr>
      <t>GARDENCTY</t>
    </r>
  </si>
  <si>
    <r>
      <rPr>
        <sz val="9"/>
        <color theme="1"/>
        <rFont val="Arial"/>
        <family val="2"/>
      </rPr>
      <t>COLUMBUS</t>
    </r>
  </si>
  <si>
    <r>
      <rPr>
        <sz val="9"/>
        <color theme="1"/>
        <rFont val="Arial"/>
        <family val="2"/>
      </rPr>
      <t>GARDENCTY</t>
    </r>
  </si>
  <si>
    <r>
      <rPr>
        <sz val="9"/>
        <color theme="1"/>
        <rFont val="Arial"/>
        <family val="2"/>
      </rPr>
      <t>PHILADELP</t>
    </r>
  </si>
  <si>
    <r>
      <rPr>
        <sz val="9"/>
        <color theme="1"/>
        <rFont val="Arial"/>
        <family val="2"/>
      </rPr>
      <t>Undetermined</t>
    </r>
  </si>
  <si>
    <r>
      <rPr>
        <sz val="9"/>
        <color theme="1"/>
        <rFont val="Arial"/>
        <family val="2"/>
      </rPr>
      <t>PHILADELP</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</si>
  <si>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</si>
  <si>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</si>
  <si>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</si>
  <si>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PHILADELP</t>
    </r>
  </si>
  <si>
    <r>
      <rPr>
        <sz val="9"/>
        <color theme="1"/>
        <rFont val="Arial"/>
        <family val="2"/>
      </rPr>
      <t>PHILADELP</t>
    </r>
  </si>
  <si>
    <r>
      <rPr>
        <sz val="9"/>
        <color theme="1"/>
        <rFont val="Arial"/>
        <family val="2"/>
      </rPr>
      <t>GARDENCTY</t>
    </r>
  </si>
  <si>
    <r>
      <rPr>
        <sz val="9"/>
        <color theme="1"/>
        <rFont val="Arial"/>
        <family val="2"/>
      </rPr>
      <t>Male</t>
    </r>
  </si>
  <si>
    <r>
      <rPr>
        <sz val="9"/>
        <color theme="1"/>
        <rFont val="Arial"/>
        <family val="2"/>
      </rPr>
      <t>GARDENCTY</t>
    </r>
  </si>
  <si>
    <r>
      <rPr>
        <sz val="9"/>
        <color theme="1"/>
        <rFont val="Arial"/>
        <family val="2"/>
      </rPr>
      <t>EL PASO</t>
    </r>
  </si>
  <si>
    <r>
      <rPr>
        <sz val="9"/>
        <color theme="1"/>
        <rFont val="Arial"/>
        <family val="2"/>
      </rPr>
      <t>GARDENCTY</t>
    </r>
  </si>
  <si>
    <r>
      <rPr>
        <sz val="9"/>
        <color theme="1"/>
        <rFont val="Arial"/>
        <family val="2"/>
      </rPr>
      <t>OMAHA</t>
    </r>
  </si>
  <si>
    <r>
      <rPr>
        <sz val="9"/>
        <color theme="1"/>
        <rFont val="Arial"/>
        <family val="2"/>
      </rPr>
      <t>Male</t>
    </r>
  </si>
  <si>
    <r>
      <rPr>
        <sz val="9"/>
        <color theme="1"/>
        <rFont val="Arial"/>
        <family val="2"/>
      </rPr>
      <t>AKRON</t>
    </r>
  </si>
  <si>
    <r>
      <rPr>
        <sz val="9"/>
        <color theme="1"/>
        <rFont val="Arial"/>
        <family val="2"/>
      </rPr>
      <t>OMAHA</t>
    </r>
  </si>
  <si>
    <r>
      <rPr>
        <sz val="9"/>
        <color theme="1"/>
        <rFont val="Arial"/>
        <family val="2"/>
      </rPr>
      <t>LITTLEROC</t>
    </r>
  </si>
  <si>
    <r>
      <rPr>
        <sz val="9"/>
        <color theme="1"/>
        <rFont val="Arial"/>
        <family val="2"/>
      </rPr>
      <t>Male</t>
    </r>
  </si>
  <si>
    <r>
      <rPr>
        <sz val="9"/>
        <color theme="1"/>
        <rFont val="Arial"/>
        <family val="2"/>
      </rPr>
      <t>LITTLEROC</t>
    </r>
  </si>
  <si>
    <r>
      <rPr>
        <sz val="9"/>
        <color theme="1"/>
        <rFont val="Arial"/>
        <family val="2"/>
      </rPr>
      <t>ABQBIOPK</t>
    </r>
  </si>
  <si>
    <r>
      <rPr>
        <sz val="9"/>
        <color theme="1"/>
        <rFont val="Arial"/>
        <family val="2"/>
      </rPr>
      <t>LITTLEROC</t>
    </r>
  </si>
  <si>
    <r>
      <rPr>
        <sz val="9"/>
        <color theme="1"/>
        <rFont val="Arial"/>
        <family val="2"/>
      </rPr>
      <t>LITTLEROC</t>
    </r>
  </si>
  <si>
    <r>
      <rPr>
        <sz val="9"/>
        <color theme="1"/>
        <rFont val="Arial"/>
        <family val="2"/>
      </rPr>
      <t>Female</t>
    </r>
  </si>
  <si>
    <r>
      <rPr>
        <sz val="9"/>
        <color theme="1"/>
        <rFont val="Arial"/>
        <family val="2"/>
      </rPr>
      <t>LITTLEROC</t>
    </r>
  </si>
  <si>
    <r>
      <rPr>
        <sz val="9"/>
        <color theme="1"/>
        <rFont val="Arial"/>
        <family val="2"/>
      </rPr>
      <t>EL PASO</t>
    </r>
  </si>
  <si>
    <r>
      <rPr>
        <sz val="9"/>
        <color theme="1"/>
        <rFont val="Arial"/>
        <family val="2"/>
      </rPr>
      <t>LITTLEROC</t>
    </r>
  </si>
  <si>
    <r>
      <rPr>
        <sz val="9"/>
        <color theme="1"/>
        <rFont val="Arial"/>
        <family val="2"/>
      </rPr>
      <t>CLEVELAND</t>
    </r>
  </si>
  <si>
    <r>
      <rPr>
        <sz val="9"/>
        <color theme="1"/>
        <rFont val="Arial"/>
        <family val="2"/>
      </rPr>
      <t>UNK</t>
    </r>
  </si>
  <si>
    <r>
      <rPr>
        <sz val="9"/>
        <color theme="1"/>
        <rFont val="Arial"/>
        <family val="2"/>
      </rPr>
      <t>Male</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</si>
  <si>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</si>
  <si>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</si>
  <si>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</si>
  <si>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Undetermined</t>
    </r>
  </si>
  <si>
    <r>
      <rPr>
        <sz val="9"/>
        <color theme="1"/>
        <rFont val="Arial"/>
        <family val="2"/>
      </rPr>
      <t>CLEVELAND</t>
    </r>
  </si>
  <si>
    <r>
      <rPr>
        <sz val="9"/>
        <color theme="1"/>
        <rFont val="Arial"/>
        <family val="2"/>
      </rPr>
      <t>CLEVELAND</t>
    </r>
  </si>
  <si>
    <r>
      <rPr>
        <sz val="9"/>
        <color theme="1"/>
        <rFont val="Arial"/>
        <family val="2"/>
      </rPr>
      <t>CHICAGOBR</t>
    </r>
  </si>
  <si>
    <r>
      <rPr>
        <sz val="9"/>
        <color theme="1"/>
        <rFont val="Arial"/>
        <family val="2"/>
      </rPr>
      <t>Female</t>
    </r>
  </si>
  <si>
    <r>
      <rPr>
        <sz val="9"/>
        <color theme="1"/>
        <rFont val="Arial"/>
        <family val="2"/>
      </rPr>
      <t>CHICAGOBR</t>
    </r>
  </si>
  <si>
    <r>
      <rPr>
        <sz val="9"/>
        <color theme="1"/>
        <rFont val="Arial"/>
        <family val="2"/>
      </rPr>
      <t>CHICAGOBR</t>
    </r>
  </si>
  <si>
    <r>
      <rPr>
        <sz val="9"/>
        <color theme="1"/>
        <rFont val="Arial"/>
        <family val="2"/>
      </rPr>
      <t>CHICAGOBR</t>
    </r>
  </si>
  <si>
    <r>
      <rPr>
        <sz val="9"/>
        <color theme="1"/>
        <rFont val="Arial"/>
        <family val="2"/>
      </rPr>
      <t>Undetermined</t>
    </r>
  </si>
  <si>
    <r>
      <rPr>
        <sz val="9"/>
        <color theme="1"/>
        <rFont val="Arial"/>
        <family val="2"/>
      </rPr>
      <t>CHICAGOBR</t>
    </r>
  </si>
  <si>
    <r>
      <rPr>
        <sz val="9"/>
        <color theme="1"/>
        <rFont val="Arial"/>
        <family val="2"/>
      </rPr>
      <t>CHICAGOBR</t>
    </r>
  </si>
  <si>
    <r>
      <rPr>
        <sz val="9"/>
        <color theme="1"/>
        <rFont val="Arial"/>
        <family val="2"/>
      </rPr>
      <t>MEMPHIS</t>
    </r>
  </si>
  <si>
    <r>
      <rPr>
        <sz val="9"/>
        <color theme="1"/>
        <rFont val="Arial"/>
        <family val="2"/>
      </rPr>
      <t>19M042</t>
    </r>
  </si>
  <si>
    <r>
      <rPr>
        <sz val="9"/>
        <color theme="1"/>
        <rFont val="Arial"/>
        <family val="2"/>
      </rPr>
      <t>Male</t>
    </r>
  </si>
  <si>
    <r>
      <rPr>
        <sz val="9"/>
        <color theme="1"/>
        <rFont val="Arial"/>
        <family val="2"/>
      </rPr>
      <t>MEMPHIS</t>
    </r>
  </si>
  <si>
    <r>
      <rPr>
        <sz val="9"/>
        <color theme="1"/>
        <rFont val="Arial"/>
        <family val="2"/>
      </rPr>
      <t>MOODY</t>
    </r>
  </si>
  <si>
    <r>
      <rPr>
        <sz val="9"/>
        <color theme="1"/>
        <rFont val="Arial"/>
        <family val="2"/>
      </rPr>
      <t>PUEBLO</t>
    </r>
  </si>
  <si>
    <r>
      <rPr>
        <sz val="9"/>
        <color theme="1"/>
        <rFont val="Arial"/>
        <family val="2"/>
      </rPr>
      <t>MEMPHIS</t>
    </r>
  </si>
  <si>
    <r>
      <rPr>
        <sz val="9"/>
        <color theme="1"/>
        <rFont val="Arial"/>
        <family val="2"/>
      </rPr>
      <t>CLEVELAND</t>
    </r>
  </si>
  <si>
    <r>
      <rPr>
        <sz val="9"/>
        <color theme="1"/>
        <rFont val="Arial"/>
        <family val="2"/>
      </rPr>
      <t>Undetermined</t>
    </r>
  </si>
  <si>
    <r>
      <rPr>
        <sz val="9"/>
        <color theme="1"/>
        <rFont val="Arial"/>
        <family val="2"/>
      </rPr>
      <t>CLEVELAND</t>
    </r>
  </si>
  <si>
    <r>
      <rPr>
        <sz val="9"/>
        <color theme="1"/>
        <rFont val="Arial"/>
        <family val="2"/>
      </rPr>
      <t>CLEVELAND</t>
    </r>
  </si>
  <si>
    <r>
      <rPr>
        <sz val="9"/>
        <color theme="1"/>
        <rFont val="Arial"/>
        <family val="2"/>
      </rPr>
      <t>BLOOMINGT</t>
    </r>
  </si>
  <si>
    <r>
      <rPr>
        <sz val="9"/>
        <color theme="1"/>
        <rFont val="Arial"/>
        <family val="2"/>
      </rPr>
      <t>M17002</t>
    </r>
  </si>
  <si>
    <r>
      <rPr>
        <sz val="9"/>
        <color theme="1"/>
        <rFont val="Arial"/>
        <family val="2"/>
      </rPr>
      <t>Female</t>
    </r>
  </si>
  <si>
    <r>
      <rPr>
        <sz val="9"/>
        <color theme="1"/>
        <rFont val="Arial"/>
        <family val="2"/>
      </rPr>
      <t>COLUMBUS</t>
    </r>
  </si>
  <si>
    <r>
      <rPr>
        <sz val="9"/>
        <color theme="1"/>
        <rFont val="Arial"/>
        <family val="2"/>
      </rPr>
      <t>BUSCH TAM</t>
    </r>
  </si>
  <si>
    <r>
      <rPr>
        <sz val="9"/>
        <color theme="1"/>
        <rFont val="Arial"/>
        <family val="2"/>
      </rPr>
      <t>BLOOMINGT</t>
    </r>
  </si>
  <si>
    <r>
      <rPr>
        <sz val="9"/>
        <color theme="1"/>
        <rFont val="Arial"/>
        <family val="2"/>
      </rPr>
      <t>MEMPHIS</t>
    </r>
  </si>
  <si>
    <r>
      <rPr>
        <sz val="9"/>
        <color theme="1"/>
        <rFont val="Arial"/>
        <family val="2"/>
      </rPr>
      <t>10M021</t>
    </r>
  </si>
  <si>
    <r>
      <rPr>
        <sz val="9"/>
        <color theme="1"/>
        <rFont val="Arial"/>
        <family val="2"/>
      </rPr>
      <t>Female</t>
    </r>
  </si>
  <si>
    <r>
      <rPr>
        <sz val="9"/>
        <color theme="1"/>
        <rFont val="Arial"/>
        <family val="2"/>
      </rPr>
      <t>MEMPHIS</t>
    </r>
  </si>
  <si>
    <r>
      <rPr>
        <sz val="9"/>
        <color theme="1"/>
        <rFont val="Arial"/>
        <family val="2"/>
      </rPr>
      <t>LITTLEROC</t>
    </r>
  </si>
  <si>
    <r>
      <rPr>
        <sz val="9"/>
        <color theme="1"/>
        <rFont val="Arial"/>
        <family val="2"/>
      </rPr>
      <t>MEMPHIS</t>
    </r>
  </si>
  <si>
    <r>
      <rPr>
        <sz val="9"/>
        <color theme="1"/>
        <rFont val="Arial"/>
        <family val="2"/>
      </rPr>
      <t>COLUMBUS</t>
    </r>
  </si>
  <si>
    <r>
      <rPr>
        <sz val="9"/>
        <color theme="1"/>
        <rFont val="Arial"/>
        <family val="2"/>
      </rPr>
      <t>Undetermined</t>
    </r>
  </si>
  <si>
    <r>
      <rPr>
        <sz val="9"/>
        <color theme="1"/>
        <rFont val="Arial"/>
        <family val="2"/>
      </rPr>
      <t>COLUMBUS</t>
    </r>
  </si>
  <si>
    <r>
      <rPr>
        <sz val="9"/>
        <color theme="1"/>
        <rFont val="Arial"/>
        <family val="2"/>
      </rPr>
      <t>COLUMBUS</t>
    </r>
  </si>
  <si>
    <r>
      <rPr>
        <sz val="9"/>
        <color theme="1"/>
        <rFont val="Arial"/>
        <family val="2"/>
      </rPr>
      <t>NY BRONX</t>
    </r>
  </si>
  <si>
    <r>
      <rPr>
        <sz val="9"/>
        <color theme="1"/>
        <rFont val="Arial"/>
        <family val="2"/>
      </rPr>
      <t>M15008</t>
    </r>
  </si>
  <si>
    <r>
      <rPr>
        <sz val="9"/>
        <color theme="1"/>
        <rFont val="Arial"/>
        <family val="2"/>
      </rPr>
      <t>Male</t>
    </r>
  </si>
  <si>
    <r>
      <rPr>
        <sz val="9"/>
        <color theme="1"/>
        <rFont val="Arial"/>
        <family val="2"/>
      </rPr>
      <t>NY BRONX</t>
    </r>
  </si>
  <si>
    <r>
      <rPr>
        <sz val="9"/>
        <color theme="1"/>
        <rFont val="Arial"/>
        <family val="2"/>
      </rPr>
      <t>NY BRONX</t>
    </r>
  </si>
  <si>
    <r>
      <rPr>
        <sz val="9"/>
        <color theme="1"/>
        <rFont val="Arial"/>
        <family val="2"/>
      </rPr>
      <t>NY BRONX</t>
    </r>
  </si>
  <si>
    <r>
      <rPr>
        <sz val="9"/>
        <color theme="1"/>
        <rFont val="Arial"/>
        <family val="2"/>
      </rPr>
      <t>M15011</t>
    </r>
  </si>
  <si>
    <r>
      <rPr>
        <sz val="9"/>
        <color theme="1"/>
        <rFont val="Arial"/>
        <family val="2"/>
      </rPr>
      <t>Female</t>
    </r>
  </si>
  <si>
    <r>
      <rPr>
        <sz val="9"/>
        <color theme="1"/>
        <rFont val="Arial"/>
        <family val="2"/>
      </rPr>
      <t>NY BRONX</t>
    </r>
  </si>
  <si>
    <r>
      <rPr>
        <sz val="9"/>
        <color theme="1"/>
        <rFont val="Arial"/>
        <family val="2"/>
      </rPr>
      <t>NY BRONX</t>
    </r>
  </si>
  <si>
    <r>
      <rPr>
        <sz val="9"/>
        <color theme="1"/>
        <rFont val="Arial"/>
        <family val="2"/>
      </rPr>
      <t>NY BRONX</t>
    </r>
  </si>
  <si>
    <r>
      <rPr>
        <sz val="9"/>
        <color theme="1"/>
        <rFont val="Arial"/>
        <family val="2"/>
      </rPr>
      <t>M15034</t>
    </r>
  </si>
  <si>
    <r>
      <rPr>
        <sz val="9"/>
        <color theme="1"/>
        <rFont val="Arial"/>
        <family val="2"/>
      </rPr>
      <t>Female</t>
    </r>
  </si>
  <si>
    <r>
      <rPr>
        <sz val="9"/>
        <color theme="1"/>
        <rFont val="Arial"/>
        <family val="2"/>
      </rPr>
      <t>NY BRONX</t>
    </r>
  </si>
  <si>
    <r>
      <rPr>
        <sz val="9"/>
        <color theme="1"/>
        <rFont val="Arial"/>
        <family val="2"/>
      </rPr>
      <t>NY BRONX</t>
    </r>
  </si>
  <si>
    <r>
      <rPr>
        <sz val="9"/>
        <color theme="1"/>
        <rFont val="Arial"/>
        <family val="2"/>
      </rPr>
      <t>GARDENCTY</t>
    </r>
  </si>
  <si>
    <r>
      <rPr>
        <sz val="9"/>
        <color theme="1"/>
        <rFont val="Arial"/>
        <family val="2"/>
      </rPr>
      <t>Female</t>
    </r>
  </si>
  <si>
    <r>
      <rPr>
        <sz val="9"/>
        <color theme="1"/>
        <rFont val="Arial"/>
        <family val="2"/>
      </rPr>
      <t>COLUMBUS</t>
    </r>
  </si>
  <si>
    <r>
      <rPr>
        <sz val="9"/>
        <color theme="1"/>
        <rFont val="Arial"/>
        <family val="2"/>
      </rPr>
      <t>GARDENCTY</t>
    </r>
  </si>
  <si>
    <r>
      <rPr>
        <sz val="9"/>
        <color theme="1"/>
        <rFont val="Arial"/>
        <family val="2"/>
      </rPr>
      <t>MOODY</t>
    </r>
  </si>
  <si>
    <r>
      <rPr>
        <sz val="9"/>
        <color theme="1"/>
        <rFont val="Arial"/>
        <family val="2"/>
      </rPr>
      <t>Female</t>
    </r>
  </si>
  <si>
    <r>
      <rPr>
        <sz val="9"/>
        <color theme="1"/>
        <rFont val="Arial"/>
        <family val="2"/>
      </rPr>
      <t>MOODY</t>
    </r>
  </si>
  <si>
    <r>
      <rPr>
        <sz val="9"/>
        <color theme="1"/>
        <rFont val="Arial"/>
        <family val="2"/>
      </rPr>
      <t>MOODY</t>
    </r>
  </si>
  <si>
    <r>
      <rPr>
        <sz val="9"/>
        <color theme="1"/>
        <rFont val="Arial"/>
        <family val="2"/>
      </rPr>
      <t>AKRON</t>
    </r>
  </si>
  <si>
    <r>
      <rPr>
        <sz val="9"/>
        <color theme="1"/>
        <rFont val="Arial"/>
        <family val="2"/>
      </rPr>
      <t>Male</t>
    </r>
  </si>
  <si>
    <r>
      <rPr>
        <sz val="9"/>
        <color theme="1"/>
        <rFont val="Arial"/>
        <family val="2"/>
      </rPr>
      <t>COLUMBUS</t>
    </r>
  </si>
  <si>
    <r>
      <rPr>
        <sz val="9"/>
        <color theme="1"/>
        <rFont val="Arial"/>
        <family val="2"/>
      </rPr>
      <t>AKRON</t>
    </r>
  </si>
  <si>
    <r>
      <rPr>
        <sz val="9"/>
        <color theme="1"/>
        <rFont val="Arial"/>
        <family val="2"/>
      </rPr>
      <t>MOODY</t>
    </r>
  </si>
  <si>
    <r>
      <rPr>
        <sz val="9"/>
        <color theme="1"/>
        <rFont val="Arial"/>
        <family val="2"/>
      </rPr>
      <t>Male</t>
    </r>
  </si>
  <si>
    <r>
      <rPr>
        <sz val="9"/>
        <color theme="1"/>
        <rFont val="Arial"/>
        <family val="2"/>
      </rPr>
      <t>MOODY</t>
    </r>
  </si>
  <si>
    <r>
      <rPr>
        <sz val="9"/>
        <color theme="1"/>
        <rFont val="Arial"/>
        <family val="2"/>
      </rPr>
      <t>DUKE PRIM</t>
    </r>
  </si>
  <si>
    <r>
      <rPr>
        <sz val="9"/>
        <color theme="1"/>
        <rFont val="Arial"/>
        <family val="2"/>
      </rPr>
      <t>MOODY</t>
    </r>
  </si>
  <si>
    <r>
      <rPr>
        <sz val="9"/>
        <color theme="1"/>
        <rFont val="Arial"/>
        <family val="2"/>
      </rPr>
      <t>CHICAGOLP</t>
    </r>
  </si>
  <si>
    <r>
      <rPr>
        <sz val="9"/>
        <color theme="1"/>
        <rFont val="Arial"/>
        <family val="2"/>
      </rPr>
      <t>Male</t>
    </r>
  </si>
  <si>
    <r>
      <rPr>
        <sz val="9"/>
        <color theme="1"/>
        <rFont val="Arial"/>
        <family val="2"/>
      </rPr>
      <t>CHICAGOLP</t>
    </r>
  </si>
  <si>
    <r>
      <rPr>
        <sz val="9"/>
        <color theme="1"/>
        <rFont val="Arial"/>
        <family val="2"/>
      </rPr>
      <t>CHICAGOLP</t>
    </r>
  </si>
  <si>
    <r>
      <rPr>
        <sz val="9"/>
        <color theme="1"/>
        <rFont val="Arial"/>
        <family val="2"/>
      </rPr>
      <t>CHICAGOLP</t>
    </r>
  </si>
  <si>
    <r>
      <rPr>
        <sz val="9"/>
        <color theme="1"/>
        <rFont val="Arial"/>
        <family val="2"/>
      </rPr>
      <t>Undetermined</t>
    </r>
  </si>
  <si>
    <r>
      <rPr>
        <sz val="9"/>
        <color theme="1"/>
        <rFont val="Arial"/>
        <family val="2"/>
      </rPr>
      <t>CHICAGOLP</t>
    </r>
  </si>
  <si>
    <r>
      <rPr>
        <sz val="9"/>
        <color theme="1"/>
        <rFont val="Arial"/>
        <family val="2"/>
      </rPr>
      <t>CHICAGOLP</t>
    </r>
  </si>
  <si>
    <r>
      <rPr>
        <sz val="9"/>
        <color theme="1"/>
        <rFont val="Arial"/>
        <family val="2"/>
      </rPr>
      <t>EL PASO</t>
    </r>
  </si>
  <si>
    <r>
      <rPr>
        <sz val="9"/>
        <color theme="1"/>
        <rFont val="Arial"/>
        <family val="2"/>
      </rPr>
      <t>Undetermined</t>
    </r>
  </si>
  <si>
    <r>
      <rPr>
        <sz val="9"/>
        <color theme="1"/>
        <rFont val="Arial"/>
        <family val="2"/>
      </rPr>
      <t>EL PASO</t>
    </r>
  </si>
  <si>
    <r>
      <rPr>
        <sz val="9"/>
        <color theme="1"/>
        <rFont val="Arial"/>
        <family val="2"/>
      </rPr>
      <t>EL PASO</t>
    </r>
  </si>
  <si>
    <r>
      <rPr>
        <sz val="9"/>
        <color theme="1"/>
        <rFont val="Arial"/>
        <family val="2"/>
      </rPr>
      <t>NY BRONX</t>
    </r>
  </si>
  <si>
    <r>
      <rPr>
        <sz val="9"/>
        <color theme="1"/>
        <rFont val="Arial"/>
        <family val="2"/>
      </rPr>
      <t>M14052</t>
    </r>
  </si>
  <si>
    <r>
      <rPr>
        <sz val="9"/>
        <color theme="1"/>
        <rFont val="Arial"/>
        <family val="2"/>
      </rPr>
      <t>Male</t>
    </r>
  </si>
  <si>
    <r>
      <rPr>
        <sz val="9"/>
        <color theme="1"/>
        <rFont val="Arial"/>
        <family val="2"/>
      </rPr>
      <t>NY BRONX</t>
    </r>
  </si>
  <si>
    <r>
      <rPr>
        <sz val="9"/>
        <color theme="1"/>
        <rFont val="Arial"/>
        <family val="2"/>
      </rPr>
      <t>DUKE PRIM</t>
    </r>
  </si>
  <si>
    <r>
      <rPr>
        <sz val="9"/>
        <color theme="1"/>
        <rFont val="Arial"/>
        <family val="2"/>
      </rPr>
      <t>SANDIEGOZ</t>
    </r>
  </si>
  <si>
    <r>
      <rPr>
        <sz val="9"/>
        <color theme="1"/>
        <rFont val="Arial"/>
        <family val="2"/>
      </rPr>
      <t>NY BRONX</t>
    </r>
  </si>
  <si>
    <r>
      <rPr>
        <sz val="9"/>
        <color theme="1"/>
        <rFont val="Arial"/>
        <family val="2"/>
      </rPr>
      <t>EL PASO</t>
    </r>
  </si>
  <si>
    <r>
      <rPr>
        <sz val="9"/>
        <color theme="1"/>
        <rFont val="Arial"/>
        <family val="2"/>
      </rPr>
      <t>Female</t>
    </r>
  </si>
  <si>
    <r>
      <rPr>
        <sz val="9"/>
        <color theme="1"/>
        <rFont val="Arial"/>
        <family val="2"/>
      </rPr>
      <t>EL PASO</t>
    </r>
  </si>
  <si>
    <r>
      <rPr>
        <sz val="9"/>
        <color theme="1"/>
        <rFont val="Arial"/>
        <family val="2"/>
      </rPr>
      <t>EL PASO</t>
    </r>
  </si>
  <si>
    <r>
      <rPr>
        <sz val="9"/>
        <color theme="1"/>
        <rFont val="Arial"/>
        <family val="2"/>
      </rPr>
      <t>NY BRONX</t>
    </r>
  </si>
  <si>
    <r>
      <rPr>
        <sz val="9"/>
        <color theme="1"/>
        <rFont val="Arial"/>
        <family val="2"/>
      </rPr>
      <t>M14053</t>
    </r>
  </si>
  <si>
    <r>
      <rPr>
        <sz val="9"/>
        <color theme="1"/>
        <rFont val="Arial"/>
        <family val="2"/>
      </rPr>
      <t>Female</t>
    </r>
  </si>
  <si>
    <r>
      <rPr>
        <sz val="9"/>
        <color theme="1"/>
        <rFont val="Arial"/>
        <family val="2"/>
      </rPr>
      <t>NY BRONX</t>
    </r>
  </si>
  <si>
    <r>
      <rPr>
        <sz val="9"/>
        <color theme="1"/>
        <rFont val="Arial"/>
        <family val="2"/>
      </rPr>
      <t>DUKE PRIM</t>
    </r>
  </si>
  <si>
    <r>
      <rPr>
        <sz val="9"/>
        <color theme="1"/>
        <rFont val="Arial"/>
        <family val="2"/>
      </rPr>
      <t>NY BRONX</t>
    </r>
  </si>
  <si>
    <r>
      <rPr>
        <sz val="9"/>
        <color theme="1"/>
        <rFont val="Arial"/>
        <family val="2"/>
      </rPr>
      <t>PROSPECTP</t>
    </r>
  </si>
  <si>
    <r>
      <rPr>
        <sz val="9"/>
        <color theme="1"/>
        <rFont val="Arial"/>
        <family val="2"/>
      </rPr>
      <t>P18009</t>
    </r>
  </si>
  <si>
    <r>
      <rPr>
        <sz val="9"/>
        <color theme="1"/>
        <rFont val="Arial"/>
        <family val="2"/>
      </rPr>
      <t>Female</t>
    </r>
  </si>
  <si>
    <r>
      <rPr>
        <sz val="9"/>
        <color theme="1"/>
        <rFont val="Arial"/>
        <family val="2"/>
      </rPr>
      <t>MOODY</t>
    </r>
  </si>
  <si>
    <r>
      <rPr>
        <sz val="9"/>
        <color theme="1"/>
        <rFont val="Arial"/>
        <family val="2"/>
      </rPr>
      <t>PROSPECTP</t>
    </r>
  </si>
  <si>
    <r>
      <rPr>
        <sz val="9"/>
        <color theme="1"/>
        <rFont val="Arial"/>
        <family val="2"/>
      </rPr>
      <t>CHICAGOBR</t>
    </r>
  </si>
  <si>
    <r>
      <rPr>
        <sz val="9"/>
        <color theme="1"/>
        <rFont val="Arial"/>
        <family val="2"/>
      </rPr>
      <t>Undetermined</t>
    </r>
  </si>
  <si>
    <r>
      <rPr>
        <sz val="9"/>
        <color theme="1"/>
        <rFont val="Arial"/>
        <family val="2"/>
      </rPr>
      <t>CHICAGOBR</t>
    </r>
  </si>
  <si>
    <r>
      <rPr>
        <sz val="9"/>
        <color theme="1"/>
        <rFont val="Arial"/>
        <family val="2"/>
      </rPr>
      <t>CHICAGOBR</t>
    </r>
  </si>
  <si>
    <t>NY BRONX</t>
  </si>
  <si>
    <r>
      <rPr>
        <sz val="9"/>
        <color theme="1"/>
        <rFont val="Arial"/>
        <family val="2"/>
      </rPr>
      <t>Female</t>
    </r>
  </si>
  <si>
    <r>
      <rPr>
        <sz val="9"/>
        <color theme="1"/>
        <rFont val="Arial"/>
        <family val="2"/>
      </rPr>
      <t>CHICAGOBR</t>
    </r>
  </si>
  <si>
    <r>
      <rPr>
        <sz val="9"/>
        <color theme="1"/>
        <rFont val="Arial"/>
        <family val="2"/>
      </rPr>
      <t>NY BRONX</t>
    </r>
  </si>
  <si>
    <t>M21015</t>
  </si>
  <si>
    <r>
      <rPr>
        <sz val="9"/>
        <color theme="1"/>
        <rFont val="Arial"/>
        <family val="2"/>
      </rPr>
      <t>Male</t>
    </r>
  </si>
  <si>
    <r>
      <rPr>
        <sz val="9"/>
        <color theme="1"/>
        <rFont val="Arial"/>
        <family val="2"/>
      </rPr>
      <t>NY BRONX</t>
    </r>
  </si>
  <si>
    <r>
      <rPr>
        <sz val="9"/>
        <color theme="1"/>
        <rFont val="Arial"/>
        <family val="2"/>
      </rPr>
      <t>NY BRONX</t>
    </r>
  </si>
  <si>
    <r>
      <rPr>
        <sz val="9"/>
        <color theme="1"/>
        <rFont val="Arial"/>
        <family val="2"/>
      </rPr>
      <t>DUKE PRIM</t>
    </r>
  </si>
  <si>
    <r>
      <rPr>
        <sz val="9"/>
        <color theme="1"/>
        <rFont val="Arial"/>
        <family val="2"/>
      </rPr>
      <t>Female</t>
    </r>
  </si>
  <si>
    <r>
      <rPr>
        <sz val="9"/>
        <color theme="1"/>
        <rFont val="Arial"/>
        <family val="2"/>
      </rPr>
      <t>DUKE PRIM</t>
    </r>
  </si>
  <si>
    <r>
      <rPr>
        <sz val="9"/>
        <color theme="1"/>
        <rFont val="Arial"/>
        <family val="2"/>
      </rPr>
      <t>DUKE PRIM</t>
    </r>
  </si>
  <si>
    <r>
      <rPr>
        <sz val="9"/>
        <color theme="1"/>
        <rFont val="Arial"/>
        <family val="2"/>
      </rPr>
      <t>DULUTH</t>
    </r>
  </si>
  <si>
    <r>
      <rPr>
        <sz val="9"/>
        <color theme="1"/>
        <rFont val="Arial"/>
        <family val="2"/>
      </rPr>
      <t>Female</t>
    </r>
  </si>
  <si>
    <r>
      <rPr>
        <sz val="9"/>
        <color theme="1"/>
        <rFont val="Arial"/>
        <family val="2"/>
      </rPr>
      <t>COLUMBUS</t>
    </r>
  </si>
  <si>
    <r>
      <rPr>
        <sz val="9"/>
        <color theme="1"/>
        <rFont val="Arial"/>
        <family val="2"/>
      </rPr>
      <t>DULUTH</t>
    </r>
  </si>
  <si>
    <t>NZP-WASH</t>
  </si>
  <si>
    <r>
      <rPr>
        <sz val="9"/>
        <color theme="1"/>
        <rFont val="Arial"/>
        <family val="2"/>
      </rPr>
      <t>Female</t>
    </r>
  </si>
  <si>
    <r>
      <rPr>
        <sz val="9"/>
        <color theme="1"/>
        <rFont val="Arial"/>
        <family val="2"/>
      </rPr>
      <t>CHICAGOBR</t>
    </r>
  </si>
  <si>
    <r>
      <rPr>
        <sz val="9"/>
        <color theme="1"/>
        <rFont val="Arial"/>
        <family val="2"/>
      </rPr>
      <t>COLUMBUS</t>
    </r>
  </si>
  <si>
    <r>
      <rPr>
        <sz val="9"/>
        <color theme="1"/>
        <rFont val="Arial"/>
        <family val="2"/>
      </rPr>
      <t>Undetermined</t>
    </r>
  </si>
  <si>
    <r>
      <rPr>
        <sz val="9"/>
        <color theme="1"/>
        <rFont val="Arial"/>
        <family val="2"/>
      </rPr>
      <t>COLUMBUS</t>
    </r>
  </si>
  <si>
    <r>
      <rPr>
        <sz val="9"/>
        <color theme="1"/>
        <rFont val="Arial"/>
        <family val="2"/>
      </rPr>
      <t>COLUMBUS</t>
    </r>
  </si>
  <si>
    <r>
      <rPr>
        <sz val="9"/>
        <color theme="1"/>
        <rFont val="Arial"/>
        <family val="2"/>
      </rPr>
      <t>CHICAGOLP</t>
    </r>
  </si>
  <si>
    <r>
      <rPr>
        <sz val="9"/>
        <color theme="1"/>
        <rFont val="Arial"/>
        <family val="2"/>
      </rPr>
      <t>Male</t>
    </r>
  </si>
  <si>
    <r>
      <rPr>
        <sz val="9"/>
        <color theme="1"/>
        <rFont val="Arial"/>
        <family val="2"/>
      </rPr>
      <t>CHICAGOLP</t>
    </r>
  </si>
  <si>
    <r>
      <rPr>
        <sz val="9"/>
        <color theme="1"/>
        <rFont val="Arial"/>
        <family val="2"/>
      </rPr>
      <t>CHICAGOLP</t>
    </r>
  </si>
  <si>
    <t>Male</t>
  </si>
  <si>
    <r>
      <rPr>
        <sz val="9"/>
        <color theme="1"/>
        <rFont val="Arial"/>
        <family val="2"/>
      </rPr>
      <t>OMAHA</t>
    </r>
  </si>
  <si>
    <r>
      <rPr>
        <sz val="9"/>
        <color theme="1"/>
        <rFont val="Arial"/>
        <family val="2"/>
      </rPr>
      <t>Male</t>
    </r>
  </si>
  <si>
    <r>
      <rPr>
        <sz val="9"/>
        <color theme="1"/>
        <rFont val="Arial"/>
        <family val="2"/>
      </rPr>
      <t>OMAHA</t>
    </r>
  </si>
  <si>
    <r>
      <rPr>
        <sz val="9"/>
        <color theme="1"/>
        <rFont val="Arial"/>
        <family val="2"/>
      </rPr>
      <t>AKRON</t>
    </r>
  </si>
  <si>
    <r>
      <rPr>
        <sz val="9"/>
        <color theme="1"/>
        <rFont val="Arial"/>
        <family val="2"/>
      </rPr>
      <t>OMAHA</t>
    </r>
  </si>
  <si>
    <r>
      <rPr>
        <sz val="9"/>
        <color theme="1"/>
        <rFont val="Arial"/>
        <family val="2"/>
      </rPr>
      <t>CHICAGOLP</t>
    </r>
  </si>
  <si>
    <r>
      <rPr>
        <sz val="9"/>
        <color theme="1"/>
        <rFont val="Arial"/>
        <family val="2"/>
      </rPr>
      <t>Undetermined</t>
    </r>
  </si>
  <si>
    <r>
      <rPr>
        <sz val="9"/>
        <color theme="1"/>
        <rFont val="Arial"/>
        <family val="2"/>
      </rPr>
      <t>CHICAGOLP</t>
    </r>
  </si>
  <si>
    <r>
      <rPr>
        <sz val="9"/>
        <color theme="1"/>
        <rFont val="Arial"/>
        <family val="2"/>
      </rPr>
      <t>CHICAGOLP</t>
    </r>
  </si>
  <si>
    <r>
      <rPr>
        <sz val="9"/>
        <color theme="1"/>
        <rFont val="Arial"/>
        <family val="2"/>
      </rPr>
      <t>DULUTH</t>
    </r>
  </si>
  <si>
    <r>
      <rPr>
        <sz val="9"/>
        <color theme="1"/>
        <rFont val="Arial"/>
        <family val="2"/>
      </rPr>
      <t>Male</t>
    </r>
  </si>
  <si>
    <r>
      <rPr>
        <sz val="9"/>
        <color theme="1"/>
        <rFont val="Arial"/>
        <family val="2"/>
      </rPr>
      <t>CHICAGOLP</t>
    </r>
  </si>
  <si>
    <r>
      <rPr>
        <sz val="9"/>
        <color theme="1"/>
        <rFont val="Arial"/>
        <family val="2"/>
      </rPr>
      <t>DULUTH</t>
    </r>
  </si>
  <si>
    <r>
      <rPr>
        <sz val="9"/>
        <color theme="1"/>
        <rFont val="Arial"/>
        <family val="2"/>
      </rPr>
      <t>OMAHA</t>
    </r>
  </si>
  <si>
    <r>
      <rPr>
        <sz val="9"/>
        <color theme="1"/>
        <rFont val="Arial"/>
        <family val="2"/>
      </rPr>
      <t>Female</t>
    </r>
  </si>
  <si>
    <r>
      <rPr>
        <sz val="9"/>
        <color theme="1"/>
        <rFont val="Arial"/>
        <family val="2"/>
      </rPr>
      <t>OMAHA</t>
    </r>
  </si>
  <si>
    <r>
      <rPr>
        <sz val="9"/>
        <color theme="1"/>
        <rFont val="Arial"/>
        <family val="2"/>
      </rPr>
      <t>DUKE PRIM</t>
    </r>
  </si>
  <si>
    <r>
      <rPr>
        <sz val="9"/>
        <color theme="1"/>
        <rFont val="Arial"/>
        <family val="2"/>
      </rPr>
      <t>OMAHA</t>
    </r>
  </si>
  <si>
    <r>
      <rPr>
        <sz val="9"/>
        <color theme="1"/>
        <rFont val="Arial"/>
        <family val="2"/>
      </rPr>
      <t>COLUMBUS</t>
    </r>
  </si>
  <si>
    <r>
      <rPr>
        <sz val="9"/>
        <color theme="1"/>
        <rFont val="Arial"/>
        <family val="2"/>
      </rPr>
      <t>Male</t>
    </r>
  </si>
  <si>
    <r>
      <rPr>
        <sz val="9"/>
        <color theme="1"/>
        <rFont val="Arial"/>
        <family val="2"/>
      </rPr>
      <t>COLUMBUS</t>
    </r>
  </si>
  <si>
    <r>
      <rPr>
        <sz val="9"/>
        <color theme="1"/>
        <rFont val="Arial"/>
        <family val="2"/>
      </rPr>
      <t>COLUMBUS</t>
    </r>
  </si>
  <si>
    <r>
      <rPr>
        <sz val="9"/>
        <color theme="1"/>
        <rFont val="Arial"/>
        <family val="2"/>
      </rPr>
      <t>COLUMBUS</t>
    </r>
  </si>
  <si>
    <r>
      <rPr>
        <sz val="9"/>
        <color theme="1"/>
        <rFont val="Arial"/>
        <family val="2"/>
      </rPr>
      <t>Male</t>
    </r>
  </si>
  <si>
    <r>
      <rPr>
        <sz val="9"/>
        <color theme="1"/>
        <rFont val="Arial"/>
        <family val="2"/>
      </rPr>
      <t>COLUMBUS</t>
    </r>
  </si>
  <si>
    <r>
      <rPr>
        <sz val="9"/>
        <color theme="1"/>
        <rFont val="Arial"/>
        <family val="2"/>
      </rPr>
      <t>COLUMBUS</t>
    </r>
  </si>
  <si>
    <r>
      <rPr>
        <sz val="9"/>
        <color theme="1"/>
        <rFont val="Arial"/>
        <family val="2"/>
      </rPr>
      <t>SANDIEGOZ</t>
    </r>
  </si>
  <si>
    <r>
      <rPr>
        <sz val="9"/>
        <color theme="1"/>
        <rFont val="Arial"/>
        <family val="2"/>
      </rPr>
      <t>Undetermined</t>
    </r>
  </si>
  <si>
    <r>
      <rPr>
        <sz val="9"/>
        <color theme="1"/>
        <rFont val="Arial"/>
        <family val="2"/>
      </rPr>
      <t>SANDIEGOZ</t>
    </r>
  </si>
  <si>
    <r>
      <rPr>
        <sz val="9"/>
        <color theme="1"/>
        <rFont val="Arial"/>
        <family val="2"/>
      </rPr>
      <t>SANDIEGOZ</t>
    </r>
  </si>
  <si>
    <r>
      <rPr>
        <sz val="9"/>
        <color theme="1"/>
        <rFont val="Arial"/>
        <family val="2"/>
      </rPr>
      <t>Male</t>
    </r>
  </si>
  <si>
    <t>Transfers will not occur until June 2022 at the earliest.</t>
  </si>
  <si>
    <r>
      <rPr>
        <sz val="9"/>
        <color theme="1"/>
        <rFont val="Arial"/>
        <family val="2"/>
      </rPr>
      <t>COLUMBUS</t>
    </r>
  </si>
  <si>
    <r>
      <rPr>
        <sz val="9"/>
        <color theme="1"/>
        <rFont val="Arial"/>
        <family val="2"/>
      </rPr>
      <t>CLEVELAND</t>
    </r>
  </si>
  <si>
    <r>
      <rPr>
        <sz val="9"/>
        <color theme="1"/>
        <rFont val="Arial"/>
        <family val="2"/>
      </rPr>
      <t>Male</t>
    </r>
  </si>
  <si>
    <r>
      <rPr>
        <sz val="9"/>
        <color theme="1"/>
        <rFont val="Arial"/>
        <family val="2"/>
      </rPr>
      <t>COLUMBUS</t>
    </r>
  </si>
  <si>
    <r>
      <rPr>
        <sz val="9"/>
        <color theme="1"/>
        <rFont val="Arial"/>
        <family val="2"/>
      </rPr>
      <t>CLEVELAND</t>
    </r>
  </si>
  <si>
    <r>
      <rPr>
        <sz val="9"/>
        <color theme="1"/>
        <rFont val="Arial"/>
        <family val="2"/>
      </rPr>
      <t>AKRON</t>
    </r>
  </si>
  <si>
    <r>
      <rPr>
        <sz val="9"/>
        <color theme="1"/>
        <rFont val="Arial"/>
        <family val="2"/>
      </rPr>
      <t>Undetermined</t>
    </r>
  </si>
  <si>
    <r>
      <rPr>
        <sz val="9"/>
        <color theme="1"/>
        <rFont val="Arial"/>
        <family val="2"/>
      </rPr>
      <t>AKRON</t>
    </r>
  </si>
  <si>
    <r>
      <rPr>
        <sz val="9"/>
        <color theme="1"/>
        <rFont val="Arial"/>
        <family val="2"/>
      </rPr>
      <t>AKRON</t>
    </r>
  </si>
  <si>
    <r>
      <rPr>
        <sz val="9"/>
        <color theme="1"/>
        <rFont val="Arial"/>
        <family val="2"/>
      </rPr>
      <t>MEMPHIS</t>
    </r>
  </si>
  <si>
    <r>
      <rPr>
        <sz val="9"/>
        <color theme="1"/>
        <rFont val="Arial"/>
        <family val="2"/>
      </rPr>
      <t>Undetermined</t>
    </r>
  </si>
  <si>
    <r>
      <rPr>
        <sz val="9"/>
        <color theme="1"/>
        <rFont val="Arial"/>
        <family val="2"/>
      </rPr>
      <t>MEMPHIS</t>
    </r>
  </si>
  <si>
    <r>
      <rPr>
        <sz val="9"/>
        <color theme="1"/>
        <rFont val="Arial"/>
        <family val="2"/>
      </rPr>
      <t>MEMPHIS</t>
    </r>
  </si>
  <si>
    <r>
      <rPr>
        <sz val="9"/>
        <color theme="1"/>
        <rFont val="Arial"/>
        <family val="2"/>
      </rPr>
      <t>NY BRONX</t>
    </r>
  </si>
  <si>
    <r>
      <rPr>
        <sz val="9"/>
        <color theme="1"/>
        <rFont val="Arial"/>
        <family val="2"/>
      </rPr>
      <t>M10186</t>
    </r>
  </si>
  <si>
    <r>
      <rPr>
        <sz val="9"/>
        <color theme="1"/>
        <rFont val="Arial"/>
        <family val="2"/>
      </rPr>
      <t>Male</t>
    </r>
  </si>
  <si>
    <r>
      <rPr>
        <sz val="9"/>
        <color theme="1"/>
        <rFont val="Arial"/>
        <family val="2"/>
      </rPr>
      <t>NY BRONX</t>
    </r>
  </si>
  <si>
    <r>
      <rPr>
        <sz val="9"/>
        <color theme="1"/>
        <rFont val="Arial"/>
        <family val="2"/>
      </rPr>
      <t>NY BRONX</t>
    </r>
  </si>
  <si>
    <r>
      <rPr>
        <sz val="9"/>
        <color theme="1"/>
        <rFont val="Arial"/>
        <family val="2"/>
      </rPr>
      <t>MEMPHIS</t>
    </r>
  </si>
  <si>
    <r>
      <rPr>
        <sz val="9"/>
        <color theme="1"/>
        <rFont val="Arial"/>
        <family val="2"/>
      </rPr>
      <t>Undetermined</t>
    </r>
  </si>
  <si>
    <r>
      <rPr>
        <sz val="9"/>
        <color theme="1"/>
        <rFont val="Arial"/>
        <family val="2"/>
      </rPr>
      <t>MEMPHIS</t>
    </r>
  </si>
  <si>
    <r>
      <rPr>
        <sz val="9"/>
        <color theme="1"/>
        <rFont val="Arial"/>
        <family val="2"/>
      </rPr>
      <t>MEMPHIS</t>
    </r>
  </si>
  <si>
    <r>
      <rPr>
        <sz val="9"/>
        <color theme="1"/>
        <rFont val="Arial"/>
        <family val="2"/>
      </rPr>
      <t>AKRON</t>
    </r>
  </si>
  <si>
    <r>
      <rPr>
        <sz val="9"/>
        <color theme="1"/>
        <rFont val="Arial"/>
        <family val="2"/>
      </rPr>
      <t>Undetermined</t>
    </r>
  </si>
  <si>
    <r>
      <rPr>
        <sz val="9"/>
        <color theme="1"/>
        <rFont val="Arial"/>
        <family val="2"/>
      </rPr>
      <t>AKRON</t>
    </r>
  </si>
  <si>
    <r>
      <rPr>
        <sz val="9"/>
        <color theme="1"/>
        <rFont val="Arial"/>
        <family val="2"/>
      </rPr>
      <t>AKRON</t>
    </r>
  </si>
  <si>
    <r>
      <rPr>
        <sz val="9"/>
        <color theme="1"/>
        <rFont val="Arial"/>
        <family val="2"/>
      </rPr>
      <t>AKRON</t>
    </r>
  </si>
  <si>
    <r>
      <rPr>
        <sz val="9"/>
        <color theme="1"/>
        <rFont val="Arial"/>
        <family val="2"/>
      </rPr>
      <t>Male</t>
    </r>
  </si>
  <si>
    <r>
      <rPr>
        <sz val="9"/>
        <color theme="1"/>
        <rFont val="Arial"/>
        <family val="2"/>
      </rPr>
      <t>AKRON</t>
    </r>
  </si>
  <si>
    <r>
      <rPr>
        <sz val="9"/>
        <color theme="1"/>
        <rFont val="Arial"/>
        <family val="2"/>
      </rPr>
      <t>AKRON</t>
    </r>
  </si>
  <si>
    <r>
      <rPr>
        <sz val="9"/>
        <color theme="1"/>
        <rFont val="Arial"/>
        <family val="2"/>
      </rPr>
      <t>AKRON</t>
    </r>
  </si>
  <si>
    <r>
      <rPr>
        <sz val="9"/>
        <color theme="1"/>
        <rFont val="Arial"/>
        <family val="2"/>
      </rPr>
      <t>Female</t>
    </r>
  </si>
  <si>
    <r>
      <rPr>
        <sz val="9"/>
        <color theme="1"/>
        <rFont val="Arial"/>
        <family val="2"/>
      </rPr>
      <t>AKRON</t>
    </r>
  </si>
  <si>
    <r>
      <rPr>
        <sz val="9"/>
        <color theme="1"/>
        <rFont val="Arial"/>
        <family val="2"/>
      </rPr>
      <t>AKRON</t>
    </r>
  </si>
  <si>
    <r>
      <rPr>
        <sz val="9"/>
        <color theme="1"/>
        <rFont val="Arial"/>
        <family val="2"/>
      </rPr>
      <t>AKRON</t>
    </r>
  </si>
  <si>
    <r>
      <rPr>
        <sz val="9"/>
        <color theme="1"/>
        <rFont val="Arial"/>
        <family val="2"/>
      </rPr>
      <t>Undetermined</t>
    </r>
  </si>
  <si>
    <r>
      <rPr>
        <sz val="9"/>
        <color theme="1"/>
        <rFont val="Arial"/>
        <family val="2"/>
      </rPr>
      <t>AKRON</t>
    </r>
  </si>
  <si>
    <r>
      <rPr>
        <sz val="9"/>
        <color theme="1"/>
        <rFont val="Arial"/>
        <family val="2"/>
      </rPr>
      <t>AKRON</t>
    </r>
  </si>
  <si>
    <r>
      <rPr>
        <sz val="9"/>
        <color theme="1"/>
        <rFont val="Arial"/>
        <family val="2"/>
      </rPr>
      <t>AKRON</t>
    </r>
  </si>
  <si>
    <r>
      <rPr>
        <sz val="9"/>
        <color theme="1"/>
        <rFont val="Arial"/>
        <family val="2"/>
      </rPr>
      <t>Undetermined</t>
    </r>
  </si>
  <si>
    <r>
      <rPr>
        <sz val="9"/>
        <color theme="1"/>
        <rFont val="Arial"/>
        <family val="2"/>
      </rPr>
      <t>AKRON</t>
    </r>
  </si>
  <si>
    <r>
      <rPr>
        <sz val="9"/>
        <color theme="1"/>
        <rFont val="Arial"/>
        <family val="2"/>
      </rPr>
      <t>AKRON</t>
    </r>
  </si>
  <si>
    <r>
      <rPr>
        <sz val="9"/>
        <color theme="1"/>
        <rFont val="Arial"/>
        <family val="2"/>
      </rPr>
      <t>PUEBLO</t>
    </r>
  </si>
  <si>
    <r>
      <rPr>
        <sz val="9"/>
        <color theme="1"/>
        <rFont val="Arial"/>
        <family val="2"/>
      </rPr>
      <t>M27025</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</si>
  <si>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</si>
  <si>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</si>
  <si>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</si>
  <si>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PUEBLO</t>
    </r>
  </si>
  <si>
    <r>
      <rPr>
        <sz val="9"/>
        <color theme="1"/>
        <rFont val="Arial"/>
        <family val="2"/>
      </rPr>
      <t>M27024</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</si>
  <si>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</si>
  <si>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</si>
  <si>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</si>
  <si>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PUEBLO</t>
    </r>
  </si>
  <si>
    <r>
      <rPr>
        <sz val="9"/>
        <color theme="1"/>
        <rFont val="Arial"/>
        <family val="2"/>
      </rPr>
      <t>M27023</t>
    </r>
  </si>
  <si>
    <r>
      <rPr>
        <sz val="9"/>
        <color theme="1"/>
        <rFont val="Arial"/>
        <family val="2"/>
      </rPr>
      <t>Undetermined</t>
    </r>
  </si>
  <si>
    <r>
      <rPr>
        <sz val="9"/>
        <color theme="1"/>
        <rFont val="Arial"/>
        <family val="2"/>
      </rPr>
      <t>PUEBLO</t>
    </r>
  </si>
  <si>
    <r>
      <rPr>
        <sz val="9"/>
        <color theme="1"/>
        <rFont val="Arial"/>
        <family val="2"/>
      </rPr>
      <t>PUEBLO</t>
    </r>
  </si>
  <si>
    <r>
      <rPr>
        <sz val="9"/>
        <color theme="1"/>
        <rFont val="Arial"/>
        <family val="2"/>
      </rPr>
      <t>CLEVELAND</t>
    </r>
  </si>
  <si>
    <r>
      <rPr>
        <sz val="9"/>
        <color theme="1"/>
        <rFont val="Arial"/>
        <family val="2"/>
      </rPr>
      <t>M51212</t>
    </r>
  </si>
  <si>
    <r>
      <rPr>
        <sz val="9"/>
        <color theme="1"/>
        <rFont val="Arial"/>
        <family val="2"/>
      </rPr>
      <t>Undetermined</t>
    </r>
  </si>
  <si>
    <r>
      <rPr>
        <sz val="9"/>
        <color theme="1"/>
        <rFont val="Arial"/>
        <family val="2"/>
      </rPr>
      <t>CLEVELAND</t>
    </r>
  </si>
  <si>
    <r>
      <rPr>
        <sz val="9"/>
        <color theme="1"/>
        <rFont val="Arial"/>
        <family val="2"/>
      </rPr>
      <t>CLEVELAND</t>
    </r>
  </si>
  <si>
    <r>
      <rPr>
        <sz val="9"/>
        <color theme="1"/>
        <rFont val="Arial"/>
        <family val="2"/>
      </rPr>
      <t>CLEVELAND</t>
    </r>
  </si>
  <si>
    <r>
      <rPr>
        <sz val="9"/>
        <color theme="1"/>
        <rFont val="Arial"/>
        <family val="2"/>
      </rPr>
      <t>M51211</t>
    </r>
  </si>
  <si>
    <r>
      <rPr>
        <sz val="9"/>
        <color theme="1"/>
        <rFont val="Arial"/>
        <family val="2"/>
      </rPr>
      <t>Undetermined</t>
    </r>
  </si>
  <si>
    <r>
      <rPr>
        <sz val="9"/>
        <color theme="1"/>
        <rFont val="Arial"/>
        <family val="2"/>
      </rPr>
      <t>CLEVELAND</t>
    </r>
  </si>
  <si>
    <r>
      <rPr>
        <sz val="9"/>
        <color theme="1"/>
        <rFont val="Arial"/>
        <family val="2"/>
      </rPr>
      <t>CLEVELAND</t>
    </r>
  </si>
  <si>
    <r>
      <rPr>
        <sz val="9"/>
        <color theme="1"/>
        <rFont val="Arial"/>
        <family val="2"/>
      </rPr>
      <t>MOODY</t>
    </r>
  </si>
  <si>
    <r>
      <rPr>
        <sz val="9"/>
        <color theme="1"/>
        <rFont val="Arial"/>
        <family val="2"/>
      </rPr>
      <t>Male</t>
    </r>
  </si>
  <si>
    <r>
      <rPr>
        <sz val="9"/>
        <color theme="1"/>
        <rFont val="Arial"/>
        <family val="2"/>
      </rPr>
      <t>MOODY</t>
    </r>
  </si>
  <si>
    <r>
      <rPr>
        <sz val="9"/>
        <color theme="1"/>
        <rFont val="Arial"/>
        <family val="2"/>
      </rPr>
      <t>MOODY</t>
    </r>
  </si>
  <si>
    <r>
      <rPr>
        <sz val="9"/>
        <color theme="1"/>
        <rFont val="Arial"/>
        <family val="2"/>
      </rPr>
      <t>NY BRONX</t>
    </r>
  </si>
  <si>
    <r>
      <rPr>
        <sz val="9"/>
        <color theme="1"/>
        <rFont val="Arial"/>
        <family val="2"/>
      </rPr>
      <t>M20006</t>
    </r>
  </si>
  <si>
    <r>
      <rPr>
        <sz val="9"/>
        <color theme="1"/>
        <rFont val="Arial"/>
        <family val="2"/>
      </rPr>
      <t>Undetermined</t>
    </r>
  </si>
  <si>
    <r>
      <rPr>
        <sz val="9"/>
        <color theme="1"/>
        <rFont val="Arial"/>
        <family val="2"/>
      </rPr>
      <t>NY BRONX</t>
    </r>
  </si>
  <si>
    <r>
      <rPr>
        <sz val="9"/>
        <color theme="1"/>
        <rFont val="Arial"/>
        <family val="2"/>
      </rPr>
      <t>NY BRONX</t>
    </r>
  </si>
  <si>
    <r>
      <rPr>
        <sz val="9"/>
        <color theme="1"/>
        <rFont val="Arial"/>
        <family val="2"/>
      </rPr>
      <t>PHILADELP</t>
    </r>
  </si>
  <si>
    <r>
      <rPr>
        <sz val="9"/>
        <color theme="1"/>
        <rFont val="Arial"/>
        <family val="2"/>
      </rPr>
      <t>P09015</t>
    </r>
  </si>
  <si>
    <r>
      <rPr>
        <sz val="9"/>
        <color theme="1"/>
        <rFont val="Arial"/>
        <family val="2"/>
      </rPr>
      <t>Male</t>
    </r>
  </si>
  <si>
    <r>
      <rPr>
        <sz val="9"/>
        <color theme="1"/>
        <rFont val="Arial"/>
        <family val="2"/>
      </rPr>
      <t>PHILADELP</t>
    </r>
  </si>
  <si>
    <r>
      <rPr>
        <sz val="9"/>
        <color theme="1"/>
        <rFont val="Arial"/>
        <family val="2"/>
      </rPr>
      <t>ABQBIOPK</t>
    </r>
  </si>
  <si>
    <r>
      <rPr>
        <sz val="9"/>
        <color theme="1"/>
        <rFont val="Arial"/>
        <family val="2"/>
      </rPr>
      <t>PROSPECTP</t>
    </r>
  </si>
  <si>
    <t>PHILADELP</t>
  </si>
  <si>
    <r>
      <rPr>
        <sz val="9"/>
        <color theme="1"/>
        <rFont val="Arial"/>
        <family val="2"/>
      </rPr>
      <t>PHILADELP</t>
    </r>
  </si>
  <si>
    <r>
      <rPr>
        <sz val="9"/>
        <color theme="1"/>
        <rFont val="Arial"/>
        <family val="2"/>
      </rPr>
      <t>Female</t>
    </r>
  </si>
  <si>
    <r>
      <rPr>
        <sz val="9"/>
        <color theme="1"/>
        <rFont val="Arial"/>
        <family val="2"/>
      </rPr>
      <t>PHILADELP</t>
    </r>
  </si>
  <si>
    <r>
      <rPr>
        <sz val="9"/>
        <color theme="1"/>
        <rFont val="Arial"/>
        <family val="2"/>
      </rPr>
      <t>PHILADELP</t>
    </r>
  </si>
  <si>
    <r>
      <rPr>
        <sz val="9"/>
        <color theme="1"/>
        <rFont val="Arial"/>
        <family val="2"/>
      </rPr>
      <t>EVANSVLLE</t>
    </r>
  </si>
  <si>
    <r>
      <rPr>
        <sz val="9"/>
        <color theme="1"/>
        <rFont val="Arial"/>
        <family val="2"/>
      </rPr>
      <t>Undetermined</t>
    </r>
  </si>
  <si>
    <r>
      <rPr>
        <sz val="9"/>
        <color theme="1"/>
        <rFont val="Arial"/>
        <family val="2"/>
      </rPr>
      <t>EVANSVLLE</t>
    </r>
  </si>
  <si>
    <r>
      <rPr>
        <sz val="9"/>
        <color theme="1"/>
        <rFont val="Arial"/>
        <family val="2"/>
      </rPr>
      <t>EVANSVLLE</t>
    </r>
  </si>
  <si>
    <r>
      <rPr>
        <sz val="9"/>
        <color theme="1"/>
        <rFont val="Arial"/>
        <family val="2"/>
      </rPr>
      <t>MOODY</t>
    </r>
  </si>
  <si>
    <r>
      <rPr>
        <sz val="9"/>
        <color theme="1"/>
        <rFont val="Arial"/>
        <family val="2"/>
      </rPr>
      <t>Male</t>
    </r>
  </si>
  <si>
    <r>
      <rPr>
        <sz val="9"/>
        <color theme="1"/>
        <rFont val="Arial"/>
        <family val="2"/>
      </rPr>
      <t>MOODY</t>
    </r>
  </si>
  <si>
    <r>
      <rPr>
        <sz val="9"/>
        <color theme="1"/>
        <rFont val="Arial"/>
        <family val="2"/>
      </rPr>
      <t>MOODY</t>
    </r>
  </si>
  <si>
    <r>
      <rPr>
        <sz val="9"/>
        <color theme="1"/>
        <rFont val="Arial"/>
        <family val="2"/>
      </rPr>
      <t>COLUMBUS</t>
    </r>
  </si>
  <si>
    <r>
      <rPr>
        <sz val="9"/>
        <color theme="1"/>
        <rFont val="Arial"/>
        <family val="2"/>
      </rPr>
      <t>Undetermined</t>
    </r>
  </si>
  <si>
    <r>
      <rPr>
        <sz val="9"/>
        <color theme="1"/>
        <rFont val="Arial"/>
        <family val="2"/>
      </rPr>
      <t>COLUMBUS</t>
    </r>
  </si>
  <si>
    <r>
      <rPr>
        <sz val="9"/>
        <color theme="1"/>
        <rFont val="Arial"/>
        <family val="2"/>
      </rPr>
      <t>COLUMBUS</t>
    </r>
  </si>
  <si>
    <r>
      <rPr>
        <sz val="9"/>
        <color theme="1"/>
        <rFont val="Arial"/>
        <family val="2"/>
      </rPr>
      <t>Undetermined</t>
    </r>
  </si>
  <si>
    <r>
      <rPr>
        <sz val="9"/>
        <color theme="1"/>
        <rFont val="Arial"/>
        <family val="2"/>
      </rPr>
      <t>COLUMBUS</t>
    </r>
  </si>
  <si>
    <r>
      <rPr>
        <sz val="9"/>
        <color theme="1"/>
        <rFont val="Arial"/>
        <family val="2"/>
      </rPr>
      <t>NY BRONX</t>
    </r>
  </si>
  <si>
    <r>
      <rPr>
        <sz val="9"/>
        <color theme="1"/>
        <rFont val="Arial"/>
        <family val="2"/>
      </rPr>
      <t>M21014</t>
    </r>
  </si>
  <si>
    <r>
      <rPr>
        <sz val="9"/>
        <color theme="1"/>
        <rFont val="Arial"/>
        <family val="2"/>
      </rPr>
      <t>Female</t>
    </r>
  </si>
  <si>
    <r>
      <rPr>
        <sz val="9"/>
        <color theme="1"/>
        <rFont val="Arial"/>
        <family val="2"/>
      </rPr>
      <t>NY BRONX</t>
    </r>
  </si>
  <si>
    <r>
      <rPr>
        <sz val="9"/>
        <color theme="1"/>
        <rFont val="Arial"/>
        <family val="2"/>
      </rPr>
      <t>NY BRONX</t>
    </r>
  </si>
  <si>
    <r>
      <rPr>
        <sz val="9"/>
        <color theme="1"/>
        <rFont val="Arial"/>
        <family val="2"/>
      </rPr>
      <t>PUEBLO</t>
    </r>
  </si>
  <si>
    <r>
      <rPr>
        <sz val="9"/>
        <color theme="1"/>
        <rFont val="Arial"/>
        <family val="2"/>
      </rPr>
      <t>M39021</t>
    </r>
  </si>
  <si>
    <r>
      <rPr>
        <sz val="9"/>
        <color theme="1"/>
        <rFont val="Arial"/>
        <family val="2"/>
      </rPr>
      <t>Female</t>
    </r>
  </si>
  <si>
    <r>
      <rPr>
        <sz val="9"/>
        <color theme="1"/>
        <rFont val="Arial"/>
        <family val="2"/>
      </rPr>
      <t>PUEBLO</t>
    </r>
  </si>
  <si>
    <t>This pair has a low likelihood of success due to the female’s age and lack of prior reproduction, however, please do not limit breeding. No recorded female has bred for the first time past the age of 10.</t>
  </si>
  <si>
    <r>
      <rPr>
        <sz val="9"/>
        <color theme="1"/>
        <rFont val="Arial"/>
        <family val="2"/>
      </rPr>
      <t>ABQBIOPK</t>
    </r>
  </si>
  <si>
    <r>
      <rPr>
        <sz val="9"/>
        <color theme="1"/>
        <rFont val="Arial"/>
        <family val="2"/>
      </rPr>
      <t>SANDIEGOZ</t>
    </r>
  </si>
  <si>
    <r>
      <rPr>
        <sz val="9"/>
        <color theme="1"/>
        <rFont val="Arial"/>
        <family val="2"/>
      </rPr>
      <t>PUEBLO</t>
    </r>
  </si>
  <si>
    <r>
      <rPr>
        <sz val="9"/>
        <color theme="1"/>
        <rFont val="Arial"/>
        <family val="2"/>
      </rPr>
      <t>PUEBLO</t>
    </r>
  </si>
  <si>
    <r>
      <rPr>
        <sz val="9"/>
        <color theme="1"/>
        <rFont val="Arial"/>
        <family val="2"/>
      </rPr>
      <t>M39022</t>
    </r>
  </si>
  <si>
    <r>
      <rPr>
        <sz val="9"/>
        <color theme="1"/>
        <rFont val="Arial"/>
        <family val="2"/>
      </rPr>
      <t>Male</t>
    </r>
  </si>
  <si>
    <r>
      <rPr>
        <sz val="9"/>
        <color theme="1"/>
        <rFont val="Arial"/>
        <family val="2"/>
      </rPr>
      <t>PUEBLO</t>
    </r>
  </si>
  <si>
    <r>
      <rPr>
        <sz val="9"/>
        <color theme="1"/>
        <rFont val="Arial"/>
        <family val="2"/>
      </rPr>
      <t>EL PASO</t>
    </r>
  </si>
  <si>
    <r>
      <rPr>
        <sz val="9"/>
        <color theme="1"/>
        <rFont val="Arial"/>
        <family val="2"/>
      </rPr>
      <t>ABQBIOPK</t>
    </r>
  </si>
  <si>
    <r>
      <rPr>
        <sz val="9"/>
        <color theme="1"/>
        <rFont val="Arial"/>
        <family val="2"/>
      </rPr>
      <t>SANDIEGOZ</t>
    </r>
  </si>
  <si>
    <r>
      <rPr>
        <sz val="9"/>
        <color theme="1"/>
        <rFont val="Arial"/>
        <family val="2"/>
      </rPr>
      <t>PUEBLO</t>
    </r>
  </si>
  <si>
    <t>TBD</t>
  </si>
  <si>
    <r>
      <rPr>
        <sz val="9"/>
        <color theme="1"/>
        <rFont val="Arial"/>
        <family val="2"/>
      </rPr>
      <t>Male</t>
    </r>
  </si>
  <si>
    <t>Please talk to the SSP Coordinator for details regarding the transfer of male #2676.</t>
  </si>
  <si>
    <r>
      <rPr>
        <sz val="9"/>
        <color theme="1"/>
        <rFont val="Arial"/>
        <family val="2"/>
      </rPr>
      <t>CHICAGOBR</t>
    </r>
  </si>
  <si>
    <r>
      <rPr>
        <sz val="9"/>
        <color theme="1"/>
        <rFont val="Arial"/>
        <family val="2"/>
      </rPr>
      <t>PHILADELP</t>
    </r>
  </si>
  <si>
    <r>
      <rPr>
        <sz val="9"/>
        <color theme="1"/>
        <rFont val="Arial"/>
        <family val="2"/>
      </rPr>
      <t>TAIPEI</t>
    </r>
  </si>
  <si>
    <r>
      <rPr>
        <sz val="9"/>
        <color theme="1"/>
        <rFont val="Arial"/>
        <family val="2"/>
      </rPr>
      <t>Female</t>
    </r>
  </si>
  <si>
    <r>
      <rPr>
        <sz val="9"/>
        <color theme="1"/>
        <rFont val="Arial"/>
        <family val="2"/>
      </rPr>
      <t>Undetermined</t>
    </r>
  </si>
  <si>
    <r>
      <rPr>
        <sz val="9"/>
        <color theme="1"/>
        <rFont val="Arial"/>
        <family val="2"/>
      </rPr>
      <t>UND</t>
    </r>
  </si>
  <si>
    <r>
      <rPr>
        <sz val="9"/>
        <color theme="1"/>
        <rFont val="Arial"/>
        <family val="2"/>
      </rPr>
      <t>UND</t>
    </r>
  </si>
  <si>
    <r>
      <rPr>
        <sz val="9"/>
        <color theme="1"/>
        <rFont val="Arial"/>
        <family val="2"/>
      </rPr>
      <t>Undetermined</t>
    </r>
  </si>
  <si>
    <r>
      <rPr>
        <sz val="9"/>
        <color theme="1"/>
        <rFont val="Arial"/>
        <family val="2"/>
      </rPr>
      <t>Undetermined</t>
    </r>
  </si>
  <si>
    <r>
      <rPr>
        <sz val="9"/>
        <color theme="1"/>
        <rFont val="Arial"/>
        <family val="2"/>
      </rPr>
      <t>TAIPEI</t>
    </r>
  </si>
  <si>
    <r>
      <rPr>
        <sz val="9"/>
        <color theme="1"/>
        <rFont val="Arial"/>
        <family val="2"/>
      </rPr>
      <t>Undetermined</t>
    </r>
  </si>
  <si>
    <r>
      <rPr>
        <sz val="9"/>
        <color theme="1"/>
        <rFont val="Arial"/>
        <family val="2"/>
      </rPr>
      <t>FERNDALE</t>
    </r>
  </si>
  <si>
    <r>
      <rPr>
        <sz val="9"/>
        <color theme="1"/>
        <rFont val="Arial"/>
        <family val="2"/>
      </rPr>
      <t>TAIPEI</t>
    </r>
  </si>
  <si>
    <r>
      <rPr>
        <sz val="9"/>
        <color theme="1"/>
        <rFont val="Arial"/>
        <family val="2"/>
      </rPr>
      <t>BOWMANVIL</t>
    </r>
  </si>
  <si>
    <r>
      <rPr>
        <sz val="9"/>
        <color theme="1"/>
        <rFont val="Arial"/>
        <family val="2"/>
      </rPr>
      <t>LO8009</t>
    </r>
  </si>
  <si>
    <r>
      <rPr>
        <sz val="9"/>
        <color theme="1"/>
        <rFont val="Arial"/>
        <family val="2"/>
      </rPr>
      <t>Female</t>
    </r>
  </si>
  <si>
    <t>Wild</t>
  </si>
  <si>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</si>
  <si>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</si>
  <si>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</si>
  <si>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</si>
  <si>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</si>
  <si>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</si>
  <si>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BOWMANVIL</t>
    </r>
  </si>
  <si>
    <r>
      <rPr>
        <sz val="9"/>
        <color theme="1"/>
        <rFont val="Arial"/>
        <family val="2"/>
      </rPr>
      <t>CALGARY</t>
    </r>
  </si>
  <si>
    <r>
      <rPr>
        <sz val="9"/>
        <color theme="1"/>
        <rFont val="Arial"/>
        <family val="2"/>
      </rPr>
      <t>QUEBEC</t>
    </r>
  </si>
  <si>
    <r>
      <rPr>
        <sz val="9"/>
        <color theme="1"/>
        <rFont val="Arial"/>
        <family val="2"/>
      </rPr>
      <t>LANGLEY</t>
    </r>
  </si>
  <si>
    <r>
      <rPr>
        <sz val="9"/>
        <color theme="1"/>
        <rFont val="Arial"/>
        <family val="2"/>
      </rPr>
      <t>BOWMANVIL</t>
    </r>
  </si>
  <si>
    <r>
      <rPr>
        <sz val="9"/>
        <color theme="1"/>
        <rFont val="Arial"/>
        <family val="2"/>
      </rPr>
      <t>CALGARY</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</si>
  <si>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</si>
  <si>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</si>
  <si>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</si>
  <si>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</si>
  <si>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</si>
  <si>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</si>
  <si>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CALGARY</t>
    </r>
  </si>
  <si>
    <r>
      <rPr>
        <sz val="9"/>
        <color theme="1"/>
        <rFont val="Arial"/>
        <family val="2"/>
      </rPr>
      <t>CALGARY</t>
    </r>
  </si>
  <si>
    <r>
      <rPr>
        <sz val="9"/>
        <color theme="1"/>
        <rFont val="Arial"/>
        <family val="2"/>
      </rPr>
      <t>CALGARY</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</si>
  <si>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</si>
  <si>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</si>
  <si>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</si>
  <si>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</si>
  <si>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</si>
  <si>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</si>
  <si>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</si>
  <si>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CALGARY</t>
    </r>
  </si>
  <si>
    <r>
      <rPr>
        <sz val="9"/>
        <color theme="1"/>
        <rFont val="Arial"/>
        <family val="2"/>
      </rPr>
      <t>CALGARY</t>
    </r>
  </si>
  <si>
    <r>
      <rPr>
        <sz val="9"/>
        <color theme="1"/>
        <rFont val="Arial"/>
        <family val="2"/>
      </rPr>
      <t>CALGARY</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</si>
  <si>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</si>
  <si>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</si>
  <si>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</si>
  <si>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</si>
  <si>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</si>
  <si>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</si>
  <si>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</si>
  <si>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CALGARY</t>
    </r>
  </si>
  <si>
    <r>
      <rPr>
        <sz val="9"/>
        <color theme="1"/>
        <rFont val="Arial"/>
        <family val="2"/>
      </rPr>
      <t>CALGARY</t>
    </r>
  </si>
  <si>
    <r>
      <rPr>
        <sz val="9"/>
        <color theme="1"/>
        <rFont val="Arial"/>
        <family val="2"/>
      </rPr>
      <t>CHICAGOBR</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</si>
  <si>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</si>
  <si>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</si>
  <si>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</si>
  <si>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</si>
  <si>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t>Vietnam</t>
  </si>
  <si>
    <t xml:space="preserve"> / ~</t>
  </si>
  <si>
    <r>
      <rPr>
        <sz val="9"/>
        <color theme="1"/>
        <rFont val="Arial"/>
        <family val="2"/>
      </rPr>
      <t>Undetermined</t>
    </r>
  </si>
  <si>
    <r>
      <rPr>
        <sz val="9"/>
        <color theme="1"/>
        <rFont val="Arial"/>
        <family val="2"/>
      </rPr>
      <t>CHICAGOBR</t>
    </r>
  </si>
  <si>
    <r>
      <rPr>
        <sz val="9"/>
        <color theme="1"/>
        <rFont val="Arial"/>
        <family val="2"/>
      </rPr>
      <t>SKANAKV</t>
    </r>
  </si>
  <si>
    <r>
      <rPr>
        <sz val="9"/>
        <color theme="1"/>
        <rFont val="Arial"/>
        <family val="2"/>
      </rPr>
      <t>CINCINNAT</t>
    </r>
  </si>
  <si>
    <r>
      <rPr>
        <sz val="9"/>
        <color theme="1"/>
        <rFont val="Arial"/>
        <family val="2"/>
      </rPr>
      <t>CHICAGOBR</t>
    </r>
  </si>
  <si>
    <r>
      <rPr>
        <sz val="9"/>
        <color theme="1"/>
        <rFont val="Arial"/>
        <family val="2"/>
      </rPr>
      <t>CHICAGOBR</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</si>
  <si>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</si>
  <si>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</si>
  <si>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</si>
  <si>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</si>
  <si>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CHICAGOBR</t>
    </r>
  </si>
  <si>
    <r>
      <rPr>
        <sz val="9"/>
        <color theme="1"/>
        <rFont val="Arial"/>
        <family val="2"/>
      </rPr>
      <t>SKANAKV</t>
    </r>
  </si>
  <si>
    <r>
      <rPr>
        <sz val="9"/>
        <color theme="1"/>
        <rFont val="Arial"/>
        <family val="2"/>
      </rPr>
      <t>CINCINNAT</t>
    </r>
  </si>
  <si>
    <r>
      <rPr>
        <sz val="9"/>
        <color theme="1"/>
        <rFont val="Arial"/>
        <family val="2"/>
      </rPr>
      <t>CHICAGOBR</t>
    </r>
  </si>
  <si>
    <r>
      <rPr>
        <sz val="9"/>
        <color theme="1"/>
        <rFont val="Arial"/>
        <family val="2"/>
      </rPr>
      <t>CINCINNAT</t>
    </r>
  </si>
  <si>
    <r>
      <rPr>
        <sz val="9"/>
        <color theme="1"/>
        <rFont val="Arial"/>
        <family val="2"/>
      </rPr>
      <t>M2151</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</si>
  <si>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</si>
  <si>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</si>
  <si>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</si>
  <si>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CINCINNAT</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</si>
  <si>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</si>
  <si>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</si>
  <si>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</si>
  <si>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M2152</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</si>
  <si>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</si>
  <si>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</si>
  <si>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</si>
  <si>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</si>
  <si>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</si>
  <si>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CINCINNAT</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</si>
  <si>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</si>
  <si>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</si>
  <si>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</si>
  <si>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M2155</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</si>
  <si>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</si>
  <si>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</si>
  <si>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</si>
  <si>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CINCINNAT</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</si>
  <si>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</si>
  <si>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</si>
  <si>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</si>
  <si>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M2156</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</si>
  <si>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</si>
  <si>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</si>
  <si>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</si>
  <si>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</si>
  <si>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CINCINNAT</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</si>
  <si>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</si>
  <si>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</si>
  <si>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</si>
  <si>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M2157</t>
    </r>
  </si>
  <si>
    <r>
      <rPr>
        <sz val="9"/>
        <color theme="1"/>
        <rFont val="Arial"/>
        <family val="2"/>
      </rPr>
      <t>Female</t>
    </r>
  </si>
  <si>
    <r>
      <rPr>
        <sz val="9"/>
        <color theme="1"/>
        <rFont val="Arial"/>
        <family val="2"/>
      </rPr>
      <t>WILD</t>
    </r>
  </si>
  <si>
    <r>
      <rPr>
        <sz val="9"/>
        <color theme="1"/>
        <rFont val="Arial"/>
        <family val="2"/>
      </rPr>
      <t>WILD</t>
    </r>
  </si>
  <si>
    <t>Lao People's Democratic Republic</t>
  </si>
  <si>
    <r>
      <rPr>
        <sz val="9"/>
        <color theme="1"/>
        <rFont val="Arial"/>
        <family val="2"/>
      </rPr>
      <t>Undetermined</t>
    </r>
  </si>
  <si>
    <r>
      <rPr>
        <sz val="9"/>
        <color theme="1"/>
        <rFont val="Arial"/>
        <family val="2"/>
      </rPr>
      <t>CINCINNAT</t>
    </r>
  </si>
  <si>
    <r>
      <rPr>
        <sz val="9"/>
        <color theme="1"/>
        <rFont val="Arial"/>
        <family val="2"/>
      </rPr>
      <t>Undetermined</t>
    </r>
  </si>
  <si>
    <r>
      <rPr>
        <sz val="9"/>
        <color theme="1"/>
        <rFont val="Arial"/>
        <family val="2"/>
      </rPr>
      <t>FORSS</t>
    </r>
  </si>
  <si>
    <r>
      <rPr>
        <sz val="9"/>
        <color theme="1"/>
        <rFont val="Arial"/>
        <family val="2"/>
      </rPr>
      <t>POZNAN</t>
    </r>
  </si>
  <si>
    <r>
      <rPr>
        <sz val="9"/>
        <color theme="1"/>
        <rFont val="Arial"/>
        <family val="2"/>
      </rPr>
      <t>SKANAKV</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</si>
  <si>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</si>
  <si>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</si>
  <si>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</si>
  <si>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M2158</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</si>
  <si>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</si>
  <si>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</si>
  <si>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</si>
  <si>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</si>
  <si>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CINCINNAT</t>
    </r>
  </si>
  <si>
    <r>
      <rPr>
        <sz val="9"/>
        <color theme="1"/>
        <rFont val="Arial"/>
        <family val="2"/>
      </rPr>
      <t>Undetermined</t>
    </r>
  </si>
  <si>
    <r>
      <rPr>
        <sz val="9"/>
        <color theme="1"/>
        <rFont val="Arial"/>
        <family val="2"/>
      </rPr>
      <t>FORSS</t>
    </r>
  </si>
  <si>
    <r>
      <rPr>
        <sz val="9"/>
        <color theme="1"/>
        <rFont val="Arial"/>
        <family val="2"/>
      </rPr>
      <t>POZNAN</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</si>
  <si>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</si>
  <si>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</si>
  <si>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</si>
  <si>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M2159</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</si>
  <si>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</si>
  <si>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</si>
  <si>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</si>
  <si>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</si>
  <si>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CINCINNAT</t>
    </r>
  </si>
  <si>
    <r>
      <rPr>
        <sz val="9"/>
        <color theme="1"/>
        <rFont val="Arial"/>
        <family val="2"/>
      </rPr>
      <t>Undetermined</t>
    </r>
  </si>
  <si>
    <r>
      <rPr>
        <sz val="9"/>
        <color theme="1"/>
        <rFont val="Arial"/>
        <family val="2"/>
      </rPr>
      <t>FORSS</t>
    </r>
  </si>
  <si>
    <r>
      <rPr>
        <sz val="9"/>
        <color theme="1"/>
        <rFont val="Arial"/>
        <family val="2"/>
      </rPr>
      <t>POZNAN</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</si>
  <si>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</si>
  <si>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</si>
  <si>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</si>
  <si>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M2160</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</si>
  <si>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</si>
  <si>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</si>
  <si>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</si>
  <si>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</si>
  <si>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CINCINNAT</t>
    </r>
  </si>
  <si>
    <r>
      <rPr>
        <sz val="9"/>
        <color theme="1"/>
        <rFont val="Arial"/>
        <family val="2"/>
      </rPr>
      <t>SKANAKV</t>
    </r>
  </si>
  <si>
    <r>
      <rPr>
        <sz val="9"/>
        <color theme="1"/>
        <rFont val="Arial"/>
        <family val="2"/>
      </rPr>
      <t>CINCINNAT</t>
    </r>
  </si>
  <si>
    <r>
      <rPr>
        <sz val="9"/>
        <color theme="1"/>
        <rFont val="Arial"/>
        <family val="2"/>
      </rPr>
      <t>CINCINNAT</t>
    </r>
  </si>
  <si>
    <r>
      <rPr>
        <sz val="9"/>
        <color theme="1"/>
        <rFont val="Arial"/>
        <family val="2"/>
      </rPr>
      <t>M2161</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</si>
  <si>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</si>
  <si>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</si>
  <si>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</si>
  <si>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</si>
  <si>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</si>
  <si>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CINCINNAT</t>
    </r>
  </si>
  <si>
    <r>
      <rPr>
        <sz val="9"/>
        <color theme="1"/>
        <rFont val="Arial"/>
        <family val="2"/>
      </rPr>
      <t>SKANAKV</t>
    </r>
  </si>
  <si>
    <r>
      <rPr>
        <sz val="9"/>
        <color theme="1"/>
        <rFont val="Arial"/>
        <family val="2"/>
      </rPr>
      <t>CINCINNAT</t>
    </r>
  </si>
  <si>
    <r>
      <rPr>
        <sz val="9"/>
        <color theme="1"/>
        <rFont val="Arial"/>
        <family val="2"/>
      </rPr>
      <t>CLEVELAND</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</si>
  <si>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</si>
  <si>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</si>
  <si>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</si>
  <si>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</si>
  <si>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</si>
  <si>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</si>
  <si>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</si>
  <si>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CLEVELAND</t>
    </r>
  </si>
  <si>
    <r>
      <rPr>
        <sz val="9"/>
        <color theme="1"/>
        <rFont val="Arial"/>
        <family val="2"/>
      </rPr>
      <t>Undetermined</t>
    </r>
  </si>
  <si>
    <r>
      <rPr>
        <sz val="9"/>
        <color theme="1"/>
        <rFont val="Arial"/>
        <family val="2"/>
      </rPr>
      <t>USDI</t>
    </r>
  </si>
  <si>
    <r>
      <rPr>
        <sz val="9"/>
        <color theme="1"/>
        <rFont val="Arial"/>
        <family val="2"/>
      </rPr>
      <t>NY BRONX</t>
    </r>
  </si>
  <si>
    <r>
      <rPr>
        <sz val="9"/>
        <color theme="1"/>
        <rFont val="Arial"/>
        <family val="2"/>
      </rPr>
      <t>CLEVELAND</t>
    </r>
  </si>
  <si>
    <r>
      <rPr>
        <sz val="9"/>
        <color theme="1"/>
        <rFont val="Arial"/>
        <family val="2"/>
      </rPr>
      <t>CLEVELAND</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</si>
  <si>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</si>
  <si>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</si>
  <si>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</si>
  <si>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</si>
  <si>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</si>
  <si>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CLEVELAND</t>
    </r>
  </si>
  <si>
    <r>
      <rPr>
        <sz val="9"/>
        <color theme="1"/>
        <rFont val="Arial"/>
        <family val="2"/>
      </rPr>
      <t>Undetermined</t>
    </r>
  </si>
  <si>
    <r>
      <rPr>
        <sz val="9"/>
        <color theme="1"/>
        <rFont val="Arial"/>
        <family val="2"/>
      </rPr>
      <t>USDI</t>
    </r>
  </si>
  <si>
    <r>
      <rPr>
        <sz val="9"/>
        <color theme="1"/>
        <rFont val="Arial"/>
        <family val="2"/>
      </rPr>
      <t>SEATTLE</t>
    </r>
  </si>
  <si>
    <r>
      <rPr>
        <sz val="9"/>
        <color theme="1"/>
        <rFont val="Arial"/>
        <family val="2"/>
      </rPr>
      <t>CLEVELAND</t>
    </r>
  </si>
  <si>
    <r>
      <rPr>
        <sz val="9"/>
        <color theme="1"/>
        <rFont val="Arial"/>
        <family val="2"/>
      </rPr>
      <t>CRYSTAL G</t>
    </r>
  </si>
  <si>
    <r>
      <rPr>
        <sz val="9"/>
        <color theme="1"/>
        <rFont val="Arial"/>
        <family val="2"/>
      </rPr>
      <t>CGNPO1</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</si>
  <si>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</si>
  <si>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</si>
  <si>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</si>
  <si>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</si>
  <si>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</si>
  <si>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CRYSTAL G</t>
    </r>
  </si>
  <si>
    <r>
      <rPr>
        <sz val="9"/>
        <color theme="1"/>
        <rFont val="Arial"/>
        <family val="2"/>
      </rPr>
      <t>Undetermined</t>
    </r>
  </si>
  <si>
    <r>
      <rPr>
        <sz val="9"/>
        <color theme="1"/>
        <rFont val="Arial"/>
        <family val="2"/>
      </rPr>
      <t>SKANAKV</t>
    </r>
  </si>
  <si>
    <r>
      <rPr>
        <sz val="9"/>
        <color theme="1"/>
        <rFont val="Arial"/>
        <family val="2"/>
      </rPr>
      <t>CRYSTAL G</t>
    </r>
  </si>
  <si>
    <r>
      <rPr>
        <sz val="9"/>
        <color theme="1"/>
        <rFont val="Arial"/>
        <family val="2"/>
      </rPr>
      <t>CRYSTAL G</t>
    </r>
  </si>
  <si>
    <r>
      <rPr>
        <sz val="9"/>
        <color theme="1"/>
        <rFont val="Arial"/>
        <family val="2"/>
      </rPr>
      <t>CGNP02</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</si>
  <si>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</si>
  <si>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</si>
  <si>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</si>
  <si>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</si>
  <si>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</si>
  <si>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CRYSTAL G</t>
    </r>
  </si>
  <si>
    <r>
      <rPr>
        <sz val="9"/>
        <color theme="1"/>
        <rFont val="Arial"/>
        <family val="2"/>
      </rPr>
      <t>Undetermined</t>
    </r>
  </si>
  <si>
    <r>
      <rPr>
        <sz val="9"/>
        <color theme="1"/>
        <rFont val="Arial"/>
        <family val="2"/>
      </rPr>
      <t>SKANAKV</t>
    </r>
  </si>
  <si>
    <r>
      <rPr>
        <sz val="9"/>
        <color theme="1"/>
        <rFont val="Arial"/>
        <family val="2"/>
      </rPr>
      <t>CRYSTAL G</t>
    </r>
  </si>
  <si>
    <r>
      <rPr>
        <sz val="9"/>
        <color theme="1"/>
        <rFont val="Arial"/>
        <family val="2"/>
      </rPr>
      <t>CRYSTAL G</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</si>
  <si>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</si>
  <si>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</si>
  <si>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</si>
  <si>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</si>
  <si>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</si>
  <si>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CRYSTAL G</t>
    </r>
  </si>
  <si>
    <r>
      <rPr>
        <sz val="9"/>
        <color theme="1"/>
        <rFont val="Arial"/>
        <family val="2"/>
      </rPr>
      <t>Undetermined</t>
    </r>
  </si>
  <si>
    <r>
      <rPr>
        <sz val="9"/>
        <color theme="1"/>
        <rFont val="Arial"/>
        <family val="2"/>
      </rPr>
      <t>TORONTO</t>
    </r>
  </si>
  <si>
    <r>
      <rPr>
        <sz val="9"/>
        <color theme="1"/>
        <rFont val="Arial"/>
        <family val="2"/>
      </rPr>
      <t>CRYSTAL G</t>
    </r>
  </si>
  <si>
    <r>
      <rPr>
        <sz val="9"/>
        <color theme="1"/>
        <rFont val="Arial"/>
        <family val="2"/>
      </rPr>
      <t>DUKE PRIM</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</si>
  <si>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</si>
  <si>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</si>
  <si>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</si>
  <si>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</si>
  <si>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DUKE PRIM</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</si>
  <si>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</si>
  <si>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</si>
  <si>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</si>
  <si>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</si>
  <si>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</si>
  <si>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</si>
  <si>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DUKE PRIM</t>
    </r>
  </si>
  <si>
    <r>
      <rPr>
        <sz val="9"/>
        <color theme="1"/>
        <rFont val="Arial"/>
        <family val="2"/>
      </rPr>
      <t>BANGKOK</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</si>
  <si>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</si>
  <si>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</si>
  <si>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</si>
  <si>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</si>
  <si>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</si>
  <si>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</si>
  <si>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</si>
  <si>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DUKE PRIM</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</si>
  <si>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</si>
  <si>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</si>
  <si>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</si>
  <si>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</si>
  <si>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</si>
  <si>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</si>
  <si>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DUKE PRIM</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</si>
  <si>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</si>
  <si>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</si>
  <si>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</si>
  <si>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</si>
  <si>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</si>
  <si>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</si>
  <si>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DUKE PRIM</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</si>
  <si>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</si>
  <si>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</si>
  <si>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</si>
  <si>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</si>
  <si>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</si>
  <si>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</si>
  <si>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DUKE PRIM</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</si>
  <si>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</si>
  <si>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</si>
  <si>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</si>
  <si>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</si>
  <si>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</si>
  <si>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</si>
  <si>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</si>
  <si>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DUKE PRIM</t>
    </r>
  </si>
  <si>
    <r>
      <rPr>
        <sz val="9"/>
        <color theme="1"/>
        <rFont val="Arial"/>
        <family val="2"/>
      </rPr>
      <t>SKANAKV</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</si>
  <si>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</si>
  <si>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</si>
  <si>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</si>
  <si>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</si>
  <si>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</si>
  <si>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</si>
  <si>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</si>
  <si>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</si>
  <si>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DUKE PRIM</t>
    </r>
  </si>
  <si>
    <r>
      <rPr>
        <sz val="9"/>
        <color theme="1"/>
        <rFont val="Arial"/>
        <family val="2"/>
      </rPr>
      <t>01/Jun/2002 +/- 1 day</t>
    </r>
  </si>
  <si>
    <r>
      <rPr>
        <sz val="9"/>
        <color theme="1"/>
        <rFont val="Arial"/>
        <family val="2"/>
      </rPr>
      <t>USFWS</t>
    </r>
  </si>
  <si>
    <r>
      <rPr>
        <sz val="9"/>
        <color theme="1"/>
        <rFont val="Arial"/>
        <family val="2"/>
      </rPr>
      <t>LOSANGELE</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</si>
  <si>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</si>
  <si>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</si>
  <si>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</si>
  <si>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</si>
  <si>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</si>
  <si>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</si>
  <si>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</si>
  <si>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</si>
  <si>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DUKE PRIM</t>
    </r>
  </si>
  <si>
    <r>
      <rPr>
        <sz val="9"/>
        <color theme="1"/>
        <rFont val="Arial"/>
        <family val="2"/>
      </rPr>
      <t>01/Jan/2001 +/- 6 month</t>
    </r>
  </si>
  <si>
    <r>
      <rPr>
        <sz val="9"/>
        <color theme="1"/>
        <rFont val="Arial"/>
        <family val="2"/>
      </rPr>
      <t>PUBLIC</t>
    </r>
  </si>
  <si>
    <r>
      <rPr>
        <sz val="9"/>
        <color theme="1"/>
        <rFont val="Arial"/>
        <family val="2"/>
      </rPr>
      <t>MYAKKACLR</t>
    </r>
  </si>
  <si>
    <r>
      <rPr>
        <sz val="9"/>
        <color theme="1"/>
        <rFont val="Arial"/>
        <family val="2"/>
      </rPr>
      <t>AUDUBON</t>
    </r>
  </si>
  <si>
    <r>
      <rPr>
        <sz val="9"/>
        <color theme="1"/>
        <rFont val="Arial"/>
        <family val="2"/>
      </rPr>
      <t>DUKE PRIM</t>
    </r>
  </si>
  <si>
    <r>
      <rPr>
        <sz val="9"/>
        <color theme="1"/>
        <rFont val="Arial"/>
        <family val="2"/>
      </rPr>
      <t>FITCH H</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</si>
  <si>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</si>
  <si>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</si>
  <si>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</si>
  <si>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</si>
  <si>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</si>
  <si>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</si>
  <si>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FITCH H</t>
    </r>
  </si>
  <si>
    <r>
      <rPr>
        <sz val="9"/>
        <color theme="1"/>
        <rFont val="Arial"/>
        <family val="2"/>
      </rPr>
      <t>PUBLIC</t>
    </r>
  </si>
  <si>
    <r>
      <rPr>
        <sz val="9"/>
        <color theme="1"/>
        <rFont val="Arial"/>
        <family val="2"/>
      </rPr>
      <t>FITCH H</t>
    </r>
  </si>
  <si>
    <r>
      <rPr>
        <sz val="9"/>
        <color theme="1"/>
        <rFont val="Arial"/>
        <family val="2"/>
      </rPr>
      <t>FRANKFURT</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</si>
  <si>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</si>
  <si>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</si>
  <si>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</si>
  <si>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</si>
  <si>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</si>
  <si>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FRANKFURT</t>
    </r>
  </si>
  <si>
    <r>
      <rPr>
        <sz val="9"/>
        <color theme="1"/>
        <rFont val="Arial"/>
        <family val="2"/>
      </rPr>
      <t>Undetermined</t>
    </r>
  </si>
  <si>
    <r>
      <rPr>
        <sz val="9"/>
        <color theme="1"/>
        <rFont val="Arial"/>
        <family val="2"/>
      </rPr>
      <t>IRCHEL</t>
    </r>
  </si>
  <si>
    <r>
      <rPr>
        <sz val="9"/>
        <color theme="1"/>
        <rFont val="Arial"/>
        <family val="2"/>
      </rPr>
      <t>FRANKFURT</t>
    </r>
  </si>
  <si>
    <r>
      <rPr>
        <sz val="9"/>
        <color theme="1"/>
        <rFont val="Arial"/>
        <family val="2"/>
      </rPr>
      <t>FRANKFURT</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</si>
  <si>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</si>
  <si>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</si>
  <si>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</si>
  <si>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</si>
  <si>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FRANKFURT</t>
    </r>
  </si>
  <si>
    <r>
      <rPr>
        <sz val="9"/>
        <color theme="1"/>
        <rFont val="Arial"/>
        <family val="2"/>
      </rPr>
      <t>Undetermined</t>
    </r>
  </si>
  <si>
    <r>
      <rPr>
        <sz val="9"/>
        <color rgb="FF000000"/>
        <rFont val="Arial"/>
        <family val="2"/>
      </rPr>
      <t xml:space="preserve">SWITZRLND:
</t>
    </r>
    <r>
      <rPr>
        <sz val="9"/>
        <color rgb="FF000000"/>
        <rFont val="Arial"/>
        <family val="2"/>
      </rPr>
      <t>Invalid use of GeoRef</t>
    </r>
  </si>
  <si>
    <r>
      <rPr>
        <sz val="9"/>
        <color theme="1"/>
        <rFont val="Arial"/>
        <family val="2"/>
      </rPr>
      <t>FRANKFURT</t>
    </r>
  </si>
  <si>
    <r>
      <rPr>
        <sz val="9"/>
        <color theme="1"/>
        <rFont val="Arial"/>
        <family val="2"/>
      </rPr>
      <t>HONOLULU</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</si>
  <si>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</si>
  <si>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</si>
  <si>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</si>
  <si>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</si>
  <si>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</si>
  <si>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HONOLULU</t>
    </r>
  </si>
  <si>
    <r>
      <rPr>
        <sz val="9"/>
        <color theme="1"/>
        <rFont val="Arial"/>
        <family val="2"/>
      </rPr>
      <t>Undetermined</t>
    </r>
  </si>
  <si>
    <r>
      <rPr>
        <sz val="9"/>
        <color theme="1"/>
        <rFont val="Arial"/>
        <family val="2"/>
      </rPr>
      <t>USDI</t>
    </r>
  </si>
  <si>
    <r>
      <rPr>
        <sz val="9"/>
        <color theme="1"/>
        <rFont val="Arial"/>
        <family val="2"/>
      </rPr>
      <t>HONOLULU</t>
    </r>
  </si>
  <si>
    <r>
      <rPr>
        <sz val="9"/>
        <color theme="1"/>
        <rFont val="Arial"/>
        <family val="2"/>
      </rPr>
      <t>HONOLULU</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</si>
  <si>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</si>
  <si>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</si>
  <si>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</si>
  <si>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</si>
  <si>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</si>
  <si>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HONOLULU</t>
    </r>
  </si>
  <si>
    <r>
      <rPr>
        <sz val="9"/>
        <color theme="1"/>
        <rFont val="Arial"/>
        <family val="2"/>
      </rPr>
      <t>HONOLULU</t>
    </r>
  </si>
  <si>
    <r>
      <rPr>
        <sz val="9"/>
        <color theme="1"/>
        <rFont val="Arial"/>
        <family val="2"/>
      </rPr>
      <t>HOUSTON</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</si>
  <si>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</si>
  <si>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</si>
  <si>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</si>
  <si>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</si>
  <si>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</si>
  <si>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</si>
  <si>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</si>
  <si>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HOUSTON</t>
    </r>
  </si>
  <si>
    <r>
      <rPr>
        <sz val="9"/>
        <color theme="1"/>
        <rFont val="Arial"/>
        <family val="2"/>
      </rPr>
      <t>SAN FRAN</t>
    </r>
  </si>
  <si>
    <r>
      <rPr>
        <sz val="9"/>
        <color theme="1"/>
        <rFont val="Arial"/>
        <family val="2"/>
      </rPr>
      <t>HOUSTON</t>
    </r>
  </si>
  <si>
    <r>
      <rPr>
        <sz val="9"/>
        <color theme="1"/>
        <rFont val="Arial"/>
        <family val="2"/>
      </rPr>
      <t>HOUSTON</t>
    </r>
  </si>
  <si>
    <r>
      <rPr>
        <sz val="9"/>
        <color theme="1"/>
        <rFont val="Arial"/>
        <family val="2"/>
      </rPr>
      <t>Female</t>
    </r>
  </si>
  <si>
    <r>
      <rPr>
        <sz val="9"/>
        <color theme="1"/>
        <rFont val="Arial"/>
        <family val="2"/>
      </rPr>
      <t>WILD</t>
    </r>
  </si>
  <si>
    <r>
      <rPr>
        <sz val="9"/>
        <color theme="1"/>
        <rFont val="Arial"/>
        <family val="2"/>
      </rPr>
      <t>WILD</t>
    </r>
  </si>
  <si>
    <t>Thailand</t>
  </si>
  <si>
    <r>
      <rPr>
        <sz val="9"/>
        <color theme="1"/>
        <rFont val="Arial"/>
        <family val="2"/>
      </rPr>
      <t>Undetermined</t>
    </r>
  </si>
  <si>
    <r>
      <rPr>
        <sz val="9"/>
        <color theme="1"/>
        <rFont val="Arial"/>
        <family val="2"/>
      </rPr>
      <t>HOUSTON</t>
    </r>
  </si>
  <si>
    <r>
      <rPr>
        <sz val="9"/>
        <color theme="1"/>
        <rFont val="Arial"/>
        <family val="2"/>
      </rPr>
      <t>Undetermined</t>
    </r>
  </si>
  <si>
    <r>
      <rPr>
        <sz val="9"/>
        <color theme="1"/>
        <rFont val="Arial"/>
        <family val="2"/>
      </rPr>
      <t>CA FG SD</t>
    </r>
  </si>
  <si>
    <r>
      <rPr>
        <sz val="9"/>
        <color theme="1"/>
        <rFont val="Arial"/>
        <family val="2"/>
      </rPr>
      <t>SEATTLE</t>
    </r>
  </si>
  <si>
    <r>
      <rPr>
        <sz val="9"/>
        <color theme="1"/>
        <rFont val="Arial"/>
        <family val="2"/>
      </rPr>
      <t>DUKE PRIM</t>
    </r>
  </si>
  <si>
    <r>
      <rPr>
        <sz val="9"/>
        <color theme="1"/>
        <rFont val="Arial"/>
        <family val="2"/>
      </rPr>
      <t>HOUSTON</t>
    </r>
  </si>
  <si>
    <r>
      <rPr>
        <sz val="9"/>
        <color theme="1"/>
        <rFont val="Arial"/>
        <family val="2"/>
      </rPr>
      <t>KOLN</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</si>
  <si>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</si>
  <si>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</si>
  <si>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</si>
  <si>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</si>
  <si>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</si>
  <si>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KOLN</t>
    </r>
  </si>
  <si>
    <r>
      <rPr>
        <sz val="9"/>
        <color theme="1"/>
        <rFont val="Arial"/>
        <family val="2"/>
      </rPr>
      <t>Undetermined</t>
    </r>
  </si>
  <si>
    <r>
      <rPr>
        <sz val="9"/>
        <color theme="1"/>
        <rFont val="Arial"/>
        <family val="2"/>
      </rPr>
      <t>PUBLIC</t>
    </r>
  </si>
  <si>
    <r>
      <rPr>
        <sz val="9"/>
        <color theme="1"/>
        <rFont val="Arial"/>
        <family val="2"/>
      </rPr>
      <t>MOSCOW</t>
    </r>
  </si>
  <si>
    <r>
      <rPr>
        <sz val="9"/>
        <color theme="1"/>
        <rFont val="Arial"/>
        <family val="2"/>
      </rPr>
      <t>FRANKFURT</t>
    </r>
  </si>
  <si>
    <r>
      <rPr>
        <sz val="9"/>
        <color theme="1"/>
        <rFont val="Arial"/>
        <family val="2"/>
      </rPr>
      <t>KOLN</t>
    </r>
  </si>
  <si>
    <r>
      <rPr>
        <sz val="9"/>
        <color theme="1"/>
        <rFont val="Arial"/>
        <family val="2"/>
      </rPr>
      <t>LANGLEY</t>
    </r>
  </si>
  <si>
    <r>
      <rPr>
        <sz val="9"/>
        <color theme="1"/>
        <rFont val="Arial"/>
        <family val="2"/>
      </rPr>
      <t>L08008</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</si>
  <si>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</si>
  <si>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</si>
  <si>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</si>
  <si>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</si>
  <si>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</si>
  <si>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</si>
  <si>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</si>
  <si>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</si>
  <si>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Undetermined</t>
    </r>
  </si>
  <si>
    <r>
      <rPr>
        <sz val="9"/>
        <color theme="1"/>
        <rFont val="Arial"/>
        <family val="2"/>
      </rPr>
      <t>LANGLEY</t>
    </r>
  </si>
  <si>
    <r>
      <rPr>
        <sz val="9"/>
        <color theme="1"/>
        <rFont val="Arial"/>
        <family val="2"/>
      </rPr>
      <t>CALGARY</t>
    </r>
  </si>
  <si>
    <r>
      <rPr>
        <sz val="9"/>
        <color theme="1"/>
        <rFont val="Arial"/>
        <family val="2"/>
      </rPr>
      <t>QUEBEC</t>
    </r>
  </si>
  <si>
    <r>
      <rPr>
        <sz val="9"/>
        <color theme="1"/>
        <rFont val="Arial"/>
        <family val="2"/>
      </rPr>
      <t>LANGLEY</t>
    </r>
  </si>
  <si>
    <r>
      <rPr>
        <sz val="9"/>
        <color theme="1"/>
        <rFont val="Arial"/>
        <family val="2"/>
      </rPr>
      <t>LOSANGELE</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</si>
  <si>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</si>
  <si>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</si>
  <si>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</si>
  <si>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</si>
  <si>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</si>
  <si>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</si>
  <si>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</si>
  <si>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LOSANGELE</t>
    </r>
  </si>
  <si>
    <r>
      <rPr>
        <sz val="9"/>
        <color rgb="FF000000"/>
        <rFont val="Arial"/>
        <family val="2"/>
      </rPr>
      <t xml:space="preserve">01/Jun/2002 +/-
</t>
    </r>
    <r>
      <rPr>
        <sz val="9"/>
        <color rgb="FF000000"/>
        <rFont val="Arial"/>
        <family val="2"/>
      </rPr>
      <t>1 day</t>
    </r>
  </si>
  <si>
    <r>
      <rPr>
        <sz val="9"/>
        <color theme="1"/>
        <rFont val="Arial"/>
        <family val="2"/>
      </rPr>
      <t>USFWS</t>
    </r>
  </si>
  <si>
    <r>
      <rPr>
        <sz val="9"/>
        <color theme="1"/>
        <rFont val="Arial"/>
        <family val="2"/>
      </rPr>
      <t>LOSANGELE</t>
    </r>
  </si>
  <si>
    <r>
      <rPr>
        <sz val="9"/>
        <color theme="1"/>
        <rFont val="Arial"/>
        <family val="2"/>
      </rPr>
      <t>MINNESOTA</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</si>
  <si>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</si>
  <si>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</si>
  <si>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</si>
  <si>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</si>
  <si>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MINNESOTA</t>
    </r>
  </si>
  <si>
    <r>
      <rPr>
        <sz val="9"/>
        <color theme="1"/>
        <rFont val="Arial"/>
        <family val="2"/>
      </rPr>
      <t>SKANAKV</t>
    </r>
  </si>
  <si>
    <r>
      <rPr>
        <sz val="9"/>
        <color theme="1"/>
        <rFont val="Arial"/>
        <family val="2"/>
      </rPr>
      <t>DUKE PRIM</t>
    </r>
  </si>
  <si>
    <r>
      <rPr>
        <sz val="9"/>
        <color theme="1"/>
        <rFont val="Arial"/>
        <family val="2"/>
      </rPr>
      <t>MINNESOTA</t>
    </r>
  </si>
  <si>
    <r>
      <rPr>
        <sz val="9"/>
        <color theme="1"/>
        <rFont val="Arial"/>
        <family val="2"/>
      </rPr>
      <t>MINNESOTA</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</si>
  <si>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</si>
  <si>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</si>
  <si>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</si>
  <si>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</si>
  <si>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</si>
  <si>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MINNESOTA</t>
    </r>
  </si>
  <si>
    <r>
      <rPr>
        <sz val="9"/>
        <color theme="1"/>
        <rFont val="Arial"/>
        <family val="2"/>
      </rPr>
      <t>Undetermined</t>
    </r>
  </si>
  <si>
    <r>
      <rPr>
        <sz val="9"/>
        <color theme="1"/>
        <rFont val="Arial"/>
        <family val="2"/>
      </rPr>
      <t>USDI</t>
    </r>
  </si>
  <si>
    <r>
      <rPr>
        <sz val="9"/>
        <color theme="1"/>
        <rFont val="Arial"/>
        <family val="2"/>
      </rPr>
      <t>S BARBARA</t>
    </r>
  </si>
  <si>
    <r>
      <rPr>
        <sz val="9"/>
        <color theme="1"/>
        <rFont val="Arial"/>
        <family val="2"/>
      </rPr>
      <t>MINNESOTA</t>
    </r>
  </si>
  <si>
    <r>
      <rPr>
        <sz val="9"/>
        <color theme="1"/>
        <rFont val="Arial"/>
        <family val="2"/>
      </rPr>
      <t>NY BRONX</t>
    </r>
  </si>
  <si>
    <r>
      <rPr>
        <sz val="9"/>
        <color theme="1"/>
        <rFont val="Arial"/>
        <family val="2"/>
      </rPr>
      <t>M12221</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</si>
  <si>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</si>
  <si>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</si>
  <si>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</si>
  <si>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</si>
  <si>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</si>
  <si>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</si>
  <si>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</si>
  <si>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NY BRONX</t>
    </r>
  </si>
  <si>
    <r>
      <rPr>
        <sz val="9"/>
        <color theme="1"/>
        <rFont val="Arial"/>
        <family val="2"/>
      </rPr>
      <t>CALGARY</t>
    </r>
  </si>
  <si>
    <r>
      <rPr>
        <sz val="9"/>
        <color theme="1"/>
        <rFont val="Arial"/>
        <family val="2"/>
      </rPr>
      <t>CRYSTAL G</t>
    </r>
  </si>
  <si>
    <r>
      <rPr>
        <sz val="9"/>
        <color theme="1"/>
        <rFont val="Arial"/>
        <family val="2"/>
      </rPr>
      <t>IND RIV R</t>
    </r>
  </si>
  <si>
    <r>
      <rPr>
        <sz val="9"/>
        <color theme="1"/>
        <rFont val="Arial"/>
        <family val="2"/>
      </rPr>
      <t>GRANBY</t>
    </r>
  </si>
  <si>
    <r>
      <rPr>
        <sz val="9"/>
        <color theme="1"/>
        <rFont val="Arial"/>
        <family val="2"/>
      </rPr>
      <t>NY BRONX</t>
    </r>
  </si>
  <si>
    <r>
      <rPr>
        <sz val="9"/>
        <color theme="1"/>
        <rFont val="Arial"/>
        <family val="2"/>
      </rPr>
      <t>PHILADELP</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</si>
  <si>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</si>
  <si>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</si>
  <si>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</si>
  <si>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</si>
  <si>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</si>
  <si>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</si>
  <si>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</si>
  <si>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PHILADELP</t>
    </r>
  </si>
  <si>
    <t>Undetermined</t>
  </si>
  <si>
    <r>
      <rPr>
        <sz val="9"/>
        <color theme="1"/>
        <rFont val="Arial"/>
        <family val="2"/>
      </rPr>
      <t>WORLDWIDE</t>
    </r>
  </si>
  <si>
    <r>
      <rPr>
        <sz val="9"/>
        <color theme="1"/>
        <rFont val="Arial"/>
        <family val="2"/>
      </rPr>
      <t>CINCINNAT</t>
    </r>
  </si>
  <si>
    <r>
      <rPr>
        <sz val="9"/>
        <color theme="1"/>
        <rFont val="Arial"/>
        <family val="2"/>
      </rPr>
      <t>PHILADELP</t>
    </r>
  </si>
  <si>
    <r>
      <rPr>
        <sz val="9"/>
        <color theme="1"/>
        <rFont val="Arial"/>
        <family val="2"/>
      </rPr>
      <t>PUEBLO</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</si>
  <si>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</si>
  <si>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</si>
  <si>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</si>
  <si>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</si>
  <si>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</si>
  <si>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PUEBLO</t>
    </r>
  </si>
  <si>
    <r>
      <rPr>
        <sz val="9"/>
        <color theme="1"/>
        <rFont val="Arial"/>
        <family val="2"/>
      </rPr>
      <t>Undetermined</t>
    </r>
  </si>
  <si>
    <r>
      <rPr>
        <sz val="9"/>
        <color theme="1"/>
        <rFont val="Arial"/>
        <family val="2"/>
      </rPr>
      <t>USDI</t>
    </r>
  </si>
  <si>
    <r>
      <rPr>
        <sz val="9"/>
        <color theme="1"/>
        <rFont val="Arial"/>
        <family val="2"/>
      </rPr>
      <t>PUEBLO</t>
    </r>
  </si>
  <si>
    <r>
      <rPr>
        <sz val="9"/>
        <color theme="1"/>
        <rFont val="Arial"/>
        <family val="2"/>
      </rPr>
      <t>PUEBLO</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</si>
  <si>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</si>
  <si>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</si>
  <si>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</si>
  <si>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</si>
  <si>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</si>
  <si>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PUEBLO</t>
    </r>
  </si>
  <si>
    <r>
      <rPr>
        <sz val="9"/>
        <color theme="1"/>
        <rFont val="Arial"/>
        <family val="2"/>
      </rPr>
      <t>Undetermined</t>
    </r>
  </si>
  <si>
    <r>
      <rPr>
        <sz val="9"/>
        <color theme="1"/>
        <rFont val="Arial"/>
        <family val="2"/>
      </rPr>
      <t>USDI</t>
    </r>
  </si>
  <si>
    <r>
      <rPr>
        <sz val="9"/>
        <color theme="1"/>
        <rFont val="Arial"/>
        <family val="2"/>
      </rPr>
      <t>PUEBLO</t>
    </r>
  </si>
  <si>
    <r>
      <rPr>
        <sz val="9"/>
        <color theme="1"/>
        <rFont val="Arial"/>
        <family val="2"/>
      </rPr>
      <t>SANDIEGOZ</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</si>
  <si>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</si>
  <si>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</si>
  <si>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</si>
  <si>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</si>
  <si>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</si>
  <si>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</si>
  <si>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</si>
  <si>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SKANAKV</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</si>
  <si>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</si>
  <si>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</si>
  <si>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</si>
  <si>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</si>
  <si>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</si>
  <si>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</si>
  <si>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</si>
  <si>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</si>
  <si>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</si>
  <si>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SKANAKV</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</si>
  <si>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</si>
  <si>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</si>
  <si>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</si>
  <si>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</si>
  <si>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</si>
  <si>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</si>
  <si>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</si>
  <si>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</si>
  <si>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</si>
  <si>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SKANAKV</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</si>
  <si>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</si>
  <si>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</si>
  <si>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</si>
  <si>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</si>
  <si>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</si>
  <si>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</si>
  <si>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</si>
  <si>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</si>
  <si>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</si>
  <si>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</si>
  <si>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SKANAKV</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</si>
  <si>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</si>
  <si>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</si>
  <si>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</si>
  <si>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</si>
  <si>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</si>
  <si>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</si>
  <si>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</si>
  <si>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</si>
  <si>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</si>
  <si>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</si>
  <si>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SKANAKV</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</si>
  <si>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</si>
  <si>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</si>
  <si>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</si>
  <si>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</si>
  <si>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</si>
  <si>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</si>
  <si>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</si>
  <si>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</si>
  <si>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</si>
  <si>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</si>
  <si>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SKANAKV</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</si>
  <si>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</si>
  <si>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</si>
  <si>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</si>
  <si>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</si>
  <si>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</si>
  <si>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</si>
  <si>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</si>
  <si>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</si>
  <si>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Undetermined</t>
    </r>
  </si>
  <si>
    <r>
      <rPr>
        <sz val="9"/>
        <color theme="1"/>
        <rFont val="Arial"/>
        <family val="2"/>
      </rPr>
      <t>USDI</t>
    </r>
  </si>
  <si>
    <r>
      <rPr>
        <sz val="9"/>
        <color theme="1"/>
        <rFont val="Arial"/>
        <family val="2"/>
      </rPr>
      <t>LOSANGELE</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</si>
  <si>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</si>
  <si>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</si>
  <si>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</si>
  <si>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</si>
  <si>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</si>
  <si>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</si>
  <si>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</si>
  <si>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</si>
  <si>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</si>
  <si>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SANDIEGOZ</t>
    </r>
  </si>
  <si>
    <r>
      <rPr>
        <sz val="9"/>
        <color theme="1"/>
        <rFont val="Arial"/>
        <family val="2"/>
      </rPr>
      <t>Undetermined</t>
    </r>
  </si>
  <si>
    <r>
      <rPr>
        <sz val="9"/>
        <color theme="1"/>
        <rFont val="Arial"/>
        <family val="2"/>
      </rPr>
      <t>PUBLIC</t>
    </r>
  </si>
  <si>
    <r>
      <rPr>
        <sz val="9"/>
        <color theme="1"/>
        <rFont val="Arial"/>
        <family val="2"/>
      </rPr>
      <t>HOGLE</t>
    </r>
  </si>
  <si>
    <r>
      <rPr>
        <sz val="9"/>
        <color theme="1"/>
        <rFont val="Arial"/>
        <family val="2"/>
      </rPr>
      <t>SANDIEGOZ</t>
    </r>
  </si>
  <si>
    <r>
      <rPr>
        <sz val="9"/>
        <color theme="1"/>
        <rFont val="Arial"/>
        <family val="2"/>
      </rPr>
      <t>SEATTLE</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</si>
  <si>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</si>
  <si>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</si>
  <si>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</si>
  <si>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</si>
  <si>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SEATTLE</t>
    </r>
  </si>
  <si>
    <r>
      <rPr>
        <sz val="9"/>
        <color theme="1"/>
        <rFont val="Arial"/>
        <family val="2"/>
      </rPr>
      <t>SKANAKV</t>
    </r>
  </si>
  <si>
    <r>
      <rPr>
        <sz val="9"/>
        <color theme="1"/>
        <rFont val="Arial"/>
        <family val="2"/>
      </rPr>
      <t>CINCINNAT</t>
    </r>
  </si>
  <si>
    <r>
      <rPr>
        <sz val="9"/>
        <color theme="1"/>
        <rFont val="Arial"/>
        <family val="2"/>
      </rPr>
      <t>SEATTLE</t>
    </r>
  </si>
  <si>
    <r>
      <rPr>
        <sz val="9"/>
        <color theme="1"/>
        <rFont val="Arial"/>
        <family val="2"/>
      </rPr>
      <t>SEATTLE</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</si>
  <si>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</si>
  <si>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</si>
  <si>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</si>
  <si>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</si>
  <si>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</si>
  <si>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</si>
  <si>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</si>
  <si>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SEATTLE</t>
    </r>
  </si>
  <si>
    <r>
      <rPr>
        <sz val="9"/>
        <color theme="1"/>
        <rFont val="Arial"/>
        <family val="2"/>
      </rPr>
      <t>Undetermined</t>
    </r>
  </si>
  <si>
    <r>
      <rPr>
        <sz val="9"/>
        <color theme="1"/>
        <rFont val="Arial"/>
        <family val="2"/>
      </rPr>
      <t>CA FG SD</t>
    </r>
  </si>
  <si>
    <r>
      <rPr>
        <sz val="9"/>
        <color theme="1"/>
        <rFont val="Arial"/>
        <family val="2"/>
      </rPr>
      <t>SEATTLE</t>
    </r>
  </si>
  <si>
    <r>
      <rPr>
        <sz val="9"/>
        <color theme="1"/>
        <rFont val="Arial"/>
        <family val="2"/>
      </rPr>
      <t>SEATTLE</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</si>
  <si>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</si>
  <si>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</si>
  <si>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</si>
  <si>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</si>
  <si>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</si>
  <si>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SEATTLE</t>
    </r>
  </si>
  <si>
    <r>
      <rPr>
        <sz val="9"/>
        <color theme="1"/>
        <rFont val="Arial"/>
        <family val="2"/>
      </rPr>
      <t>Undetermined</t>
    </r>
  </si>
  <si>
    <r>
      <rPr>
        <sz val="9"/>
        <color theme="1"/>
        <rFont val="Arial"/>
        <family val="2"/>
      </rPr>
      <t>USDI</t>
    </r>
  </si>
  <si>
    <r>
      <rPr>
        <sz val="9"/>
        <color theme="1"/>
        <rFont val="Arial"/>
        <family val="2"/>
      </rPr>
      <t>S BARBARA</t>
    </r>
  </si>
  <si>
    <r>
      <rPr>
        <sz val="9"/>
        <color theme="1"/>
        <rFont val="Arial"/>
        <family val="2"/>
      </rPr>
      <t>SEATTLE</t>
    </r>
  </si>
  <si>
    <r>
      <rPr>
        <sz val="9"/>
        <color theme="1"/>
        <rFont val="Arial"/>
        <family val="2"/>
      </rPr>
      <t>SKANAKV</t>
    </r>
  </si>
  <si>
    <r>
      <rPr>
        <sz val="9"/>
        <color theme="1"/>
        <rFont val="Arial"/>
        <family val="2"/>
      </rPr>
      <t>S-A03</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</si>
  <si>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</si>
  <si>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</si>
  <si>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</si>
  <si>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</si>
  <si>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</si>
  <si>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</si>
  <si>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</si>
  <si>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</si>
  <si>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t>SKANAKV</t>
  </si>
  <si>
    <r>
      <rPr>
        <sz val="9"/>
        <color theme="1"/>
        <rFont val="Arial"/>
        <family val="2"/>
      </rPr>
      <t>SKANAKV</t>
    </r>
  </si>
  <si>
    <r>
      <rPr>
        <sz val="9"/>
        <color theme="1"/>
        <rFont val="Arial"/>
        <family val="2"/>
      </rPr>
      <t>SKANAKV</t>
    </r>
  </si>
  <si>
    <r>
      <rPr>
        <sz val="9"/>
        <color theme="1"/>
        <rFont val="Arial"/>
        <family val="2"/>
      </rPr>
      <t>S-A04</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</si>
  <si>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</si>
  <si>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</si>
  <si>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</si>
  <si>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</si>
  <si>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</si>
  <si>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</si>
  <si>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</si>
  <si>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</si>
  <si>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SKANAKV</t>
    </r>
  </si>
  <si>
    <r>
      <rPr>
        <sz val="9"/>
        <color theme="1"/>
        <rFont val="Arial"/>
        <family val="2"/>
      </rPr>
      <t>SKANAKV</t>
    </r>
  </si>
  <si>
    <r>
      <rPr>
        <sz val="9"/>
        <color theme="1"/>
        <rFont val="Arial"/>
        <family val="2"/>
      </rPr>
      <t>S-A02</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</si>
  <si>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</si>
  <si>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</si>
  <si>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</si>
  <si>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</si>
  <si>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</si>
  <si>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</si>
  <si>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</si>
  <si>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SKANAKV</t>
    </r>
  </si>
  <si>
    <r>
      <rPr>
        <sz val="9"/>
        <color theme="1"/>
        <rFont val="Arial"/>
        <family val="2"/>
      </rPr>
      <t>S-A01</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</si>
  <si>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</si>
  <si>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</si>
  <si>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</si>
  <si>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</si>
  <si>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</si>
  <si>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</si>
  <si>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</si>
  <si>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SKANAKV</t>
    </r>
  </si>
  <si>
    <r>
      <rPr>
        <sz val="9"/>
        <color theme="1"/>
        <rFont val="Arial"/>
        <family val="2"/>
      </rPr>
      <t>UNDETERMI</t>
    </r>
  </si>
  <si>
    <r>
      <rPr>
        <sz val="9"/>
        <color theme="1"/>
        <rFont val="Arial"/>
        <family val="2"/>
      </rPr>
      <t>Undetermined</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</si>
  <si>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</si>
  <si>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</si>
  <si>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</si>
  <si>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</si>
  <si>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</si>
  <si>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</si>
  <si>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t>
    </r>
  </si>
  <si>
    <r>
      <rPr>
        <sz val="9"/>
        <color theme="1"/>
        <rFont val="Arial"/>
        <family val="2"/>
      </rPr>
      <t>HONOLULU</t>
    </r>
  </si>
  <si>
    <r>
      <rPr>
        <sz val="9"/>
        <color theme="1"/>
        <rFont val="Arial"/>
        <family val="2"/>
      </rPr>
      <t>UNDETERMI</t>
    </r>
  </si>
  <si>
    <r>
      <rPr>
        <sz val="9"/>
        <color theme="1"/>
        <rFont val="Arial"/>
        <family val="2"/>
      </rPr>
      <t>NHN</t>
    </r>
  </si>
  <si>
    <r>
      <rPr>
        <sz val="9"/>
        <color theme="1"/>
        <rFont val="Arial"/>
        <family val="2"/>
      </rPr>
      <t>Female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</si>
  <si>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</si>
  <si>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</si>
  <si>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</si>
  <si>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Undetermined</t>
    </r>
  </si>
  <si>
    <r>
      <rPr>
        <sz val="9"/>
        <color theme="1"/>
        <rFont val="Arial"/>
        <family val="2"/>
      </rPr>
      <t>Undetermined</t>
    </r>
  </si>
  <si>
    <r>
      <rPr>
        <sz val="9"/>
        <color theme="1"/>
        <rFont val="Arial"/>
        <family val="2"/>
      </rPr>
      <t>UNDETERMI</t>
    </r>
  </si>
  <si>
    <r>
      <rPr>
        <sz val="9"/>
        <color theme="1"/>
        <rFont val="Arial"/>
        <family val="2"/>
      </rPr>
      <t>HONOLULU</t>
    </r>
  </si>
  <si>
    <r>
      <rPr>
        <sz val="9"/>
        <color theme="1"/>
        <rFont val="Arial"/>
        <family val="2"/>
      </rPr>
      <t>WARSAW</t>
    </r>
  </si>
  <si>
    <r>
      <rPr>
        <sz val="9"/>
        <color theme="1"/>
        <rFont val="Arial"/>
        <family val="2"/>
      </rPr>
      <t>Male</t>
    </r>
  </si>
  <si>
    <r>
      <rPr>
        <sz val="9"/>
        <color theme="1"/>
        <rFont val="Arial"/>
        <family val="2"/>
      </rPr>
      <t>WILD</t>
    </r>
  </si>
  <si>
    <r>
      <rPr>
        <sz val="9"/>
        <color theme="1"/>
        <rFont val="Arial"/>
        <family val="2"/>
      </rPr>
      <t>WILD</t>
    </r>
  </si>
  <si>
    <r>
      <rPr>
        <sz val="9"/>
        <color theme="1"/>
        <rFont val="Arial"/>
        <family val="2"/>
      </rPr>
      <t>Undetermined</t>
    </r>
  </si>
  <si>
    <r>
      <rPr>
        <sz val="9"/>
        <color theme="1"/>
        <rFont val="Arial"/>
        <family val="2"/>
      </rPr>
      <t>Asia</t>
    </r>
  </si>
  <si>
    <r>
      <rPr>
        <sz val="9"/>
        <color theme="1"/>
        <rFont val="Arial"/>
        <family val="2"/>
      </rPr>
      <t>Undetermined</t>
    </r>
  </si>
  <si>
    <r>
      <rPr>
        <sz val="9"/>
        <color theme="1"/>
        <rFont val="Arial"/>
        <family val="2"/>
      </rPr>
      <t>Asia</t>
    </r>
  </si>
  <si>
    <r>
      <rPr>
        <sz val="9"/>
        <color theme="1"/>
        <rFont val="Arial"/>
        <family val="2"/>
      </rPr>
      <t>WARSAW</t>
    </r>
  </si>
  <si>
    <r>
      <rPr>
        <sz val="9"/>
        <color theme="1"/>
        <rFont val="Arial"/>
        <family val="2"/>
      </rPr>
      <t>Undetermined</t>
    </r>
  </si>
  <si>
    <r>
      <rPr>
        <sz val="9"/>
        <color theme="1"/>
        <rFont val="Arial"/>
        <family val="2"/>
      </rPr>
      <t>HERSHEY</t>
    </r>
  </si>
  <si>
    <r>
      <rPr>
        <sz val="9"/>
        <color theme="1"/>
        <rFont val="Arial"/>
        <family val="2"/>
      </rPr>
      <t>MOSCOW</t>
    </r>
  </si>
  <si>
    <r>
      <rPr>
        <sz val="9"/>
        <color theme="1"/>
        <rFont val="Arial"/>
        <family val="2"/>
      </rPr>
      <t>WARSAW</t>
    </r>
  </si>
  <si>
    <t>Dam</t>
  </si>
  <si>
    <t>Stillbirth Count</t>
  </si>
  <si>
    <t>DUKE PRIM</t>
  </si>
  <si>
    <t>1097 Total</t>
  </si>
  <si>
    <t>1044 Total</t>
  </si>
  <si>
    <t>1008 Total</t>
  </si>
  <si>
    <t>DUKE PRIM Total</t>
  </si>
  <si>
    <t>2413 Total</t>
  </si>
  <si>
    <t>2403 Total</t>
  </si>
  <si>
    <t>2501 Total</t>
  </si>
  <si>
    <t>CLEVELAND Total</t>
  </si>
  <si>
    <t>SANDIEGOZ</t>
  </si>
  <si>
    <t>1146 Total</t>
  </si>
  <si>
    <t>2607 Total</t>
  </si>
  <si>
    <t>1135 Total</t>
  </si>
  <si>
    <t>1060 Total</t>
  </si>
  <si>
    <t>SANDIEGOZ Total</t>
  </si>
  <si>
    <t>PUEBLO</t>
  </si>
  <si>
    <t>1124 Total</t>
  </si>
  <si>
    <t>PUEBLO Total</t>
  </si>
  <si>
    <t>CHICAGOBR</t>
  </si>
  <si>
    <t>1054 Total</t>
  </si>
  <si>
    <t>2626 Total</t>
  </si>
  <si>
    <t>CHICAGOBR Total</t>
  </si>
  <si>
    <t>SEATTLE</t>
  </si>
  <si>
    <t>1043 Total</t>
  </si>
  <si>
    <t>1127 Total</t>
  </si>
  <si>
    <t>SEATTLE Total</t>
  </si>
  <si>
    <t>2436 Total</t>
  </si>
  <si>
    <t>PHILADELP Total</t>
  </si>
  <si>
    <t>2640 Total</t>
  </si>
  <si>
    <t>2423 Total</t>
  </si>
  <si>
    <t>NY BRONX Total</t>
  </si>
  <si>
    <t>MINNESOTA</t>
  </si>
  <si>
    <t>2418 Total</t>
  </si>
  <si>
    <t>MINNESOTA Total</t>
  </si>
  <si>
    <t>COLUMBUS</t>
  </si>
  <si>
    <t>2642 Total</t>
  </si>
  <si>
    <t>2659 Total</t>
  </si>
  <si>
    <t>COLUMBUS Total</t>
  </si>
  <si>
    <t>CALGARY</t>
  </si>
  <si>
    <t>2340 Total</t>
  </si>
  <si>
    <t>CALGARY Total</t>
  </si>
  <si>
    <t>2400 Total</t>
  </si>
  <si>
    <t>2608 Total</t>
  </si>
  <si>
    <t>AKRON Total</t>
  </si>
  <si>
    <t>OMAHA</t>
  </si>
  <si>
    <t>1143 Total</t>
  </si>
  <si>
    <t>1079 Total</t>
  </si>
  <si>
    <t>OMAHA Total</t>
  </si>
  <si>
    <t>MEMPHIS</t>
  </si>
  <si>
    <t>2416 Total</t>
  </si>
  <si>
    <t>MEMPHIS Total</t>
  </si>
  <si>
    <t>CHICAGOLP</t>
  </si>
  <si>
    <t>2411 Total</t>
  </si>
  <si>
    <t>CHICAGOLP Total</t>
  </si>
  <si>
    <t>MOODY</t>
  </si>
  <si>
    <t>1145 Total</t>
  </si>
  <si>
    <t>MOODY Total</t>
  </si>
  <si>
    <t>1036 Total</t>
  </si>
  <si>
    <t>CINCINNAT Total</t>
  </si>
  <si>
    <t>Grand Total</t>
  </si>
  <si>
    <t>1012 Total</t>
  </si>
  <si>
    <t>1032 Total</t>
  </si>
  <si>
    <t>1051 Total</t>
  </si>
  <si>
    <t>1056 Total</t>
  </si>
  <si>
    <t>1057 Total</t>
  </si>
  <si>
    <t>1064 Total</t>
  </si>
  <si>
    <t>1102 Total</t>
  </si>
  <si>
    <t>1103 Total</t>
  </si>
  <si>
    <t>1108 Total</t>
  </si>
  <si>
    <t>1121 Total</t>
  </si>
  <si>
    <t>1125 Total</t>
  </si>
  <si>
    <t>1130 Total</t>
  </si>
  <si>
    <t>1138 Total</t>
  </si>
  <si>
    <t>1142 Total</t>
  </si>
  <si>
    <t>2208 Total</t>
  </si>
  <si>
    <t>2338 Total</t>
  </si>
  <si>
    <t>2402 Total</t>
  </si>
  <si>
    <t>2408 Total</t>
  </si>
  <si>
    <t>2409 Total</t>
  </si>
  <si>
    <t>2415 Total</t>
  </si>
  <si>
    <t>2417 Total</t>
  </si>
  <si>
    <t>2496 Total</t>
  </si>
  <si>
    <t>2623 Total</t>
  </si>
  <si>
    <t>2631 Total</t>
  </si>
  <si>
    <t>2639 Total</t>
  </si>
  <si>
    <t>2653 Total</t>
  </si>
  <si>
    <t>2667 Total</t>
  </si>
  <si>
    <t>COUNTUNIQUE of Studbook ID</t>
  </si>
  <si>
    <t>1089 Total</t>
  </si>
  <si>
    <t>1058 Total</t>
  </si>
  <si>
    <t>1019 Total</t>
  </si>
  <si>
    <t>1021 Total</t>
  </si>
  <si>
    <t>1020 Total</t>
  </si>
  <si>
    <t>1061 Total</t>
  </si>
  <si>
    <t>1010 Total</t>
  </si>
  <si>
    <t>2502 Total</t>
  </si>
  <si>
    <t>2424 Total</t>
  </si>
  <si>
    <t>1120 Total</t>
  </si>
  <si>
    <t>1024 Total</t>
  </si>
  <si>
    <t>1040 Total</t>
  </si>
  <si>
    <t>1088 Total</t>
  </si>
  <si>
    <t>1126 Total</t>
  </si>
  <si>
    <t>2638 Total</t>
  </si>
  <si>
    <t>2630 Total</t>
  </si>
  <si>
    <t>ABQBIOPK</t>
  </si>
  <si>
    <t>UND</t>
  </si>
  <si>
    <t>2414 Total</t>
  </si>
  <si>
    <t>ABQBIOPK Total</t>
  </si>
  <si>
    <t>CRYSTAL G</t>
  </si>
  <si>
    <t>1014 Total</t>
  </si>
  <si>
    <t>CRYSTAL G Total</t>
  </si>
  <si>
    <t>2506 Total</t>
  </si>
  <si>
    <t>HOUSTON</t>
  </si>
  <si>
    <t>1067 Total</t>
  </si>
  <si>
    <t>1046 Total</t>
  </si>
  <si>
    <t>HOUSTON Total</t>
  </si>
  <si>
    <t>2637 Total</t>
  </si>
  <si>
    <t>1001 Total</t>
  </si>
  <si>
    <t>1000 Total</t>
  </si>
  <si>
    <t>SKANAKV Total</t>
  </si>
  <si>
    <t>EL PASO</t>
  </si>
  <si>
    <t>2632 Total</t>
  </si>
  <si>
    <t>EL PASO Total</t>
  </si>
  <si>
    <t>PUBLIC</t>
  </si>
  <si>
    <t>WILD</t>
  </si>
  <si>
    <t>2422 Total</t>
  </si>
  <si>
    <t>PUBLIC Total</t>
  </si>
  <si>
    <t>POZNAN</t>
  </si>
  <si>
    <t>1035 Total</t>
  </si>
  <si>
    <t>1034 Total</t>
  </si>
  <si>
    <t>POZNAN Total</t>
  </si>
  <si>
    <t>1115 Total</t>
  </si>
  <si>
    <t>GARDENCTY</t>
  </si>
  <si>
    <t>2451 Total</t>
  </si>
  <si>
    <t>GARDENCTY Total</t>
  </si>
  <si>
    <t>FRANKFURT</t>
  </si>
  <si>
    <t>2129 Total</t>
  </si>
  <si>
    <t>FRANKFURT Total</t>
  </si>
  <si>
    <t>QUEBEC</t>
  </si>
  <si>
    <t>2341 Total</t>
  </si>
  <si>
    <t>QUEBEC Total</t>
  </si>
  <si>
    <t>IRCHEL</t>
  </si>
  <si>
    <t>2097 Total</t>
  </si>
  <si>
    <t>IRCHEL Total</t>
  </si>
  <si>
    <t>EVANSVLLE</t>
  </si>
  <si>
    <t>EVANSVLLE Total</t>
  </si>
  <si>
    <t>Birth Count</t>
  </si>
  <si>
    <t>Institution Name</t>
  </si>
  <si>
    <t>Mnemonic</t>
  </si>
  <si>
    <t>Country</t>
  </si>
  <si>
    <t>M</t>
  </si>
  <si>
    <t>F</t>
  </si>
  <si>
    <t>U</t>
  </si>
  <si>
    <t>Historic N</t>
  </si>
  <si>
    <t>Historic Males</t>
  </si>
  <si>
    <t>Historic Females</t>
  </si>
  <si>
    <t>Historic Unknowns</t>
  </si>
  <si>
    <t>Current</t>
  </si>
  <si>
    <t>WAZA</t>
  </si>
  <si>
    <t>AZA</t>
  </si>
  <si>
    <t>EAZA</t>
  </si>
  <si>
    <t>ZAAUS</t>
  </si>
  <si>
    <t>AMMPA</t>
  </si>
  <si>
    <t>C2S2</t>
  </si>
  <si>
    <t>FAZA</t>
  </si>
  <si>
    <t>CAZA</t>
  </si>
  <si>
    <t>TAZASSOC</t>
  </si>
  <si>
    <t>SEAZA</t>
  </si>
  <si>
    <t>ZPO</t>
  </si>
  <si>
    <t>VDZ</t>
  </si>
  <si>
    <t>WPC</t>
  </si>
  <si>
    <t>AAZK</t>
  </si>
  <si>
    <t>RUZA</t>
  </si>
  <si>
    <t>EARAZA</t>
  </si>
  <si>
    <t>BIAZA</t>
  </si>
  <si>
    <t>PDZA</t>
  </si>
  <si>
    <t>SAZA</t>
  </si>
  <si>
    <r>
      <rPr>
        <sz val="10"/>
        <color theme="1"/>
        <rFont val="Arial"/>
        <family val="2"/>
      </rPr>
      <t>Albuquerque Biological Park</t>
    </r>
  </si>
  <si>
    <r>
      <rPr>
        <sz val="10"/>
        <color theme="1"/>
        <rFont val="Arial"/>
        <family val="2"/>
      </rPr>
      <t>ABQBIOPK</t>
    </r>
  </si>
  <si>
    <r>
      <rPr>
        <sz val="10"/>
        <color theme="1"/>
        <rFont val="Arial"/>
        <family val="2"/>
      </rPr>
      <t>United States</t>
    </r>
  </si>
  <si>
    <r>
      <rPr>
        <sz val="10"/>
        <color theme="1"/>
        <rFont val="Arial"/>
        <family val="2"/>
      </rPr>
      <t>Akron Zoological Park</t>
    </r>
  </si>
  <si>
    <r>
      <rPr>
        <sz val="10"/>
        <color theme="1"/>
        <rFont val="Arial"/>
        <family val="2"/>
      </rPr>
      <t>AKRON</t>
    </r>
  </si>
  <si>
    <r>
      <rPr>
        <sz val="10"/>
        <color theme="1"/>
        <rFont val="Arial"/>
        <family val="2"/>
      </rPr>
      <t>United States</t>
    </r>
  </si>
  <si>
    <r>
      <rPr>
        <sz val="10"/>
        <color theme="1"/>
        <rFont val="Arial"/>
        <family val="2"/>
      </rPr>
      <t>Capron Park Zoo</t>
    </r>
  </si>
  <si>
    <r>
      <rPr>
        <sz val="10"/>
        <color theme="1"/>
        <rFont val="Arial"/>
        <family val="2"/>
      </rPr>
      <t>ATTLEBORO</t>
    </r>
  </si>
  <si>
    <r>
      <rPr>
        <sz val="10"/>
        <color theme="1"/>
        <rFont val="Arial"/>
        <family val="2"/>
      </rPr>
      <t>United States</t>
    </r>
  </si>
  <si>
    <r>
      <rPr>
        <sz val="10"/>
        <color theme="1"/>
        <rFont val="Arial"/>
        <family val="2"/>
      </rPr>
      <t>Audubon Zoo</t>
    </r>
  </si>
  <si>
    <r>
      <rPr>
        <sz val="10"/>
        <color theme="1"/>
        <rFont val="Arial"/>
        <family val="2"/>
      </rPr>
      <t>AUDUBON</t>
    </r>
  </si>
  <si>
    <r>
      <rPr>
        <sz val="10"/>
        <color theme="1"/>
        <rFont val="Arial"/>
        <family val="2"/>
      </rPr>
      <t>United States</t>
    </r>
  </si>
  <si>
    <r>
      <rPr>
        <sz val="10"/>
        <color theme="1"/>
        <rFont val="Arial"/>
        <family val="2"/>
      </rPr>
      <t>Dusit (Bangkok) Zoological Park</t>
    </r>
  </si>
  <si>
    <r>
      <rPr>
        <sz val="10"/>
        <color theme="1"/>
        <rFont val="Arial"/>
        <family val="2"/>
      </rPr>
      <t>BANGKOK</t>
    </r>
  </si>
  <si>
    <r>
      <rPr>
        <sz val="10"/>
        <color theme="1"/>
        <rFont val="Arial"/>
        <family val="2"/>
      </rPr>
      <t>Thailand</t>
    </r>
  </si>
  <si>
    <t>Miller Park Zoo</t>
  </si>
  <si>
    <t>BLOOMINGT</t>
  </si>
  <si>
    <r>
      <rPr>
        <sz val="10"/>
        <color theme="1"/>
        <rFont val="Arial"/>
        <family val="2"/>
      </rPr>
      <t>United States</t>
    </r>
  </si>
  <si>
    <r>
      <rPr>
        <sz val="10"/>
        <color theme="1"/>
        <rFont val="Arial"/>
        <family val="2"/>
      </rPr>
      <t>Bowmanville Zoological Park</t>
    </r>
  </si>
  <si>
    <r>
      <rPr>
        <sz val="10"/>
        <color theme="1"/>
        <rFont val="Arial"/>
        <family val="2"/>
      </rPr>
      <t>BOWMANVIL</t>
    </r>
  </si>
  <si>
    <r>
      <rPr>
        <sz val="10"/>
        <color theme="1"/>
        <rFont val="Arial"/>
        <family val="2"/>
      </rPr>
      <t>Canada</t>
    </r>
  </si>
  <si>
    <r>
      <rPr>
        <sz val="10"/>
        <color theme="1"/>
        <rFont val="Arial"/>
        <family val="2"/>
      </rPr>
      <t>Busch Gardens Tampa Bay</t>
    </r>
  </si>
  <si>
    <r>
      <rPr>
        <sz val="10"/>
        <color theme="1"/>
        <rFont val="Arial"/>
        <family val="2"/>
      </rPr>
      <t>BUSCH TAM</t>
    </r>
  </si>
  <si>
    <r>
      <rPr>
        <sz val="10"/>
        <color theme="1"/>
        <rFont val="Arial"/>
        <family val="2"/>
      </rPr>
      <t>United States</t>
    </r>
  </si>
  <si>
    <r>
      <rPr>
        <sz val="10"/>
        <color theme="1"/>
        <rFont val="Arial"/>
        <family val="2"/>
      </rPr>
      <t>Calif. Fish &amp; Game (San Diego)</t>
    </r>
  </si>
  <si>
    <t>CA FG SD</t>
  </si>
  <si>
    <r>
      <rPr>
        <sz val="10"/>
        <color theme="1"/>
        <rFont val="Arial"/>
        <family val="2"/>
      </rPr>
      <t>United States</t>
    </r>
  </si>
  <si>
    <r>
      <rPr>
        <sz val="10"/>
        <color theme="1"/>
        <rFont val="Arial"/>
        <family val="2"/>
      </rPr>
      <t>Calgary Zoo, Garden &amp; Prehistoric Park</t>
    </r>
  </si>
  <si>
    <r>
      <rPr>
        <sz val="10"/>
        <color theme="1"/>
        <rFont val="Arial"/>
        <family val="2"/>
      </rPr>
      <t>CALGARY</t>
    </r>
  </si>
  <si>
    <r>
      <rPr>
        <sz val="10"/>
        <color theme="1"/>
        <rFont val="Arial"/>
        <family val="2"/>
      </rPr>
      <t>Canada</t>
    </r>
  </si>
  <si>
    <r>
      <rPr>
        <sz val="10"/>
        <color theme="1"/>
        <rFont val="Arial"/>
        <family val="2"/>
      </rPr>
      <t>Chicago Zoological Park / Brookfield Zoo</t>
    </r>
  </si>
  <si>
    <r>
      <rPr>
        <sz val="10"/>
        <color theme="1"/>
        <rFont val="Arial"/>
        <family val="2"/>
      </rPr>
      <t>CHICAGOBR</t>
    </r>
  </si>
  <si>
    <r>
      <rPr>
        <sz val="10"/>
        <color theme="1"/>
        <rFont val="Arial"/>
        <family val="2"/>
      </rPr>
      <t>United States</t>
    </r>
  </si>
  <si>
    <t>Lincoln Park Zoological Gardens</t>
  </si>
  <si>
    <r>
      <rPr>
        <sz val="10"/>
        <color theme="1"/>
        <rFont val="Arial"/>
        <family val="2"/>
      </rPr>
      <t>CHICAGOLP</t>
    </r>
  </si>
  <si>
    <t>United States</t>
  </si>
  <si>
    <r>
      <rPr>
        <sz val="10"/>
        <color theme="1"/>
        <rFont val="Arial"/>
        <family val="2"/>
      </rPr>
      <t>Cincinnati Zoo &amp; Botanical Garden</t>
    </r>
  </si>
  <si>
    <r>
      <rPr>
        <sz val="10"/>
        <color theme="1"/>
        <rFont val="Arial"/>
        <family val="2"/>
      </rPr>
      <t>CINCINNAT</t>
    </r>
  </si>
  <si>
    <r>
      <rPr>
        <sz val="10"/>
        <color theme="1"/>
        <rFont val="Arial"/>
        <family val="2"/>
      </rPr>
      <t>United States</t>
    </r>
  </si>
  <si>
    <t>Cleveland Metroparks Zoo</t>
  </si>
  <si>
    <r>
      <rPr>
        <sz val="10"/>
        <color theme="1"/>
        <rFont val="Arial"/>
        <family val="2"/>
      </rPr>
      <t>CLEVELAND</t>
    </r>
  </si>
  <si>
    <r>
      <rPr>
        <sz val="10"/>
        <color theme="1"/>
        <rFont val="Arial"/>
        <family val="2"/>
      </rPr>
      <t>United States</t>
    </r>
  </si>
  <si>
    <r>
      <rPr>
        <sz val="10"/>
        <color theme="1"/>
        <rFont val="Arial"/>
        <family val="2"/>
      </rPr>
      <t>Columbus Zoo and Aquarium</t>
    </r>
  </si>
  <si>
    <r>
      <rPr>
        <sz val="10"/>
        <color theme="1"/>
        <rFont val="Arial"/>
        <family val="2"/>
      </rPr>
      <t>COLUMBUS</t>
    </r>
  </si>
  <si>
    <r>
      <rPr>
        <sz val="10"/>
        <color theme="1"/>
        <rFont val="Arial"/>
        <family val="2"/>
      </rPr>
      <t>United States</t>
    </r>
  </si>
  <si>
    <r>
      <rPr>
        <sz val="10"/>
        <color theme="1"/>
        <rFont val="Arial"/>
        <family val="2"/>
      </rPr>
      <t>Crystal Garden Conservation Center (extinct 2004)</t>
    </r>
  </si>
  <si>
    <r>
      <rPr>
        <sz val="10"/>
        <color theme="1"/>
        <rFont val="Arial"/>
        <family val="2"/>
      </rPr>
      <t>CRYSTAL G</t>
    </r>
  </si>
  <si>
    <r>
      <rPr>
        <sz val="10"/>
        <color theme="1"/>
        <rFont val="Arial"/>
        <family val="2"/>
      </rPr>
      <t>Canada</t>
    </r>
  </si>
  <si>
    <r>
      <rPr>
        <sz val="10"/>
        <color theme="1"/>
        <rFont val="Arial"/>
        <family val="2"/>
      </rPr>
      <t>Duke Lemur Center</t>
    </r>
  </si>
  <si>
    <r>
      <rPr>
        <sz val="10"/>
        <color theme="1"/>
        <rFont val="Arial"/>
        <family val="2"/>
      </rPr>
      <t>DUKE PRIM</t>
    </r>
  </si>
  <si>
    <r>
      <rPr>
        <sz val="10"/>
        <color theme="1"/>
        <rFont val="Arial"/>
        <family val="2"/>
      </rPr>
      <t>United States</t>
    </r>
  </si>
  <si>
    <r>
      <rPr>
        <sz val="10"/>
        <color theme="1"/>
        <rFont val="Arial"/>
        <family val="2"/>
      </rPr>
      <t>Lake Superior Zoological Gardens</t>
    </r>
  </si>
  <si>
    <r>
      <rPr>
        <sz val="10"/>
        <color theme="1"/>
        <rFont val="Arial"/>
        <family val="2"/>
      </rPr>
      <t>DULUTH</t>
    </r>
  </si>
  <si>
    <r>
      <rPr>
        <sz val="10"/>
        <color theme="1"/>
        <rFont val="Arial"/>
        <family val="2"/>
      </rPr>
      <t>United States</t>
    </r>
  </si>
  <si>
    <r>
      <rPr>
        <sz val="10"/>
        <color theme="1"/>
        <rFont val="Arial"/>
        <family val="2"/>
      </rPr>
      <t>El Paso Zoo</t>
    </r>
  </si>
  <si>
    <r>
      <rPr>
        <sz val="10"/>
        <color theme="1"/>
        <rFont val="Arial"/>
        <family val="2"/>
      </rPr>
      <t>EL PASO</t>
    </r>
  </si>
  <si>
    <r>
      <rPr>
        <sz val="10"/>
        <color theme="1"/>
        <rFont val="Arial"/>
        <family val="2"/>
      </rPr>
      <t>United States</t>
    </r>
  </si>
  <si>
    <r>
      <rPr>
        <sz val="10"/>
        <color theme="1"/>
        <rFont val="Arial"/>
        <family val="2"/>
      </rPr>
      <t>Mesker Park Zoo</t>
    </r>
  </si>
  <si>
    <r>
      <rPr>
        <sz val="10"/>
        <color theme="1"/>
        <rFont val="Arial"/>
        <family val="2"/>
      </rPr>
      <t>EVANSVLLE</t>
    </r>
  </si>
  <si>
    <r>
      <rPr>
        <sz val="10"/>
        <color theme="1"/>
        <rFont val="Arial"/>
        <family val="2"/>
      </rPr>
      <t>United States</t>
    </r>
  </si>
  <si>
    <r>
      <rPr>
        <sz val="10"/>
        <color theme="1"/>
        <rFont val="Arial"/>
        <family val="2"/>
      </rPr>
      <t>International Animal Exchange, Inc.</t>
    </r>
  </si>
  <si>
    <r>
      <rPr>
        <sz val="10"/>
        <color theme="1"/>
        <rFont val="Arial"/>
        <family val="2"/>
      </rPr>
      <t>FERNDALE</t>
    </r>
  </si>
  <si>
    <r>
      <rPr>
        <sz val="10"/>
        <color theme="1"/>
        <rFont val="Arial"/>
        <family val="2"/>
      </rPr>
      <t>United States</t>
    </r>
  </si>
  <si>
    <r>
      <rPr>
        <sz val="10"/>
        <color theme="1"/>
        <rFont val="Arial"/>
        <family val="2"/>
      </rPr>
      <t>Helena Fitch-Snyder (extinct)</t>
    </r>
  </si>
  <si>
    <r>
      <rPr>
        <sz val="10"/>
        <color theme="1"/>
        <rFont val="Arial"/>
        <family val="2"/>
      </rPr>
      <t>FITCH H</t>
    </r>
  </si>
  <si>
    <r>
      <rPr>
        <sz val="10"/>
        <color theme="1"/>
        <rFont val="Arial"/>
        <family val="2"/>
      </rPr>
      <t>United States</t>
    </r>
  </si>
  <si>
    <t>Zoo-Forss (Ingvar Forss) (extinct 1985)</t>
  </si>
  <si>
    <r>
      <rPr>
        <sz val="10"/>
        <color theme="1"/>
        <rFont val="Arial"/>
        <family val="2"/>
      </rPr>
      <t>FORSS</t>
    </r>
  </si>
  <si>
    <t>Denmark</t>
  </si>
  <si>
    <r>
      <rPr>
        <sz val="10"/>
        <color theme="1"/>
        <rFont val="Arial"/>
        <family val="2"/>
      </rPr>
      <t>Zoologischer Garten Frankfurt</t>
    </r>
  </si>
  <si>
    <r>
      <rPr>
        <sz val="10"/>
        <color theme="1"/>
        <rFont val="Arial"/>
        <family val="2"/>
      </rPr>
      <t>FRANKFURT</t>
    </r>
  </si>
  <si>
    <t>Germany</t>
  </si>
  <si>
    <r>
      <rPr>
        <sz val="10"/>
        <color theme="1"/>
        <rFont val="Arial"/>
        <family val="2"/>
      </rPr>
      <t>Lee Richardson Zoo</t>
    </r>
  </si>
  <si>
    <r>
      <rPr>
        <sz val="10"/>
        <color theme="1"/>
        <rFont val="Arial"/>
        <family val="2"/>
      </rPr>
      <t>United States</t>
    </r>
  </si>
  <si>
    <r>
      <rPr>
        <sz val="10"/>
        <color theme="1"/>
        <rFont val="Arial"/>
        <family val="2"/>
      </rPr>
      <t>Zoo de Granby</t>
    </r>
  </si>
  <si>
    <r>
      <rPr>
        <sz val="10"/>
        <color theme="1"/>
        <rFont val="Arial"/>
        <family val="2"/>
      </rPr>
      <t>GRANBY</t>
    </r>
  </si>
  <si>
    <r>
      <rPr>
        <sz val="10"/>
        <color theme="1"/>
        <rFont val="Arial"/>
        <family val="2"/>
      </rPr>
      <t>Canada</t>
    </r>
  </si>
  <si>
    <t>ZooAmerica (No. American Wildlife Pk.)</t>
  </si>
  <si>
    <r>
      <rPr>
        <sz val="10"/>
        <color theme="1"/>
        <rFont val="Arial"/>
        <family val="2"/>
      </rPr>
      <t>HERSHEY</t>
    </r>
  </si>
  <si>
    <r>
      <rPr>
        <sz val="10"/>
        <color theme="1"/>
        <rFont val="Arial"/>
        <family val="2"/>
      </rPr>
      <t>United States</t>
    </r>
  </si>
  <si>
    <r>
      <rPr>
        <sz val="10"/>
        <color theme="1"/>
        <rFont val="Arial"/>
        <family val="2"/>
      </rPr>
      <t>Utah's Hogle Zoo</t>
    </r>
  </si>
  <si>
    <r>
      <rPr>
        <sz val="10"/>
        <color theme="1"/>
        <rFont val="Arial"/>
        <family val="2"/>
      </rPr>
      <t>HOGLE</t>
    </r>
  </si>
  <si>
    <r>
      <rPr>
        <sz val="10"/>
        <color theme="1"/>
        <rFont val="Arial"/>
        <family val="2"/>
      </rPr>
      <t>United States</t>
    </r>
  </si>
  <si>
    <r>
      <rPr>
        <sz val="10"/>
        <color theme="1"/>
        <rFont val="Arial"/>
        <family val="2"/>
      </rPr>
      <t>Honolulu Zoo</t>
    </r>
  </si>
  <si>
    <r>
      <rPr>
        <sz val="10"/>
        <color theme="1"/>
        <rFont val="Arial"/>
        <family val="2"/>
      </rPr>
      <t>HONOLULU</t>
    </r>
  </si>
  <si>
    <r>
      <rPr>
        <sz val="10"/>
        <color theme="1"/>
        <rFont val="Arial"/>
        <family val="2"/>
      </rPr>
      <t>United States</t>
    </r>
  </si>
  <si>
    <r>
      <rPr>
        <sz val="10"/>
        <color theme="1"/>
        <rFont val="Arial"/>
        <family val="2"/>
      </rPr>
      <t>Houston Zoo, Inc.</t>
    </r>
  </si>
  <si>
    <r>
      <rPr>
        <sz val="10"/>
        <color theme="1"/>
        <rFont val="Arial"/>
        <family val="2"/>
      </rPr>
      <t>HOUSTON</t>
    </r>
  </si>
  <si>
    <r>
      <rPr>
        <sz val="10"/>
        <color theme="1"/>
        <rFont val="Arial"/>
        <family val="2"/>
      </rPr>
      <t>United States</t>
    </r>
  </si>
  <si>
    <r>
      <rPr>
        <sz val="10"/>
        <color theme="1"/>
        <rFont val="Arial"/>
        <family val="2"/>
      </rPr>
      <t>Indian River Reptile Zoo</t>
    </r>
  </si>
  <si>
    <r>
      <rPr>
        <sz val="10"/>
        <color theme="1"/>
        <rFont val="Arial"/>
        <family val="2"/>
      </rPr>
      <t>IND RIV R</t>
    </r>
  </si>
  <si>
    <r>
      <rPr>
        <sz val="10"/>
        <color theme="1"/>
        <rFont val="Arial"/>
        <family val="2"/>
      </rPr>
      <t>Canada</t>
    </r>
  </si>
  <si>
    <t>Universität Zürich-Irchel Anthropologisches Institut und Museum</t>
  </si>
  <si>
    <t>Switzerland</t>
  </si>
  <si>
    <r>
      <rPr>
        <sz val="10"/>
        <color theme="1"/>
        <rFont val="Arial"/>
        <family val="2"/>
      </rPr>
      <t>Cologne Zoo</t>
    </r>
  </si>
  <si>
    <r>
      <rPr>
        <sz val="10"/>
        <color theme="1"/>
        <rFont val="Arial"/>
        <family val="2"/>
      </rPr>
      <t>KOLN</t>
    </r>
  </si>
  <si>
    <r>
      <rPr>
        <sz val="10"/>
        <color theme="1"/>
        <rFont val="Arial"/>
        <family val="2"/>
      </rPr>
      <t>Mountain View Conservation &amp; Breeding</t>
    </r>
  </si>
  <si>
    <r>
      <rPr>
        <sz val="10"/>
        <color theme="1"/>
        <rFont val="Arial"/>
        <family val="2"/>
      </rPr>
      <t>LANGLEY</t>
    </r>
  </si>
  <si>
    <r>
      <rPr>
        <sz val="10"/>
        <color theme="1"/>
        <rFont val="Arial"/>
        <family val="2"/>
      </rPr>
      <t>Canada</t>
    </r>
  </si>
  <si>
    <t>Little Rock Zoological Gardens</t>
  </si>
  <si>
    <r>
      <rPr>
        <sz val="10"/>
        <color theme="1"/>
        <rFont val="Arial"/>
        <family val="2"/>
      </rPr>
      <t>LITTLEROC</t>
    </r>
  </si>
  <si>
    <r>
      <rPr>
        <sz val="10"/>
        <color theme="1"/>
        <rFont val="Arial"/>
        <family val="2"/>
      </rPr>
      <t>United States</t>
    </r>
  </si>
  <si>
    <r>
      <rPr>
        <sz val="10"/>
        <color theme="1"/>
        <rFont val="Arial"/>
        <family val="2"/>
      </rPr>
      <t>Los Angeles Zoo &amp; Botanical Gardens</t>
    </r>
  </si>
  <si>
    <r>
      <rPr>
        <sz val="10"/>
        <color theme="1"/>
        <rFont val="Arial"/>
        <family val="2"/>
      </rPr>
      <t>LOSANGELE</t>
    </r>
  </si>
  <si>
    <r>
      <rPr>
        <sz val="10"/>
        <color theme="1"/>
        <rFont val="Arial"/>
        <family val="2"/>
      </rPr>
      <t>United States</t>
    </r>
  </si>
  <si>
    <r>
      <rPr>
        <sz val="10"/>
        <color theme="1"/>
        <rFont val="Arial"/>
        <family val="2"/>
      </rPr>
      <t>Memphis Zoological Garden &amp; Aquarium</t>
    </r>
  </si>
  <si>
    <r>
      <rPr>
        <sz val="10"/>
        <color theme="1"/>
        <rFont val="Arial"/>
        <family val="2"/>
      </rPr>
      <t>MEMPHIS</t>
    </r>
  </si>
  <si>
    <r>
      <rPr>
        <sz val="10"/>
        <color theme="1"/>
        <rFont val="Arial"/>
        <family val="2"/>
      </rPr>
      <t>United States</t>
    </r>
  </si>
  <si>
    <r>
      <rPr>
        <sz val="10"/>
        <color theme="1"/>
        <rFont val="Arial"/>
        <family val="2"/>
      </rPr>
      <t>Minnesota Zoological Garden</t>
    </r>
  </si>
  <si>
    <r>
      <rPr>
        <sz val="10"/>
        <color theme="1"/>
        <rFont val="Arial"/>
        <family val="2"/>
      </rPr>
      <t>MINNESOTA</t>
    </r>
  </si>
  <si>
    <r>
      <rPr>
        <sz val="10"/>
        <color theme="1"/>
        <rFont val="Arial"/>
        <family val="2"/>
      </rPr>
      <t>United States</t>
    </r>
  </si>
  <si>
    <t>Aquarium &amp; Rainforest at Moody Gardens</t>
  </si>
  <si>
    <r>
      <rPr>
        <sz val="10"/>
        <color theme="1"/>
        <rFont val="Arial"/>
        <family val="2"/>
      </rPr>
      <t>MOODY</t>
    </r>
  </si>
  <si>
    <r>
      <rPr>
        <sz val="10"/>
        <color theme="1"/>
        <rFont val="Arial"/>
        <family val="2"/>
      </rPr>
      <t>United States</t>
    </r>
  </si>
  <si>
    <r>
      <rPr>
        <sz val="10"/>
        <color theme="1"/>
        <rFont val="Arial"/>
        <family val="2"/>
      </rPr>
      <t>Moscow Zoological Park</t>
    </r>
  </si>
  <si>
    <r>
      <rPr>
        <sz val="10"/>
        <color theme="1"/>
        <rFont val="Arial"/>
        <family val="2"/>
      </rPr>
      <t>MOSCOW</t>
    </r>
  </si>
  <si>
    <t>Russian Federation</t>
  </si>
  <si>
    <r>
      <rPr>
        <sz val="10"/>
        <color theme="1"/>
        <rFont val="Arial"/>
        <family val="2"/>
      </rPr>
      <t>Lemur Conservation Foundation</t>
    </r>
  </si>
  <si>
    <r>
      <rPr>
        <sz val="10"/>
        <color theme="1"/>
        <rFont val="Arial"/>
        <family val="2"/>
      </rPr>
      <t>MYAKKACLR</t>
    </r>
  </si>
  <si>
    <r>
      <rPr>
        <sz val="10"/>
        <color theme="1"/>
        <rFont val="Arial"/>
        <family val="2"/>
      </rPr>
      <t>United States</t>
    </r>
  </si>
  <si>
    <r>
      <rPr>
        <sz val="10"/>
        <color theme="1"/>
        <rFont val="Arial"/>
        <family val="2"/>
      </rPr>
      <t>Bronx Zoo/Wildlife Conservation Society</t>
    </r>
  </si>
  <si>
    <r>
      <rPr>
        <sz val="10"/>
        <color theme="1"/>
        <rFont val="Arial"/>
        <family val="2"/>
      </rPr>
      <t>NY BRONX</t>
    </r>
  </si>
  <si>
    <r>
      <rPr>
        <sz val="10"/>
        <color theme="1"/>
        <rFont val="Arial"/>
        <family val="2"/>
      </rPr>
      <t>United States</t>
    </r>
  </si>
  <si>
    <r>
      <rPr>
        <sz val="10"/>
        <color theme="1"/>
        <rFont val="Arial"/>
        <family val="2"/>
      </rPr>
      <t>OASES (John Creviston)</t>
    </r>
  </si>
  <si>
    <r>
      <rPr>
        <sz val="10"/>
        <color theme="1"/>
        <rFont val="Arial"/>
        <family val="2"/>
      </rPr>
      <t>OASES</t>
    </r>
  </si>
  <si>
    <r>
      <rPr>
        <sz val="10"/>
        <color theme="1"/>
        <rFont val="Arial"/>
        <family val="2"/>
      </rPr>
      <t>Canada</t>
    </r>
  </si>
  <si>
    <t>Omaha's Henry Doorly Zoo</t>
  </si>
  <si>
    <r>
      <rPr>
        <sz val="10"/>
        <color theme="1"/>
        <rFont val="Arial"/>
        <family val="2"/>
      </rPr>
      <t>OMAHA</t>
    </r>
  </si>
  <si>
    <r>
      <rPr>
        <sz val="10"/>
        <color theme="1"/>
        <rFont val="Arial"/>
        <family val="2"/>
      </rPr>
      <t>United States</t>
    </r>
  </si>
  <si>
    <r>
      <rPr>
        <sz val="10"/>
        <color theme="1"/>
        <rFont val="Arial"/>
        <family val="2"/>
      </rPr>
      <t>Paignton Zoo Environmental Park</t>
    </r>
  </si>
  <si>
    <r>
      <rPr>
        <sz val="10"/>
        <color theme="1"/>
        <rFont val="Arial"/>
        <family val="2"/>
      </rPr>
      <t>PAIGNTON</t>
    </r>
  </si>
  <si>
    <t>United Kingdom</t>
  </si>
  <si>
    <r>
      <rPr>
        <sz val="10"/>
        <color theme="1"/>
        <rFont val="Arial"/>
        <family val="2"/>
      </rPr>
      <t>Philadelphia Zoo</t>
    </r>
  </si>
  <si>
    <r>
      <rPr>
        <sz val="10"/>
        <color theme="1"/>
        <rFont val="Arial"/>
        <family val="2"/>
      </rPr>
      <t>PHILADELP</t>
    </r>
  </si>
  <si>
    <r>
      <rPr>
        <sz val="10"/>
        <color theme="1"/>
        <rFont val="Arial"/>
        <family val="2"/>
      </rPr>
      <t>United States</t>
    </r>
  </si>
  <si>
    <r>
      <rPr>
        <sz val="10"/>
        <color theme="1"/>
        <rFont val="Arial"/>
        <family val="2"/>
      </rPr>
      <t>Ogrod Zoologiczny w Poznaniu</t>
    </r>
  </si>
  <si>
    <r>
      <rPr>
        <sz val="10"/>
        <color theme="1"/>
        <rFont val="Arial"/>
        <family val="2"/>
      </rPr>
      <t>POZNAN</t>
    </r>
  </si>
  <si>
    <r>
      <rPr>
        <sz val="10"/>
        <color theme="1"/>
        <rFont val="Arial"/>
        <family val="2"/>
      </rPr>
      <t>Poland</t>
    </r>
  </si>
  <si>
    <r>
      <rPr>
        <sz val="10"/>
        <color theme="1"/>
        <rFont val="Arial"/>
        <family val="2"/>
      </rPr>
      <t>Prospect Park Zoo</t>
    </r>
  </si>
  <si>
    <r>
      <rPr>
        <sz val="10"/>
        <color theme="1"/>
        <rFont val="Arial"/>
        <family val="2"/>
      </rPr>
      <t>United States</t>
    </r>
  </si>
  <si>
    <r>
      <rPr>
        <sz val="10"/>
        <color theme="1"/>
        <rFont val="Arial"/>
        <family val="2"/>
      </rPr>
      <t>General Public</t>
    </r>
  </si>
  <si>
    <r>
      <rPr>
        <sz val="10"/>
        <color theme="1"/>
        <rFont val="Arial"/>
        <family val="2"/>
      </rPr>
      <t>PUBLIC</t>
    </r>
  </si>
  <si>
    <r>
      <rPr>
        <sz val="10"/>
        <color theme="1"/>
        <rFont val="Arial"/>
        <family val="2"/>
      </rPr>
      <t>Pueblo Zoo</t>
    </r>
  </si>
  <si>
    <r>
      <rPr>
        <sz val="10"/>
        <color theme="1"/>
        <rFont val="Arial"/>
        <family val="2"/>
      </rPr>
      <t>PUEBLO</t>
    </r>
  </si>
  <si>
    <r>
      <rPr>
        <sz val="10"/>
        <color theme="1"/>
        <rFont val="Arial"/>
        <family val="2"/>
      </rPr>
      <t>United States</t>
    </r>
  </si>
  <si>
    <r>
      <rPr>
        <sz val="10"/>
        <color theme="1"/>
        <rFont val="Arial"/>
        <family val="2"/>
      </rPr>
      <t>Jardin Zoologique du Quebec (extinct)</t>
    </r>
  </si>
  <si>
    <r>
      <rPr>
        <sz val="10"/>
        <color theme="1"/>
        <rFont val="Arial"/>
        <family val="2"/>
      </rPr>
      <t>QUEBEC</t>
    </r>
  </si>
  <si>
    <r>
      <rPr>
        <sz val="10"/>
        <color theme="1"/>
        <rFont val="Arial"/>
        <family val="2"/>
      </rPr>
      <t>Canada</t>
    </r>
  </si>
  <si>
    <r>
      <rPr>
        <sz val="10"/>
        <color theme="1"/>
        <rFont val="Arial"/>
        <family val="2"/>
      </rPr>
      <t>Santa Barbara Zoological Gardens</t>
    </r>
  </si>
  <si>
    <r>
      <rPr>
        <sz val="10"/>
        <color theme="1"/>
        <rFont val="Arial"/>
        <family val="2"/>
      </rPr>
      <t>S BARBARA</t>
    </r>
  </si>
  <si>
    <r>
      <rPr>
        <sz val="10"/>
        <color theme="1"/>
        <rFont val="Arial"/>
        <family val="2"/>
      </rPr>
      <t>United States</t>
    </r>
  </si>
  <si>
    <r>
      <rPr>
        <sz val="10"/>
        <color theme="1"/>
        <rFont val="Arial"/>
        <family val="2"/>
      </rPr>
      <t>San Francisco Zoological Gardens</t>
    </r>
  </si>
  <si>
    <r>
      <rPr>
        <sz val="10"/>
        <color theme="1"/>
        <rFont val="Arial"/>
        <family val="2"/>
      </rPr>
      <t>SAN FRAN</t>
    </r>
  </si>
  <si>
    <r>
      <rPr>
        <sz val="10"/>
        <color theme="1"/>
        <rFont val="Arial"/>
        <family val="2"/>
      </rPr>
      <t>United States</t>
    </r>
  </si>
  <si>
    <r>
      <rPr>
        <sz val="10"/>
        <color theme="1"/>
        <rFont val="Arial"/>
        <family val="2"/>
      </rPr>
      <t>San Diego Zoo</t>
    </r>
  </si>
  <si>
    <r>
      <rPr>
        <sz val="10"/>
        <color theme="1"/>
        <rFont val="Arial"/>
        <family val="2"/>
      </rPr>
      <t>SANDIEGOZ</t>
    </r>
  </si>
  <si>
    <r>
      <rPr>
        <sz val="10"/>
        <color theme="1"/>
        <rFont val="Arial"/>
        <family val="2"/>
      </rPr>
      <t>United States</t>
    </r>
  </si>
  <si>
    <r>
      <rPr>
        <sz val="10"/>
        <color theme="1"/>
        <rFont val="Arial"/>
        <family val="2"/>
      </rPr>
      <t>San Diego Zoo Safari Park</t>
    </r>
  </si>
  <si>
    <r>
      <rPr>
        <sz val="10"/>
        <color theme="1"/>
        <rFont val="Arial"/>
        <family val="2"/>
      </rPr>
      <t>SD-WAP</t>
    </r>
  </si>
  <si>
    <r>
      <rPr>
        <sz val="10"/>
        <color theme="1"/>
        <rFont val="Arial"/>
        <family val="2"/>
      </rPr>
      <t>United States</t>
    </r>
  </si>
  <si>
    <r>
      <rPr>
        <sz val="10"/>
        <color theme="1"/>
        <rFont val="Arial"/>
        <family val="2"/>
      </rPr>
      <t>Woodland Park Zoo</t>
    </r>
  </si>
  <si>
    <r>
      <rPr>
        <sz val="10"/>
        <color theme="1"/>
        <rFont val="Arial"/>
        <family val="2"/>
      </rPr>
      <t>SEATTLE</t>
    </r>
  </si>
  <si>
    <r>
      <rPr>
        <sz val="10"/>
        <color theme="1"/>
        <rFont val="Arial"/>
        <family val="2"/>
      </rPr>
      <t>United States</t>
    </r>
  </si>
  <si>
    <r>
      <rPr>
        <sz val="10"/>
        <color theme="1"/>
        <rFont val="Arial"/>
        <family val="2"/>
      </rPr>
      <t>Shaldon Wildlife Trust</t>
    </r>
  </si>
  <si>
    <r>
      <rPr>
        <sz val="10"/>
        <color theme="1"/>
        <rFont val="Arial"/>
        <family val="2"/>
      </rPr>
      <t>SHALDON</t>
    </r>
  </si>
  <si>
    <r>
      <rPr>
        <sz val="10"/>
        <color theme="1"/>
        <rFont val="Arial"/>
        <family val="2"/>
      </rPr>
      <t>Skansen Akvariet</t>
    </r>
  </si>
  <si>
    <r>
      <rPr>
        <sz val="10"/>
        <color theme="1"/>
        <rFont val="Arial"/>
        <family val="2"/>
      </rPr>
      <t>SKANAKV</t>
    </r>
  </si>
  <si>
    <r>
      <rPr>
        <sz val="10"/>
        <color theme="1"/>
        <rFont val="Arial"/>
        <family val="2"/>
      </rPr>
      <t>Sweden</t>
    </r>
  </si>
  <si>
    <r>
      <rPr>
        <sz val="10"/>
        <color theme="1"/>
        <rFont val="Arial"/>
        <family val="2"/>
      </rPr>
      <t>Saint Louis Zoological Park</t>
    </r>
  </si>
  <si>
    <r>
      <rPr>
        <sz val="10"/>
        <color theme="1"/>
        <rFont val="Arial"/>
        <family val="2"/>
      </rPr>
      <t>ST LOUIS</t>
    </r>
  </si>
  <si>
    <r>
      <rPr>
        <sz val="10"/>
        <color theme="1"/>
        <rFont val="Arial"/>
        <family val="2"/>
      </rPr>
      <t>United States</t>
    </r>
  </si>
  <si>
    <r>
      <rPr>
        <sz val="10"/>
        <color theme="1"/>
        <rFont val="Arial"/>
        <family val="2"/>
      </rPr>
      <t>Taipei Zoo</t>
    </r>
  </si>
  <si>
    <r>
      <rPr>
        <sz val="10"/>
        <color theme="1"/>
        <rFont val="Arial"/>
        <family val="2"/>
      </rPr>
      <t>TAIPEI</t>
    </r>
  </si>
  <si>
    <r>
      <rPr>
        <sz val="10"/>
        <color theme="1"/>
        <rFont val="Arial"/>
        <family val="2"/>
      </rPr>
      <t>Taiwan</t>
    </r>
  </si>
  <si>
    <r>
      <rPr>
        <sz val="10"/>
        <color theme="1"/>
        <rFont val="Arial"/>
        <family val="2"/>
      </rPr>
      <t>Toronto Zoo</t>
    </r>
  </si>
  <si>
    <r>
      <rPr>
        <sz val="10"/>
        <color theme="1"/>
        <rFont val="Arial"/>
        <family val="2"/>
      </rPr>
      <t>TORONTO</t>
    </r>
  </si>
  <si>
    <r>
      <rPr>
        <sz val="10"/>
        <color theme="1"/>
        <rFont val="Arial"/>
        <family val="2"/>
      </rPr>
      <t>Canada</t>
    </r>
  </si>
  <si>
    <r>
      <rPr>
        <sz val="10"/>
        <color theme="1"/>
        <rFont val="Arial"/>
        <family val="2"/>
      </rPr>
      <t>Undetermined Location</t>
    </r>
  </si>
  <si>
    <r>
      <rPr>
        <sz val="10"/>
        <color theme="1"/>
        <rFont val="Arial"/>
        <family val="2"/>
      </rPr>
      <t>UNDETERMI</t>
    </r>
  </si>
  <si>
    <r>
      <rPr>
        <sz val="10"/>
        <color theme="1"/>
        <rFont val="Arial"/>
        <family val="2"/>
      </rPr>
      <t>US Dept of the Interior (USDI)</t>
    </r>
  </si>
  <si>
    <r>
      <rPr>
        <sz val="10"/>
        <color theme="1"/>
        <rFont val="Arial"/>
        <family val="2"/>
      </rPr>
      <t>USDI</t>
    </r>
  </si>
  <si>
    <r>
      <rPr>
        <sz val="10"/>
        <color theme="1"/>
        <rFont val="Arial"/>
        <family val="2"/>
      </rPr>
      <t>United States</t>
    </r>
  </si>
  <si>
    <r>
      <rPr>
        <sz val="10"/>
        <color theme="1"/>
        <rFont val="Arial"/>
        <family val="2"/>
      </rPr>
      <t>US Fish and Wildlife Service [General]</t>
    </r>
  </si>
  <si>
    <r>
      <rPr>
        <sz val="10"/>
        <color theme="1"/>
        <rFont val="Arial"/>
        <family val="2"/>
      </rPr>
      <t>USFWS</t>
    </r>
  </si>
  <si>
    <r>
      <rPr>
        <sz val="10"/>
        <color theme="1"/>
        <rFont val="Arial"/>
        <family val="2"/>
      </rPr>
      <t>United States</t>
    </r>
  </si>
  <si>
    <r>
      <rPr>
        <sz val="10"/>
        <color theme="1"/>
        <rFont val="Arial"/>
        <family val="2"/>
      </rPr>
      <t>Miejski Ogrod Zoologiczny Warsaw</t>
    </r>
  </si>
  <si>
    <r>
      <rPr>
        <sz val="10"/>
        <color theme="1"/>
        <rFont val="Arial"/>
        <family val="2"/>
      </rPr>
      <t>WARSAW</t>
    </r>
  </si>
  <si>
    <r>
      <rPr>
        <sz val="10"/>
        <color theme="1"/>
        <rFont val="Arial"/>
        <family val="2"/>
      </rPr>
      <t>Poland</t>
    </r>
  </si>
  <si>
    <r>
      <rPr>
        <sz val="10"/>
        <color theme="1"/>
        <rFont val="Arial"/>
        <family val="2"/>
      </rPr>
      <t>Oglebay's Good Children's Zoo</t>
    </r>
  </si>
  <si>
    <r>
      <rPr>
        <sz val="10"/>
        <color theme="1"/>
        <rFont val="Arial"/>
        <family val="2"/>
      </rPr>
      <t>WHEELING</t>
    </r>
  </si>
  <si>
    <r>
      <rPr>
        <sz val="10"/>
        <color theme="1"/>
        <rFont val="Arial"/>
        <family val="2"/>
      </rPr>
      <t>United States</t>
    </r>
  </si>
  <si>
    <r>
      <rPr>
        <sz val="10"/>
        <color theme="1"/>
        <rFont val="Arial"/>
        <family val="2"/>
      </rPr>
      <t>Wildlife World Zoo</t>
    </r>
  </si>
  <si>
    <r>
      <rPr>
        <sz val="10"/>
        <color theme="1"/>
        <rFont val="Arial"/>
        <family val="2"/>
      </rPr>
      <t>WILD WRLD</t>
    </r>
  </si>
  <si>
    <r>
      <rPr>
        <sz val="10"/>
        <color theme="1"/>
        <rFont val="Arial"/>
        <family val="2"/>
      </rPr>
      <t>United States</t>
    </r>
  </si>
  <si>
    <t>Worldwide Primates (Matt Block)</t>
  </si>
  <si>
    <t>WORLDWIDE</t>
  </si>
  <si>
    <r>
      <rPr>
        <sz val="10"/>
        <color theme="1"/>
        <rFont val="Arial"/>
        <family val="2"/>
      </rPr>
      <t>United States</t>
    </r>
  </si>
  <si>
    <r>
      <rPr>
        <sz val="10"/>
        <color theme="1"/>
        <rFont val="Arial"/>
        <family val="2"/>
      </rPr>
      <t>SWITZRLND: Invalid use of GeoRef</t>
    </r>
  </si>
  <si>
    <r>
      <rPr>
        <b/>
        <sz val="12"/>
        <color rgb="FF000000"/>
        <rFont val="Arial"/>
        <family val="2"/>
      </rPr>
      <t xml:space="preserve">Living Population
</t>
    </r>
    <r>
      <rPr>
        <sz val="12"/>
        <color rgb="FF000000"/>
        <rFont val="Arial"/>
        <family val="2"/>
      </rPr>
      <t>21.21.1 (43) At 19 Institutions</t>
    </r>
  </si>
  <si>
    <r>
      <rPr>
        <b/>
        <sz val="9"/>
        <color theme="1"/>
        <rFont val="Arial"/>
        <family val="2"/>
      </rPr>
      <t>Studbook ID</t>
    </r>
  </si>
  <si>
    <r>
      <rPr>
        <b/>
        <sz val="9"/>
        <color theme="1"/>
        <rFont val="Arial"/>
        <family val="2"/>
      </rPr>
      <t>Current Location</t>
    </r>
  </si>
  <si>
    <r>
      <rPr>
        <b/>
        <sz val="9"/>
        <color rgb="FF000000"/>
        <rFont val="Arial"/>
        <family val="2"/>
      </rPr>
      <t xml:space="preserve">Current Local
</t>
    </r>
    <r>
      <rPr>
        <b/>
        <sz val="9"/>
        <color rgb="FF000000"/>
        <rFont val="Arial"/>
        <family val="2"/>
      </rPr>
      <t>ID</t>
    </r>
  </si>
  <si>
    <r>
      <rPr>
        <b/>
        <sz val="9"/>
        <color theme="1"/>
        <rFont val="Arial"/>
        <family val="2"/>
      </rPr>
      <t>Sex Type</t>
    </r>
  </si>
  <si>
    <r>
      <rPr>
        <b/>
        <sz val="9"/>
        <color theme="1"/>
        <rFont val="Arial"/>
        <family val="2"/>
      </rPr>
      <t>Birth Date</t>
    </r>
  </si>
  <si>
    <r>
      <rPr>
        <b/>
        <sz val="9"/>
        <color theme="1"/>
        <rFont val="Arial"/>
        <family val="2"/>
      </rPr>
      <t>Current Status</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</si>
  <si>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</si>
  <si>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</si>
  <si>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</si>
  <si>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</si>
  <si>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</si>
  <si>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</si>
  <si>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t>Living</t>
  </si>
  <si>
    <r>
      <rPr>
        <sz val="9"/>
        <color theme="1"/>
        <rFont val="Arial"/>
        <family val="2"/>
      </rPr>
      <t>AKRON</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</si>
  <si>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</si>
  <si>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</si>
  <si>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</si>
  <si>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</si>
  <si>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</si>
  <si>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</si>
  <si>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PROSPECTP</t>
    </r>
  </si>
  <si>
    <r>
      <rPr>
        <sz val="9"/>
        <color theme="1"/>
        <rFont val="Arial"/>
        <family val="2"/>
      </rPr>
      <t>Transfer</t>
    </r>
  </si>
  <si>
    <r>
      <rPr>
        <sz val="9"/>
        <color theme="1"/>
        <rFont val="Arial"/>
        <family val="2"/>
      </rPr>
      <t>AKRON</t>
    </r>
  </si>
  <si>
    <r>
      <rPr>
        <sz val="9"/>
        <color theme="1"/>
        <rFont val="Arial"/>
        <family val="2"/>
      </rPr>
      <t>AKRON</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</si>
  <si>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</si>
  <si>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</si>
  <si>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</si>
  <si>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</si>
  <si>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</si>
  <si>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</si>
  <si>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AKRON</t>
    </r>
  </si>
  <si>
    <r>
      <rPr>
        <sz val="9"/>
        <color theme="1"/>
        <rFont val="Arial"/>
        <family val="2"/>
      </rPr>
      <t>BLOOMINGT</t>
    </r>
  </si>
  <si>
    <r>
      <rPr>
        <sz val="9"/>
        <color theme="1"/>
        <rFont val="Arial"/>
        <family val="2"/>
      </rPr>
      <t>M19007</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</si>
  <si>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</si>
  <si>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</si>
  <si>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</si>
  <si>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</si>
  <si>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LITTLEROC</t>
    </r>
  </si>
  <si>
    <r>
      <rPr>
        <sz val="9"/>
        <color theme="1"/>
        <rFont val="Arial"/>
        <family val="2"/>
      </rPr>
      <t>Transfer</t>
    </r>
  </si>
  <si>
    <r>
      <rPr>
        <sz val="9"/>
        <color theme="1"/>
        <rFont val="Arial"/>
        <family val="2"/>
      </rPr>
      <t>BLOOMINGT</t>
    </r>
  </si>
  <si>
    <r>
      <rPr>
        <sz val="9"/>
        <color theme="1"/>
        <rFont val="Arial"/>
        <family val="2"/>
      </rPr>
      <t>BLOOMINGT</t>
    </r>
  </si>
  <si>
    <r>
      <rPr>
        <sz val="9"/>
        <color theme="1"/>
        <rFont val="Arial"/>
        <family val="2"/>
      </rPr>
      <t>M17002</t>
    </r>
  </si>
  <si>
    <r>
      <rPr>
        <sz val="9"/>
        <color theme="1"/>
        <rFont val="Arial"/>
        <family val="2"/>
      </rPr>
      <t>Female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</si>
  <si>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</si>
  <si>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</si>
  <si>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</si>
  <si>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</si>
  <si>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</si>
  <si>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BUSCH TAM</t>
    </r>
  </si>
  <si>
    <r>
      <rPr>
        <sz val="9"/>
        <color theme="1"/>
        <rFont val="Arial"/>
        <family val="2"/>
      </rPr>
      <t>Transfer</t>
    </r>
  </si>
  <si>
    <r>
      <rPr>
        <sz val="9"/>
        <color theme="1"/>
        <rFont val="Arial"/>
        <family val="2"/>
      </rPr>
      <t>BLOOMINGT</t>
    </r>
  </si>
  <si>
    <r>
      <rPr>
        <sz val="9"/>
        <color theme="1"/>
        <rFont val="Arial"/>
        <family val="2"/>
      </rPr>
      <t>CHICAGOBR</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</si>
  <si>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</si>
  <si>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</si>
  <si>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</si>
  <si>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</si>
  <si>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</si>
  <si>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CHICAGOBR</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</si>
  <si>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</si>
  <si>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</si>
  <si>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</si>
  <si>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</si>
  <si>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</si>
  <si>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</si>
  <si>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CHICAGOBR</t>
    </r>
  </si>
  <si>
    <r>
      <rPr>
        <sz val="9"/>
        <color theme="1"/>
        <rFont val="Arial"/>
        <family val="2"/>
      </rPr>
      <t>CHICAGOBR</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</si>
  <si>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</si>
  <si>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</si>
  <si>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</si>
  <si>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</si>
  <si>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</si>
  <si>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CHICAGOBR</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</si>
  <si>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</si>
  <si>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</si>
  <si>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</si>
  <si>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</si>
  <si>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GARDENCTY</t>
    </r>
  </si>
  <si>
    <r>
      <rPr>
        <sz val="9"/>
        <color theme="1"/>
        <rFont val="Arial"/>
        <family val="2"/>
      </rPr>
      <t>Transfer</t>
    </r>
  </si>
  <si>
    <r>
      <rPr>
        <sz val="9"/>
        <color theme="1"/>
        <rFont val="Arial"/>
        <family val="2"/>
      </rPr>
      <t>CHICAGOBR</t>
    </r>
  </si>
  <si>
    <r>
      <rPr>
        <sz val="9"/>
        <color theme="1"/>
        <rFont val="Arial"/>
        <family val="2"/>
      </rPr>
      <t>CHICAGOLP</t>
    </r>
  </si>
  <si>
    <r>
      <rPr>
        <sz val="9"/>
        <color theme="1"/>
        <rFont val="Arial"/>
        <family val="2"/>
      </rPr>
      <t>Female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</si>
  <si>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</si>
  <si>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</si>
  <si>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</si>
  <si>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</si>
  <si>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</si>
  <si>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CHICAGOBR</t>
    </r>
  </si>
  <si>
    <r>
      <rPr>
        <sz val="9"/>
        <color theme="1"/>
        <rFont val="Arial"/>
        <family val="2"/>
      </rPr>
      <t>Transfer</t>
    </r>
  </si>
  <si>
    <r>
      <rPr>
        <sz val="9"/>
        <color theme="1"/>
        <rFont val="Arial"/>
        <family val="2"/>
      </rPr>
      <t>CHICAGOLP</t>
    </r>
  </si>
  <si>
    <r>
      <rPr>
        <sz val="9"/>
        <color theme="1"/>
        <rFont val="Arial"/>
        <family val="2"/>
      </rPr>
      <t>CHICAGOLP</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</si>
  <si>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</si>
  <si>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</si>
  <si>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</si>
  <si>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</si>
  <si>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</si>
  <si>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</si>
  <si>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CHICAGOLP</t>
    </r>
  </si>
  <si>
    <r>
      <rPr>
        <sz val="9"/>
        <color theme="1"/>
        <rFont val="Arial"/>
        <family val="2"/>
      </rPr>
      <t>CINCINNAT</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</si>
  <si>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</si>
  <si>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</si>
  <si>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</si>
  <si>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</si>
  <si>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</si>
  <si>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</si>
  <si>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MEMPHIS</t>
    </r>
  </si>
  <si>
    <r>
      <rPr>
        <sz val="9"/>
        <color theme="1"/>
        <rFont val="Arial"/>
        <family val="2"/>
      </rPr>
      <t>Transfer</t>
    </r>
  </si>
  <si>
    <r>
      <rPr>
        <sz val="9"/>
        <color theme="1"/>
        <rFont val="Arial"/>
        <family val="2"/>
      </rPr>
      <t>CINCINNAT</t>
    </r>
  </si>
  <si>
    <r>
      <rPr>
        <sz val="9"/>
        <color theme="1"/>
        <rFont val="Arial"/>
        <family val="2"/>
      </rPr>
      <t>CLEVELAND</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</si>
  <si>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</si>
  <si>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</si>
  <si>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</si>
  <si>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</si>
  <si>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</si>
  <si>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</si>
  <si>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CLEVELAND</t>
    </r>
  </si>
  <si>
    <r>
      <rPr>
        <sz val="9"/>
        <color theme="1"/>
        <rFont val="Arial"/>
        <family val="2"/>
      </rPr>
      <t>CLEVELAND</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</si>
  <si>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</si>
  <si>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</si>
  <si>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</si>
  <si>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</si>
  <si>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</si>
  <si>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</si>
  <si>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CLEVELAND</t>
    </r>
  </si>
  <si>
    <r>
      <rPr>
        <sz val="9"/>
        <color theme="1"/>
        <rFont val="Arial"/>
        <family val="2"/>
      </rPr>
      <t>COLUMBUS</t>
    </r>
  </si>
  <si>
    <r>
      <rPr>
        <sz val="9"/>
        <color rgb="FF000000"/>
        <rFont val="Arial"/>
        <family val="2"/>
      </rPr>
      <t xml:space="preserve">Undeter
</t>
    </r>
    <r>
      <rPr>
        <sz val="9"/>
        <color rgb="FF000000"/>
        <rFont val="Arial"/>
        <family val="2"/>
      </rPr>
      <t>mined</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</si>
  <si>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</si>
  <si>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</si>
  <si>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</si>
  <si>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</si>
  <si>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COLUMBUS</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</si>
  <si>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</si>
  <si>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</si>
  <si>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</si>
  <si>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</si>
  <si>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</si>
  <si>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Transfer</t>
    </r>
  </si>
  <si>
    <r>
      <rPr>
        <sz val="9"/>
        <color theme="1"/>
        <rFont val="Arial"/>
        <family val="2"/>
      </rPr>
      <t>COLUMBUS</t>
    </r>
  </si>
  <si>
    <r>
      <rPr>
        <sz val="9"/>
        <color theme="1"/>
        <rFont val="Arial"/>
        <family val="2"/>
      </rPr>
      <t>COLUMBUS</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</si>
  <si>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</si>
  <si>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</si>
  <si>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</si>
  <si>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</si>
  <si>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</si>
  <si>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</si>
  <si>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COLUMBUS</t>
    </r>
  </si>
  <si>
    <r>
      <rPr>
        <sz val="9"/>
        <color theme="1"/>
        <rFont val="Arial"/>
        <family val="2"/>
      </rPr>
      <t>COLUMBUS</t>
    </r>
  </si>
  <si>
    <r>
      <rPr>
        <sz val="9"/>
        <color theme="1"/>
        <rFont val="Arial"/>
        <family val="2"/>
      </rPr>
      <t>Female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</si>
  <si>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</si>
  <si>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</si>
  <si>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</si>
  <si>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GARDENCTY</t>
    </r>
  </si>
  <si>
    <r>
      <rPr>
        <sz val="9"/>
        <color theme="1"/>
        <rFont val="Arial"/>
        <family val="2"/>
      </rPr>
      <t>Transfer</t>
    </r>
  </si>
  <si>
    <r>
      <rPr>
        <sz val="9"/>
        <color theme="1"/>
        <rFont val="Arial"/>
        <family val="2"/>
      </rPr>
      <t>COLUMBUS</t>
    </r>
  </si>
  <si>
    <r>
      <rPr>
        <sz val="9"/>
        <color theme="1"/>
        <rFont val="Arial"/>
        <family val="2"/>
      </rPr>
      <t>DULUTH</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</si>
  <si>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</si>
  <si>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</si>
  <si>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</si>
  <si>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</si>
  <si>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</si>
  <si>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</si>
  <si>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DULUTH</t>
    </r>
  </si>
  <si>
    <r>
      <rPr>
        <sz val="9"/>
        <color theme="1"/>
        <rFont val="Arial"/>
        <family val="2"/>
      </rPr>
      <t>DULUTH</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</si>
  <si>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</si>
  <si>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</si>
  <si>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</si>
  <si>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</si>
  <si>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CHICAGOLP</t>
    </r>
  </si>
  <si>
    <r>
      <rPr>
        <sz val="9"/>
        <color theme="1"/>
        <rFont val="Arial"/>
        <family val="2"/>
      </rPr>
      <t>Transfer</t>
    </r>
  </si>
  <si>
    <r>
      <rPr>
        <sz val="9"/>
        <color theme="1"/>
        <rFont val="Arial"/>
        <family val="2"/>
      </rPr>
      <t>DULUTH</t>
    </r>
  </si>
  <si>
    <r>
      <rPr>
        <sz val="9"/>
        <color theme="1"/>
        <rFont val="Arial"/>
        <family val="2"/>
      </rPr>
      <t>EL PASO</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</si>
  <si>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</si>
  <si>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</si>
  <si>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</si>
  <si>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</si>
  <si>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</si>
  <si>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</si>
  <si>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WILD WRLD</t>
    </r>
  </si>
  <si>
    <r>
      <rPr>
        <sz val="9"/>
        <color theme="1"/>
        <rFont val="Arial"/>
        <family val="2"/>
      </rPr>
      <t>Transfer</t>
    </r>
  </si>
  <si>
    <r>
      <rPr>
        <sz val="9"/>
        <color theme="1"/>
        <rFont val="Arial"/>
        <family val="2"/>
      </rPr>
      <t>CLEVELAND</t>
    </r>
  </si>
  <si>
    <r>
      <rPr>
        <sz val="9"/>
        <color theme="1"/>
        <rFont val="Arial"/>
        <family val="2"/>
      </rPr>
      <t>Transfer</t>
    </r>
  </si>
  <si>
    <r>
      <rPr>
        <sz val="9"/>
        <color theme="1"/>
        <rFont val="Arial"/>
        <family val="2"/>
      </rPr>
      <t>EL PASO</t>
    </r>
  </si>
  <si>
    <r>
      <rPr>
        <sz val="9"/>
        <color theme="1"/>
        <rFont val="Arial"/>
        <family val="2"/>
      </rPr>
      <t>EL PASO</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</si>
  <si>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</si>
  <si>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</si>
  <si>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</si>
  <si>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</si>
  <si>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</si>
  <si>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</si>
  <si>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EL PASO</t>
    </r>
  </si>
  <si>
    <r>
      <rPr>
        <sz val="9"/>
        <color theme="1"/>
        <rFont val="Arial"/>
        <family val="2"/>
      </rPr>
      <t>EVANSVLLE</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</si>
  <si>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</si>
  <si>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</si>
  <si>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</si>
  <si>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</si>
  <si>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</si>
  <si>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</si>
  <si>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</si>
  <si>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</si>
  <si>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EVANSVLLE</t>
    </r>
  </si>
  <si>
    <r>
      <rPr>
        <sz val="9"/>
        <color theme="1"/>
        <rFont val="Arial"/>
        <family val="2"/>
      </rPr>
      <t>EVANSVLLE</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</si>
  <si>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</si>
  <si>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</si>
  <si>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</si>
  <si>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</si>
  <si>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</si>
  <si>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Transfer</t>
    </r>
  </si>
  <si>
    <r>
      <rPr>
        <sz val="9"/>
        <color theme="1"/>
        <rFont val="Arial"/>
        <family val="2"/>
      </rPr>
      <t>DUKE PRIM</t>
    </r>
  </si>
  <si>
    <r>
      <rPr>
        <sz val="9"/>
        <color theme="1"/>
        <rFont val="Arial"/>
        <family val="2"/>
      </rPr>
      <t>Transfer</t>
    </r>
  </si>
  <si>
    <r>
      <rPr>
        <sz val="9"/>
        <color theme="1"/>
        <rFont val="Arial"/>
        <family val="2"/>
      </rPr>
      <t>EVANSVLLE</t>
    </r>
  </si>
  <si>
    <r>
      <rPr>
        <sz val="9"/>
        <color theme="1"/>
        <rFont val="Arial"/>
        <family val="2"/>
      </rPr>
      <t>GARDENCTY</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</si>
  <si>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</si>
  <si>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</si>
  <si>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</si>
  <si>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</si>
  <si>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</si>
  <si>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</si>
  <si>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GARDENCTY</t>
    </r>
  </si>
  <si>
    <r>
      <rPr>
        <sz val="9"/>
        <color theme="1"/>
        <rFont val="Arial"/>
        <family val="2"/>
      </rPr>
      <t>GARDENCTY</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</si>
  <si>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</si>
  <si>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</si>
  <si>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</si>
  <si>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</si>
  <si>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</si>
  <si>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</si>
  <si>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GARDENCTY</t>
    </r>
  </si>
  <si>
    <r>
      <rPr>
        <sz val="9"/>
        <color theme="1"/>
        <rFont val="Arial"/>
        <family val="2"/>
      </rPr>
      <t>LITTLEROC</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</si>
  <si>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</si>
  <si>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</si>
  <si>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</si>
  <si>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</si>
  <si>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</si>
  <si>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</si>
  <si>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LITTLEROC</t>
    </r>
  </si>
  <si>
    <r>
      <rPr>
        <sz val="9"/>
        <color theme="1"/>
        <rFont val="Arial"/>
        <family val="2"/>
      </rPr>
      <t>LITTLEROC</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</si>
  <si>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</si>
  <si>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</si>
  <si>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</si>
  <si>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</si>
  <si>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</si>
  <si>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</si>
  <si>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LITTLEROC</t>
    </r>
  </si>
  <si>
    <r>
      <rPr>
        <sz val="9"/>
        <color theme="1"/>
        <rFont val="Arial"/>
        <family val="2"/>
      </rPr>
      <t>MEMPHIS</t>
    </r>
  </si>
  <si>
    <r>
      <rPr>
        <sz val="9"/>
        <color theme="1"/>
        <rFont val="Arial"/>
        <family val="2"/>
      </rPr>
      <t>19M042</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</si>
  <si>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</si>
  <si>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</si>
  <si>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</si>
  <si>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</si>
  <si>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</si>
  <si>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</si>
  <si>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PUEBLO</t>
    </r>
  </si>
  <si>
    <r>
      <rPr>
        <sz val="9"/>
        <color theme="1"/>
        <rFont val="Arial"/>
        <family val="2"/>
      </rPr>
      <t>Transfer</t>
    </r>
  </si>
  <si>
    <r>
      <rPr>
        <sz val="9"/>
        <color theme="1"/>
        <rFont val="Arial"/>
        <family val="2"/>
      </rPr>
      <t>MEMPHIS</t>
    </r>
  </si>
  <si>
    <r>
      <rPr>
        <sz val="9"/>
        <color theme="1"/>
        <rFont val="Arial"/>
        <family val="2"/>
      </rPr>
      <t>MEMPHIS</t>
    </r>
  </si>
  <si>
    <r>
      <rPr>
        <sz val="9"/>
        <color theme="1"/>
        <rFont val="Arial"/>
        <family val="2"/>
      </rPr>
      <t>10M021</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</si>
  <si>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</si>
  <si>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</si>
  <si>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</si>
  <si>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</si>
  <si>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LITTLEROC</t>
    </r>
  </si>
  <si>
    <r>
      <rPr>
        <sz val="9"/>
        <color theme="1"/>
        <rFont val="Arial"/>
        <family val="2"/>
      </rPr>
      <t>Transfer</t>
    </r>
  </si>
  <si>
    <r>
      <rPr>
        <sz val="9"/>
        <color theme="1"/>
        <rFont val="Arial"/>
        <family val="2"/>
      </rPr>
      <t>MEMPHIS</t>
    </r>
  </si>
  <si>
    <r>
      <rPr>
        <sz val="9"/>
        <color theme="1"/>
        <rFont val="Arial"/>
        <family val="2"/>
      </rPr>
      <t>MOODY</t>
    </r>
  </si>
  <si>
    <r>
      <rPr>
        <sz val="9"/>
        <color theme="1"/>
        <rFont val="Arial"/>
        <family val="2"/>
      </rPr>
      <t>Female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</si>
  <si>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</si>
  <si>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</si>
  <si>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</si>
  <si>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MOODY</t>
    </r>
  </si>
  <si>
    <r>
      <rPr>
        <sz val="9"/>
        <color theme="1"/>
        <rFont val="Arial"/>
        <family val="2"/>
      </rPr>
      <t>MOODY</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</si>
  <si>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</si>
  <si>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</si>
  <si>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</si>
  <si>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</si>
  <si>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</si>
  <si>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</si>
  <si>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MOODY</t>
    </r>
  </si>
  <si>
    <r>
      <rPr>
        <sz val="9"/>
        <color theme="1"/>
        <rFont val="Arial"/>
        <family val="2"/>
      </rPr>
      <t>MOODY</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</si>
  <si>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</si>
  <si>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</si>
  <si>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</si>
  <si>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</si>
  <si>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</si>
  <si>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NY BRONX</t>
    </r>
  </si>
  <si>
    <r>
      <rPr>
        <sz val="9"/>
        <color theme="1"/>
        <rFont val="Arial"/>
        <family val="2"/>
      </rPr>
      <t>M14053</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</si>
  <si>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</si>
  <si>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</si>
  <si>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</si>
  <si>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</si>
  <si>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</si>
  <si>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</si>
  <si>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NY BRONX</t>
    </r>
  </si>
  <si>
    <r>
      <rPr>
        <sz val="9"/>
        <color theme="1"/>
        <rFont val="Arial"/>
        <family val="2"/>
      </rPr>
      <t>NY BRONX</t>
    </r>
  </si>
  <si>
    <r>
      <rPr>
        <sz val="9"/>
        <color theme="1"/>
        <rFont val="Arial"/>
        <family val="2"/>
      </rPr>
      <t>M21015</t>
    </r>
  </si>
  <si>
    <r>
      <rPr>
        <sz val="9"/>
        <color theme="1"/>
        <rFont val="Arial"/>
        <family val="2"/>
      </rPr>
      <t>Male</t>
    </r>
  </si>
  <si>
    <r>
      <rPr>
        <sz val="9"/>
        <color theme="1"/>
        <rFont val="Arial"/>
        <family val="2"/>
      </rPr>
      <t>~ from 11/Mar/2021 to 12/Mar/2021</t>
    </r>
  </si>
  <si>
    <r>
      <rPr>
        <sz val="9"/>
        <color theme="1"/>
        <rFont val="Arial"/>
        <family val="2"/>
      </rPr>
      <t>Alive</t>
    </r>
  </si>
  <si>
    <r>
      <rPr>
        <sz val="9"/>
        <color theme="1"/>
        <rFont val="Arial"/>
        <family val="2"/>
      </rPr>
      <t>Captive Birth/Hatch</t>
    </r>
  </si>
  <si>
    <r>
      <rPr>
        <sz val="9"/>
        <color theme="1"/>
        <rFont val="Arial"/>
        <family val="2"/>
      </rPr>
      <t>Birth/Hatch</t>
    </r>
  </si>
  <si>
    <r>
      <rPr>
        <sz val="9"/>
        <color rgb="FF000000"/>
        <rFont val="Arial"/>
        <family val="2"/>
      </rPr>
      <t xml:space="preserve">~ from 11/Mar/2021
</t>
    </r>
    <r>
      <rPr>
        <sz val="9"/>
        <color rgb="FF000000"/>
        <rFont val="Arial"/>
        <family val="2"/>
      </rPr>
      <t>to 12/Mar/2021</t>
    </r>
  </si>
  <si>
    <r>
      <rPr>
        <sz val="9"/>
        <color theme="1"/>
        <rFont val="Arial"/>
        <family val="2"/>
      </rPr>
      <t>NY BRONX</t>
    </r>
  </si>
  <si>
    <r>
      <rPr>
        <sz val="9"/>
        <color theme="1"/>
        <rFont val="Arial"/>
        <family val="2"/>
      </rPr>
      <t>NY BRONX</t>
    </r>
  </si>
  <si>
    <r>
      <rPr>
        <sz val="9"/>
        <color theme="1"/>
        <rFont val="Arial"/>
        <family val="2"/>
      </rPr>
      <t>M14052</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</si>
  <si>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</si>
  <si>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</si>
  <si>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</si>
  <si>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</si>
  <si>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</si>
  <si>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</si>
  <si>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</si>
  <si>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</si>
  <si>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NY BRONX</t>
    </r>
  </si>
  <si>
    <r>
      <rPr>
        <sz val="9"/>
        <color theme="1"/>
        <rFont val="Arial"/>
        <family val="2"/>
      </rPr>
      <t>OMAHA</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</si>
  <si>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</si>
  <si>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</si>
  <si>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</si>
  <si>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</si>
  <si>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AKRON</t>
    </r>
  </si>
  <si>
    <r>
      <rPr>
        <sz val="9"/>
        <color theme="1"/>
        <rFont val="Arial"/>
        <family val="2"/>
      </rPr>
      <t>Transfer</t>
    </r>
  </si>
  <si>
    <r>
      <rPr>
        <sz val="9"/>
        <color theme="1"/>
        <rFont val="Arial"/>
        <family val="2"/>
      </rPr>
      <t>OMAHA</t>
    </r>
  </si>
  <si>
    <r>
      <rPr>
        <sz val="9"/>
        <color theme="1"/>
        <rFont val="Arial"/>
        <family val="2"/>
      </rPr>
      <t>OMAHA</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</si>
  <si>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</si>
  <si>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</si>
  <si>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</si>
  <si>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</si>
  <si>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</si>
  <si>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</si>
  <si>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</si>
  <si>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PHILADELP</t>
    </r>
  </si>
  <si>
    <r>
      <rPr>
        <sz val="9"/>
        <color theme="1"/>
        <rFont val="Arial"/>
        <family val="2"/>
      </rPr>
      <t>Male</t>
    </r>
  </si>
  <si>
    <r>
      <rPr>
        <sz val="9"/>
        <color theme="1"/>
        <rFont val="Arial"/>
        <family val="2"/>
      </rPr>
      <t>Alive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</si>
  <si>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</si>
  <si>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</si>
  <si>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</si>
  <si>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</si>
  <si>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PHILADELP</t>
    </r>
  </si>
  <si>
    <r>
      <rPr>
        <sz val="9"/>
        <color theme="1"/>
        <rFont val="Arial"/>
        <family val="2"/>
      </rPr>
      <t>PHILADELP</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</si>
  <si>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</si>
  <si>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</si>
  <si>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</si>
  <si>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</si>
  <si>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</si>
  <si>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PROSPECTP</t>
    </r>
  </si>
  <si>
    <r>
      <rPr>
        <sz val="9"/>
        <color theme="1"/>
        <rFont val="Arial"/>
        <family val="2"/>
      </rPr>
      <t>P09015</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</si>
  <si>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</si>
  <si>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</si>
  <si>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</si>
  <si>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</si>
  <si>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</si>
  <si>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</si>
  <si>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PROSPECTP</t>
    </r>
  </si>
  <si>
    <r>
      <rPr>
        <sz val="9"/>
        <color theme="1"/>
        <rFont val="Arial"/>
        <family val="2"/>
      </rPr>
      <t>PROSPECTP</t>
    </r>
  </si>
  <si>
    <r>
      <rPr>
        <sz val="9"/>
        <color theme="1"/>
        <rFont val="Arial"/>
        <family val="2"/>
      </rPr>
      <t>P18009</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</si>
  <si>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</si>
  <si>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</si>
  <si>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</si>
  <si>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</si>
  <si>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</si>
  <si>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</si>
  <si>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PROSPECTP</t>
    </r>
  </si>
  <si>
    <r>
      <rPr>
        <sz val="9"/>
        <color theme="1"/>
        <rFont val="Arial"/>
        <family val="2"/>
      </rPr>
      <t>PUEBLO</t>
    </r>
  </si>
  <si>
    <r>
      <rPr>
        <sz val="9"/>
        <color theme="1"/>
        <rFont val="Arial"/>
        <family val="2"/>
      </rPr>
      <t>M39021</t>
    </r>
  </si>
  <si>
    <r>
      <rPr>
        <sz val="9"/>
        <color theme="1"/>
        <rFont val="Arial"/>
        <family val="2"/>
      </rPr>
      <t>Female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</si>
  <si>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</si>
  <si>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</si>
  <si>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</si>
  <si>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</si>
  <si>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</si>
  <si>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</si>
  <si>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</si>
  <si>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PUEBLO</t>
    </r>
  </si>
  <si>
    <r>
      <rPr>
        <sz val="9"/>
        <color theme="1"/>
        <rFont val="Arial"/>
        <family val="2"/>
      </rPr>
      <t>PUEBLO</t>
    </r>
  </si>
  <si>
    <r>
      <rPr>
        <sz val="9"/>
        <color theme="1"/>
        <rFont val="Arial"/>
        <family val="2"/>
      </rPr>
      <t>M39022</t>
    </r>
  </si>
  <si>
    <r>
      <rPr>
        <sz val="9"/>
        <color theme="1"/>
        <rFont val="Arial"/>
        <family val="2"/>
      </rPr>
      <t>Male</t>
    </r>
  </si>
  <si>
    <r>
      <rPr>
        <sz val="9"/>
        <color theme="1"/>
        <rFont val="Arial"/>
        <family val="2"/>
      </rPr>
      <t>Alive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</si>
  <si>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</si>
  <si>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</si>
  <si>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</si>
  <si>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</si>
  <si>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ABQBIOPK</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</si>
  <si>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</si>
  <si>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</si>
  <si>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</si>
  <si>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PUEBLO</t>
    </r>
  </si>
  <si>
    <r>
      <rPr>
        <b/>
        <sz val="12"/>
        <color rgb="FF000000"/>
        <rFont val="Arial"/>
        <family val="2"/>
      </rPr>
      <t xml:space="preserve">Historical Population
</t>
    </r>
    <r>
      <rPr>
        <sz val="12"/>
        <color rgb="FF000000"/>
        <rFont val="Arial"/>
        <family val="2"/>
      </rPr>
      <t>148.133.62 (343)</t>
    </r>
  </si>
  <si>
    <r>
      <rPr>
        <b/>
        <sz val="9"/>
        <color rgb="FF000000"/>
        <rFont val="Arial"/>
        <family val="2"/>
      </rPr>
      <t xml:space="preserve">Studboo
</t>
    </r>
    <r>
      <rPr>
        <b/>
        <sz val="9"/>
        <color rgb="FF000000"/>
        <rFont val="Arial"/>
        <family val="2"/>
      </rPr>
      <t>k ID</t>
    </r>
  </si>
  <si>
    <r>
      <rPr>
        <b/>
        <sz val="9"/>
        <color rgb="FF000000"/>
        <rFont val="Arial"/>
        <family val="2"/>
      </rPr>
      <t xml:space="preserve">Current
</t>
    </r>
    <r>
      <rPr>
        <b/>
        <sz val="9"/>
        <color rgb="FF000000"/>
        <rFont val="Arial"/>
        <family val="2"/>
      </rPr>
      <t>Location</t>
    </r>
  </si>
  <si>
    <r>
      <rPr>
        <b/>
        <sz val="9"/>
        <color rgb="FF000000"/>
        <rFont val="Arial"/>
        <family val="2"/>
      </rPr>
      <t xml:space="preserve">Current
</t>
    </r>
    <r>
      <rPr>
        <b/>
        <sz val="9"/>
        <color rgb="FF000000"/>
        <rFont val="Arial"/>
        <family val="2"/>
      </rPr>
      <t>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</si>
  <si>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</si>
  <si>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</si>
  <si>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</si>
  <si>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</si>
  <si>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</si>
  <si>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</si>
  <si>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</si>
  <si>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</si>
  <si>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SKANAKV</t>
    </r>
  </si>
  <si>
    <r>
      <rPr>
        <sz val="9"/>
        <color theme="1"/>
        <rFont val="Arial"/>
        <family val="2"/>
      </rPr>
      <t>S-A03</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</si>
  <si>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</si>
  <si>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</si>
  <si>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</si>
  <si>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</si>
  <si>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</si>
  <si>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</si>
  <si>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</si>
  <si>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</si>
  <si>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</si>
  <si>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</si>
  <si>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</si>
  <si>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</si>
  <si>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01/Jan/1986 +/- 6 month</t>
    </r>
  </si>
  <si>
    <r>
      <rPr>
        <sz val="9"/>
        <color theme="1"/>
        <rFont val="Arial"/>
        <family val="2"/>
      </rPr>
      <t>SKANAKV</t>
    </r>
  </si>
  <si>
    <r>
      <rPr>
        <sz val="9"/>
        <color theme="1"/>
        <rFont val="Arial"/>
        <family val="2"/>
      </rPr>
      <t>GO LTF</t>
    </r>
  </si>
  <si>
    <r>
      <rPr>
        <sz val="9"/>
        <color theme="1"/>
        <rFont val="Arial"/>
        <family val="2"/>
      </rPr>
      <t>Undetermined</t>
    </r>
  </si>
  <si>
    <r>
      <rPr>
        <sz val="9"/>
        <color theme="1"/>
        <rFont val="Arial"/>
        <family val="2"/>
      </rPr>
      <t>SKANAKV</t>
    </r>
  </si>
  <si>
    <r>
      <rPr>
        <sz val="9"/>
        <color theme="1"/>
        <rFont val="Arial"/>
        <family val="2"/>
      </rPr>
      <t>SKANAKV</t>
    </r>
  </si>
  <si>
    <r>
      <rPr>
        <sz val="9"/>
        <color theme="1"/>
        <rFont val="Arial"/>
        <family val="2"/>
      </rPr>
      <t>S-A04</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</si>
  <si>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</si>
  <si>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</si>
  <si>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</si>
  <si>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</si>
  <si>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</si>
  <si>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</si>
  <si>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</si>
  <si>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</si>
  <si>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</si>
  <si>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</si>
  <si>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</si>
  <si>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</si>
  <si>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01/Jan/1985 +/- 6 month</t>
    </r>
  </si>
  <si>
    <r>
      <rPr>
        <sz val="9"/>
        <color theme="1"/>
        <rFont val="Arial"/>
        <family val="2"/>
      </rPr>
      <t>SKANAKV</t>
    </r>
  </si>
  <si>
    <r>
      <rPr>
        <sz val="9"/>
        <color theme="1"/>
        <rFont val="Arial"/>
        <family val="2"/>
      </rPr>
      <t>GO LTF</t>
    </r>
  </si>
  <si>
    <r>
      <rPr>
        <sz val="9"/>
        <color theme="1"/>
        <rFont val="Arial"/>
        <family val="2"/>
      </rPr>
      <t>Undetermined</t>
    </r>
  </si>
  <si>
    <r>
      <rPr>
        <sz val="9"/>
        <color theme="1"/>
        <rFont val="Arial"/>
        <family val="2"/>
      </rPr>
      <t>SKANAKV</t>
    </r>
  </si>
  <si>
    <r>
      <rPr>
        <sz val="9"/>
        <color theme="1"/>
        <rFont val="Arial"/>
        <family val="2"/>
      </rPr>
      <t>HONOLULU</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</si>
  <si>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</si>
  <si>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</si>
  <si>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</si>
  <si>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</si>
  <si>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</si>
  <si>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</si>
  <si>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</si>
  <si>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</si>
  <si>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</si>
  <si>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</si>
  <si>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</si>
  <si>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</si>
  <si>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</si>
  <si>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</si>
  <si>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</si>
  <si>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HONOLULU</t>
    </r>
  </si>
  <si>
    <r>
      <rPr>
        <sz val="9"/>
        <color theme="1"/>
        <rFont val="Arial"/>
        <family val="2"/>
      </rPr>
      <t>Death</t>
    </r>
  </si>
  <si>
    <r>
      <rPr>
        <sz val="9"/>
        <color theme="1"/>
        <rFont val="Arial"/>
        <family val="2"/>
      </rPr>
      <t>HONOLULU</t>
    </r>
  </si>
  <si>
    <r>
      <rPr>
        <sz val="9"/>
        <color theme="1"/>
        <rFont val="Arial"/>
        <family val="2"/>
      </rPr>
      <t>HONOLULU</t>
    </r>
  </si>
  <si>
    <r>
      <rPr>
        <sz val="9"/>
        <color theme="1"/>
        <rFont val="Arial"/>
        <family val="2"/>
      </rPr>
      <t>Undetermined</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</si>
  <si>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</si>
  <si>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</si>
  <si>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</si>
  <si>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</si>
  <si>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</si>
  <si>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</si>
  <si>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</si>
  <si>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</si>
  <si>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</si>
  <si>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</si>
  <si>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</si>
  <si>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HONOLULU</t>
    </r>
  </si>
  <si>
    <r>
      <rPr>
        <sz val="9"/>
        <color theme="1"/>
        <rFont val="Arial"/>
        <family val="2"/>
      </rPr>
      <t>Death</t>
    </r>
  </si>
  <si>
    <r>
      <rPr>
        <sz val="9"/>
        <color theme="1"/>
        <rFont val="Arial"/>
        <family val="2"/>
      </rPr>
      <t>HONOLULU</t>
    </r>
  </si>
  <si>
    <r>
      <rPr>
        <sz val="9"/>
        <color theme="1"/>
        <rFont val="Arial"/>
        <family val="2"/>
      </rPr>
      <t>UNDETERMI</t>
    </r>
  </si>
  <si>
    <r>
      <rPr>
        <sz val="9"/>
        <color theme="1"/>
        <rFont val="Arial"/>
        <family val="2"/>
      </rPr>
      <t>Undetermined</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</si>
  <si>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</si>
  <si>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</si>
  <si>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</si>
  <si>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</si>
  <si>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</si>
  <si>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</si>
  <si>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</si>
  <si>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</si>
  <si>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</si>
  <si>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</si>
  <si>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</si>
  <si>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</si>
  <si>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HONOLULU</t>
    </r>
  </si>
  <si>
    <r>
      <rPr>
        <sz val="9"/>
        <color theme="1"/>
        <rFont val="Arial"/>
        <family val="2"/>
      </rPr>
      <t>Death</t>
    </r>
  </si>
  <si>
    <r>
      <rPr>
        <sz val="9"/>
        <color theme="1"/>
        <rFont val="Arial"/>
        <family val="2"/>
      </rPr>
      <t>Undetermined</t>
    </r>
  </si>
  <si>
    <r>
      <rPr>
        <sz val="9"/>
        <color theme="1"/>
        <rFont val="Arial"/>
        <family val="2"/>
      </rPr>
      <t>UNDETERMI</t>
    </r>
  </si>
  <si>
    <r>
      <rPr>
        <sz val="9"/>
        <color theme="1"/>
        <rFont val="Arial"/>
        <family val="2"/>
      </rPr>
      <t>UNDETERMI</t>
    </r>
  </si>
  <si>
    <r>
      <rPr>
        <sz val="9"/>
        <color theme="1"/>
        <rFont val="Arial"/>
        <family val="2"/>
      </rPr>
      <t>NHN</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</si>
  <si>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</si>
  <si>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</si>
  <si>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</si>
  <si>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</si>
  <si>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</si>
  <si>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</si>
  <si>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</si>
  <si>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</si>
  <si>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</si>
  <si>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</si>
  <si>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</si>
  <si>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</si>
  <si>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HONOLULU</t>
    </r>
  </si>
  <si>
    <r>
      <rPr>
        <sz val="9"/>
        <color theme="1"/>
        <rFont val="Arial"/>
        <family val="2"/>
      </rPr>
      <t>Death</t>
    </r>
  </si>
  <si>
    <r>
      <rPr>
        <sz val="9"/>
        <color theme="1"/>
        <rFont val="Arial"/>
        <family val="2"/>
      </rPr>
      <t>Undetermined</t>
    </r>
  </si>
  <si>
    <r>
      <rPr>
        <sz val="9"/>
        <color theme="1"/>
        <rFont val="Arial"/>
        <family val="2"/>
      </rPr>
      <t>UNDETERMI</t>
    </r>
  </si>
  <si>
    <r>
      <rPr>
        <sz val="9"/>
        <color theme="1"/>
        <rFont val="Arial"/>
        <family val="2"/>
      </rPr>
      <t>FITCH H</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</si>
  <si>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</si>
  <si>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</si>
  <si>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</si>
  <si>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</si>
  <si>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</si>
  <si>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</si>
  <si>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</si>
  <si>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</si>
  <si>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</si>
  <si>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01/Jan/1989 +/- 6 month</t>
    </r>
  </si>
  <si>
    <r>
      <rPr>
        <sz val="9"/>
        <color theme="1"/>
        <rFont val="Arial"/>
        <family val="2"/>
      </rPr>
      <t>Undetermined</t>
    </r>
  </si>
  <si>
    <r>
      <rPr>
        <sz val="9"/>
        <color theme="1"/>
        <rFont val="Arial"/>
        <family val="2"/>
      </rPr>
      <t>Transfer</t>
    </r>
  </si>
  <si>
    <r>
      <rPr>
        <sz val="9"/>
        <color theme="1"/>
        <rFont val="Arial"/>
        <family val="2"/>
      </rPr>
      <t>01/Jan/1989 +/- 6 month</t>
    </r>
  </si>
  <si>
    <r>
      <rPr>
        <sz val="9"/>
        <color theme="1"/>
        <rFont val="Arial"/>
        <family val="2"/>
      </rPr>
      <t>PUBLIC</t>
    </r>
  </si>
  <si>
    <r>
      <rPr>
        <sz val="9"/>
        <color theme="1"/>
        <rFont val="Arial"/>
        <family val="2"/>
      </rPr>
      <t>Transfer</t>
    </r>
  </si>
  <si>
    <r>
      <rPr>
        <sz val="9"/>
        <color theme="1"/>
        <rFont val="Arial"/>
        <family val="2"/>
      </rPr>
      <t>FITCH H</t>
    </r>
  </si>
  <si>
    <r>
      <rPr>
        <sz val="9"/>
        <color theme="1"/>
        <rFont val="Arial"/>
        <family val="2"/>
      </rPr>
      <t>Death</t>
    </r>
  </si>
  <si>
    <r>
      <rPr>
        <sz val="9"/>
        <color theme="1"/>
        <rFont val="Arial"/>
        <family val="2"/>
      </rPr>
      <t>FITCH H</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</si>
  <si>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</si>
  <si>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</si>
  <si>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</si>
  <si>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</si>
  <si>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</si>
  <si>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</si>
  <si>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</si>
  <si>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</si>
  <si>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</si>
  <si>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</si>
  <si>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</si>
  <si>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DUKE PRIM</t>
    </r>
  </si>
  <si>
    <r>
      <rPr>
        <sz val="9"/>
        <color theme="1"/>
        <rFont val="Arial"/>
        <family val="2"/>
      </rPr>
      <t>Female</t>
    </r>
  </si>
  <si>
    <r>
      <rPr>
        <sz val="9"/>
        <color theme="1"/>
        <rFont val="Arial"/>
        <family val="2"/>
      </rPr>
      <t>01/Mar/1983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</si>
  <si>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</si>
  <si>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</si>
  <si>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</si>
  <si>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</si>
  <si>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01/Mar/1983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</si>
  <si>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</si>
  <si>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</si>
  <si>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</si>
  <si>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</si>
  <si>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</si>
  <si>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</si>
  <si>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</si>
  <si>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</si>
  <si>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</si>
  <si>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</si>
  <si>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</si>
  <si>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Female</t>
    </r>
  </si>
  <si>
    <r>
      <rPr>
        <sz val="9"/>
        <color rgb="FF000000"/>
        <rFont val="Arial"/>
        <family val="2"/>
      </rPr>
      <t xml:space="preserve">01/Mar/1983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</si>
  <si>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</si>
  <si>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</si>
  <si>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</si>
  <si>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</si>
  <si>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01/Mar/1983 +/-
</t>
    </r>
    <r>
      <rPr>
        <sz val="9"/>
        <color rgb="FF000000"/>
        <rFont val="Arial"/>
        <family val="2"/>
      </rPr>
      <t>6 month</t>
    </r>
  </si>
  <si>
    <r>
      <rPr>
        <sz val="9"/>
        <color theme="1"/>
        <rFont val="Arial"/>
        <family val="2"/>
      </rPr>
      <t>Viet Nam / ~</t>
    </r>
  </si>
  <si>
    <r>
      <rPr>
        <sz val="9"/>
        <color theme="1"/>
        <rFont val="Arial"/>
        <family val="2"/>
      </rPr>
      <t>Wild Capture</t>
    </r>
  </si>
  <si>
    <r>
      <rPr>
        <sz val="9"/>
        <color theme="1"/>
        <rFont val="Arial"/>
        <family val="2"/>
      </rPr>
      <t>Viet Nam / ~</t>
    </r>
  </si>
  <si>
    <r>
      <rPr>
        <sz val="9"/>
        <color theme="1"/>
        <rFont val="Arial"/>
        <family val="2"/>
      </rPr>
      <t>Transfer</t>
    </r>
  </si>
  <si>
    <r>
      <rPr>
        <sz val="9"/>
        <color theme="1"/>
        <rFont val="Arial"/>
        <family val="2"/>
      </rPr>
      <t>BANGKOK</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</si>
  <si>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</si>
  <si>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</si>
  <si>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</si>
  <si>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</si>
  <si>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</si>
  <si>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</si>
  <si>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</si>
  <si>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</si>
  <si>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</si>
  <si>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</si>
  <si>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</si>
  <si>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</si>
  <si>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</si>
  <si>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</si>
  <si>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</si>
  <si>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</si>
  <si>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01/Jan/1984 +/- 6 month</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</si>
  <si>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</si>
  <si>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</si>
  <si>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</si>
  <si>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</si>
  <si>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</si>
  <si>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</si>
  <si>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</si>
  <si>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</si>
  <si>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</si>
  <si>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01/Jan/1984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</si>
  <si>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</si>
  <si>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</si>
  <si>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</si>
  <si>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</si>
  <si>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01/Jan/1984 +/- 6 month</t>
    </r>
  </si>
  <si>
    <r>
      <rPr>
        <sz val="9"/>
        <color theme="1"/>
        <rFont val="Arial"/>
        <family val="2"/>
      </rPr>
      <t>Viet Nam / ~</t>
    </r>
  </si>
  <si>
    <r>
      <rPr>
        <sz val="9"/>
        <color theme="1"/>
        <rFont val="Arial"/>
        <family val="2"/>
      </rPr>
      <t>Wild Capture</t>
    </r>
  </si>
  <si>
    <r>
      <rPr>
        <sz val="9"/>
        <color rgb="FF000000"/>
        <rFont val="Arial"/>
        <family val="2"/>
      </rPr>
      <t xml:space="preserve">01/Jan/1984 +/-
</t>
    </r>
    <r>
      <rPr>
        <sz val="9"/>
        <color rgb="FF000000"/>
        <rFont val="Arial"/>
        <family val="2"/>
      </rPr>
      <t>6 month</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</si>
  <si>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</si>
  <si>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</si>
  <si>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</si>
  <si>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</si>
  <si>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</si>
  <si>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</si>
  <si>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</si>
  <si>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</si>
  <si>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Female</t>
    </r>
  </si>
  <si>
    <r>
      <rPr>
        <sz val="9"/>
        <color rgb="FF000000"/>
        <rFont val="Arial"/>
        <family val="2"/>
      </rPr>
      <t xml:space="preserve">01/Jan/1984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</si>
  <si>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</si>
  <si>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</si>
  <si>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</si>
  <si>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</si>
  <si>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01/Jan/1984 +/-
</t>
    </r>
    <r>
      <rPr>
        <sz val="9"/>
        <color rgb="FF000000"/>
        <rFont val="Arial"/>
        <family val="2"/>
      </rPr>
      <t>6 month</t>
    </r>
  </si>
  <si>
    <r>
      <rPr>
        <sz val="9"/>
        <color theme="1"/>
        <rFont val="Arial"/>
        <family val="2"/>
      </rPr>
      <t>Viet Nam / ~</t>
    </r>
  </si>
  <si>
    <r>
      <rPr>
        <sz val="9"/>
        <color theme="1"/>
        <rFont val="Arial"/>
        <family val="2"/>
      </rPr>
      <t>Wild Capture</t>
    </r>
  </si>
  <si>
    <r>
      <rPr>
        <sz val="9"/>
        <color rgb="FF000000"/>
        <rFont val="Arial"/>
        <family val="2"/>
      </rPr>
      <t xml:space="preserve">01/Jan/1984 +/-
</t>
    </r>
    <r>
      <rPr>
        <sz val="9"/>
        <color rgb="FF000000"/>
        <rFont val="Arial"/>
        <family val="2"/>
      </rPr>
      <t>6 month</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</si>
  <si>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</si>
  <si>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</si>
  <si>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</si>
  <si>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</si>
  <si>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</si>
  <si>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</si>
  <si>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</si>
  <si>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</si>
  <si>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Male</t>
    </r>
  </si>
  <si>
    <r>
      <rPr>
        <sz val="9"/>
        <color rgb="FF000000"/>
        <rFont val="Arial"/>
        <family val="2"/>
      </rPr>
      <t xml:space="preserve">01/Jan/1984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</si>
  <si>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</si>
  <si>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</si>
  <si>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</si>
  <si>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</si>
  <si>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01/Jan/1984 +/-
</t>
    </r>
    <r>
      <rPr>
        <sz val="9"/>
        <color rgb="FF000000"/>
        <rFont val="Arial"/>
        <family val="2"/>
      </rPr>
      <t>6 month</t>
    </r>
  </si>
  <si>
    <r>
      <rPr>
        <sz val="9"/>
        <color theme="1"/>
        <rFont val="Arial"/>
        <family val="2"/>
      </rPr>
      <t>Viet Nam / ~</t>
    </r>
  </si>
  <si>
    <r>
      <rPr>
        <sz val="9"/>
        <color theme="1"/>
        <rFont val="Arial"/>
        <family val="2"/>
      </rPr>
      <t>Wild Capture</t>
    </r>
  </si>
  <si>
    <r>
      <rPr>
        <sz val="9"/>
        <color theme="1"/>
        <rFont val="Arial"/>
        <family val="2"/>
      </rPr>
      <t>01/Jan/1984 +/- 6 month</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</si>
  <si>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</si>
  <si>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</si>
  <si>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</si>
  <si>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</si>
  <si>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</si>
  <si>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</si>
  <si>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</si>
  <si>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</si>
  <si>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</si>
  <si>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</si>
  <si>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</si>
  <si>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</si>
  <si>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</si>
  <si>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</si>
  <si>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</si>
  <si>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</si>
  <si>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</si>
  <si>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</si>
  <si>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SKANAKV</t>
    </r>
  </si>
  <si>
    <r>
      <rPr>
        <sz val="9"/>
        <color theme="1"/>
        <rFont val="Arial"/>
        <family val="2"/>
      </rPr>
      <t>S-A02</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</si>
  <si>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</si>
  <si>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</si>
  <si>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</si>
  <si>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</si>
  <si>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</si>
  <si>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</si>
  <si>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</si>
  <si>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</si>
  <si>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</si>
  <si>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</si>
  <si>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</si>
  <si>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</si>
  <si>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01/Jan/1985 +/- 6 month</t>
    </r>
  </si>
  <si>
    <r>
      <rPr>
        <sz val="9"/>
        <color theme="1"/>
        <rFont val="Arial"/>
        <family val="2"/>
      </rPr>
      <t>SKANAKV</t>
    </r>
  </si>
  <si>
    <r>
      <rPr>
        <sz val="9"/>
        <color theme="1"/>
        <rFont val="Arial"/>
        <family val="2"/>
      </rPr>
      <t>GO LTF</t>
    </r>
  </si>
  <si>
    <r>
      <rPr>
        <sz val="9"/>
        <color theme="1"/>
        <rFont val="Arial"/>
        <family val="2"/>
      </rPr>
      <t>Undetermined</t>
    </r>
  </si>
  <si>
    <r>
      <rPr>
        <sz val="9"/>
        <color theme="1"/>
        <rFont val="Arial"/>
        <family val="2"/>
      </rPr>
      <t>SKANAKV</t>
    </r>
  </si>
  <si>
    <r>
      <rPr>
        <sz val="9"/>
        <color theme="1"/>
        <rFont val="Arial"/>
        <family val="2"/>
      </rPr>
      <t>CRYSTAL G</t>
    </r>
  </si>
  <si>
    <r>
      <rPr>
        <sz val="9"/>
        <color theme="1"/>
        <rFont val="Arial"/>
        <family val="2"/>
      </rPr>
      <t>CGNPO1</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</si>
  <si>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</si>
  <si>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</si>
  <si>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</si>
  <si>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</si>
  <si>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</si>
  <si>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</si>
  <si>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</si>
  <si>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</si>
  <si>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</si>
  <si>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</si>
  <si>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</si>
  <si>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</si>
  <si>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</si>
  <si>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SKANAKV</t>
    </r>
  </si>
  <si>
    <r>
      <rPr>
        <sz val="9"/>
        <color theme="1"/>
        <rFont val="Arial"/>
        <family val="2"/>
      </rPr>
      <t>Transfer</t>
    </r>
  </si>
  <si>
    <r>
      <rPr>
        <sz val="9"/>
        <color theme="1"/>
        <rFont val="Arial"/>
        <family val="2"/>
      </rPr>
      <t>01/May/1987 +/- 1 day</t>
    </r>
  </si>
  <si>
    <r>
      <rPr>
        <sz val="9"/>
        <color theme="1"/>
        <rFont val="Arial"/>
        <family val="2"/>
      </rPr>
      <t>CRYSTAL G</t>
    </r>
  </si>
  <si>
    <r>
      <rPr>
        <sz val="9"/>
        <color theme="1"/>
        <rFont val="Arial"/>
        <family val="2"/>
      </rPr>
      <t>Death</t>
    </r>
  </si>
  <si>
    <r>
      <rPr>
        <sz val="9"/>
        <color theme="1"/>
        <rFont val="Arial"/>
        <family val="2"/>
      </rPr>
      <t>31/Dec/1995 +/- 15 day</t>
    </r>
  </si>
  <si>
    <r>
      <rPr>
        <sz val="9"/>
        <color theme="1"/>
        <rFont val="Arial"/>
        <family val="2"/>
      </rPr>
      <t>CRYSTAL G</t>
    </r>
  </si>
  <si>
    <r>
      <rPr>
        <sz val="9"/>
        <color theme="1"/>
        <rFont val="Arial"/>
        <family val="2"/>
      </rPr>
      <t>CRYSTAL G</t>
    </r>
  </si>
  <si>
    <r>
      <rPr>
        <sz val="9"/>
        <color theme="1"/>
        <rFont val="Arial"/>
        <family val="2"/>
      </rPr>
      <t>CGNP02</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</si>
  <si>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</si>
  <si>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</si>
  <si>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</si>
  <si>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</si>
  <si>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</si>
  <si>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</si>
  <si>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</si>
  <si>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</si>
  <si>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</si>
  <si>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</si>
  <si>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</si>
  <si>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</si>
  <si>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</si>
  <si>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SKANAKV</t>
    </r>
  </si>
  <si>
    <r>
      <rPr>
        <sz val="9"/>
        <color theme="1"/>
        <rFont val="Arial"/>
        <family val="2"/>
      </rPr>
      <t>Transfer</t>
    </r>
  </si>
  <si>
    <r>
      <rPr>
        <sz val="9"/>
        <color theme="1"/>
        <rFont val="Arial"/>
        <family val="2"/>
      </rPr>
      <t>01/May/1987 +/- 1 day</t>
    </r>
  </si>
  <si>
    <r>
      <rPr>
        <sz val="9"/>
        <color theme="1"/>
        <rFont val="Arial"/>
        <family val="2"/>
      </rPr>
      <t>CRYSTAL G</t>
    </r>
  </si>
  <si>
    <r>
      <rPr>
        <sz val="9"/>
        <color theme="1"/>
        <rFont val="Arial"/>
        <family val="2"/>
      </rPr>
      <t>Death</t>
    </r>
  </si>
  <si>
    <r>
      <rPr>
        <sz val="9"/>
        <color theme="1"/>
        <rFont val="Arial"/>
        <family val="2"/>
      </rPr>
      <t>CRYSTAL G</t>
    </r>
  </si>
  <si>
    <r>
      <rPr>
        <sz val="9"/>
        <color theme="1"/>
        <rFont val="Arial"/>
        <family val="2"/>
      </rPr>
      <t>SANDIEGOZ</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</si>
  <si>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</si>
  <si>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</si>
  <si>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</si>
  <si>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</si>
  <si>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</si>
  <si>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</si>
  <si>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</si>
  <si>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</si>
  <si>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</si>
  <si>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01/Jan/1985 +/- 6 month</t>
    </r>
  </si>
  <si>
    <r>
      <rPr>
        <sz val="9"/>
        <color theme="1"/>
        <rFont val="Arial"/>
        <family val="2"/>
      </rPr>
      <t>Undetermined</t>
    </r>
  </si>
  <si>
    <r>
      <rPr>
        <sz val="9"/>
        <color theme="1"/>
        <rFont val="Arial"/>
        <family val="2"/>
      </rPr>
      <t>Transfer</t>
    </r>
  </si>
  <si>
    <r>
      <rPr>
        <sz val="9"/>
        <color theme="1"/>
        <rFont val="Arial"/>
        <family val="2"/>
      </rPr>
      <t>01/Mar/1986 +/- 1 day</t>
    </r>
  </si>
  <si>
    <r>
      <rPr>
        <sz val="9"/>
        <color theme="1"/>
        <rFont val="Arial"/>
        <family val="2"/>
      </rPr>
      <t>SKANAKV</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</si>
  <si>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</si>
  <si>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</si>
  <si>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</si>
  <si>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</si>
  <si>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</si>
  <si>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</si>
  <si>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01/Mar/1985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</si>
  <si>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</si>
  <si>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</si>
  <si>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</si>
  <si>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</si>
  <si>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01/Mar/1985 +/- 6 month</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</si>
  <si>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</si>
  <si>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</si>
  <si>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</si>
  <si>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</si>
  <si>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</si>
  <si>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01/Mar/1986 +/- 1 day</t>
    </r>
  </si>
  <si>
    <r>
      <rPr>
        <sz val="9"/>
        <color theme="1"/>
        <rFont val="Arial"/>
        <family val="2"/>
      </rPr>
      <t>SKANAKV</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</si>
  <si>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</si>
  <si>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</si>
  <si>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</si>
  <si>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</si>
  <si>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</si>
  <si>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</si>
  <si>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01/Mar/1985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</si>
  <si>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</si>
  <si>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</si>
  <si>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</si>
  <si>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</si>
  <si>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01/Mar/1985 +/- 6 month</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</si>
  <si>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</si>
  <si>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</si>
  <si>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</si>
  <si>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</si>
  <si>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</si>
  <si>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rgb="FF000000"/>
        <rFont val="Arial"/>
        <family val="2"/>
      </rPr>
      <t xml:space="preserve">01/Mar/1986 +/-
</t>
    </r>
    <r>
      <rPr>
        <sz val="9"/>
        <color rgb="FF000000"/>
        <rFont val="Arial"/>
        <family val="2"/>
      </rPr>
      <t>1 day</t>
    </r>
  </si>
  <si>
    <r>
      <rPr>
        <sz val="9"/>
        <color theme="1"/>
        <rFont val="Arial"/>
        <family val="2"/>
      </rPr>
      <t>SKANAKV</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</si>
  <si>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</si>
  <si>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</si>
  <si>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</si>
  <si>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</si>
  <si>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</si>
  <si>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</si>
  <si>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</si>
  <si>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</si>
  <si>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</si>
  <si>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</si>
  <si>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</si>
  <si>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</si>
  <si>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</si>
  <si>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</si>
  <si>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</si>
  <si>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</si>
  <si>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</si>
  <si>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</si>
  <si>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</si>
  <si>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</si>
  <si>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</si>
  <si>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</si>
  <si>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</si>
  <si>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</si>
  <si>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</si>
  <si>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</si>
  <si>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</si>
  <si>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</si>
  <si>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01/Mar/1986 +/- 1 day</t>
    </r>
  </si>
  <si>
    <r>
      <rPr>
        <sz val="9"/>
        <color theme="1"/>
        <rFont val="Arial"/>
        <family val="2"/>
      </rPr>
      <t>SKANAKV</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</si>
  <si>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</si>
  <si>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</si>
  <si>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</si>
  <si>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</si>
  <si>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</si>
  <si>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</si>
  <si>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</si>
  <si>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</si>
  <si>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</si>
  <si>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</si>
  <si>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</si>
  <si>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</si>
  <si>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</si>
  <si>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</si>
  <si>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</si>
  <si>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</si>
  <si>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</si>
  <si>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rgb="FF000000"/>
        <rFont val="Arial"/>
        <family val="2"/>
      </rPr>
      <t xml:space="preserve">01/Mar/1986 +/-
</t>
    </r>
    <r>
      <rPr>
        <sz val="9"/>
        <color rgb="FF000000"/>
        <rFont val="Arial"/>
        <family val="2"/>
      </rPr>
      <t>1 day</t>
    </r>
  </si>
  <si>
    <r>
      <rPr>
        <sz val="9"/>
        <color theme="1"/>
        <rFont val="Arial"/>
        <family val="2"/>
      </rPr>
      <t>SKANAKV</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</si>
  <si>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</si>
  <si>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</si>
  <si>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</si>
  <si>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</si>
  <si>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</si>
  <si>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</si>
  <si>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</si>
  <si>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</si>
  <si>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</si>
  <si>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</si>
  <si>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</si>
  <si>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</si>
  <si>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</si>
  <si>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</si>
  <si>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</si>
  <si>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</si>
  <si>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</si>
  <si>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rgb="FF000000"/>
        <rFont val="Arial"/>
        <family val="2"/>
      </rPr>
      <t xml:space="preserve">01/Mar/1986 +/-
</t>
    </r>
    <r>
      <rPr>
        <sz val="9"/>
        <color rgb="FF000000"/>
        <rFont val="Arial"/>
        <family val="2"/>
      </rPr>
      <t>1 day</t>
    </r>
  </si>
  <si>
    <r>
      <rPr>
        <sz val="9"/>
        <color theme="1"/>
        <rFont val="Arial"/>
        <family val="2"/>
      </rPr>
      <t>SKANAKV</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</si>
  <si>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</si>
  <si>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</si>
  <si>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</si>
  <si>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</si>
  <si>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MINNESOTA</t>
    </r>
  </si>
  <si>
    <r>
      <rPr>
        <sz val="9"/>
        <color theme="1"/>
        <rFont val="Arial"/>
        <family val="2"/>
      </rPr>
      <t>Male</t>
    </r>
  </si>
  <si>
    <r>
      <rPr>
        <sz val="9"/>
        <color rgb="FF000000"/>
        <rFont val="Arial"/>
        <family val="2"/>
      </rPr>
      <t xml:space="preserve">01/Jan/1985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</si>
  <si>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</si>
  <si>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</si>
  <si>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</si>
  <si>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</si>
  <si>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01/Jan/1985 +/-
</t>
    </r>
    <r>
      <rPr>
        <sz val="9"/>
        <color rgb="FF000000"/>
        <rFont val="Arial"/>
        <family val="2"/>
      </rPr>
      <t>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</si>
  <si>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</si>
  <si>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</si>
  <si>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</si>
  <si>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</si>
  <si>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</si>
  <si>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</si>
  <si>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</si>
  <si>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</si>
  <si>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Transfer</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</si>
  <si>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</si>
  <si>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</si>
  <si>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</si>
  <si>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DUKE PRIM</t>
    </r>
  </si>
  <si>
    <r>
      <rPr>
        <sz val="9"/>
        <color theme="1"/>
        <rFont val="Arial"/>
        <family val="2"/>
      </rPr>
      <t>Male</t>
    </r>
  </si>
  <si>
    <r>
      <rPr>
        <sz val="9"/>
        <color theme="1"/>
        <rFont val="Arial"/>
        <family val="2"/>
      </rPr>
      <t>01/Mar/1985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</si>
  <si>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</si>
  <si>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</si>
  <si>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</si>
  <si>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</si>
  <si>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01/Mar/1985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</si>
  <si>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</si>
  <si>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</si>
  <si>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</si>
  <si>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</si>
  <si>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</si>
  <si>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</si>
  <si>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</si>
  <si>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</si>
  <si>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</si>
  <si>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</si>
  <si>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CHICAGOBR</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</si>
  <si>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</si>
  <si>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</si>
  <si>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</si>
  <si>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</si>
  <si>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</si>
  <si>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</si>
  <si>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</si>
  <si>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</si>
  <si>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</si>
  <si>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</si>
  <si>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</si>
  <si>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</si>
  <si>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</si>
  <si>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</si>
  <si>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</si>
  <si>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</si>
  <si>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</si>
  <si>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</si>
  <si>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</si>
  <si>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CINCINNAT</t>
    </r>
  </si>
  <si>
    <r>
      <rPr>
        <sz val="9"/>
        <color theme="1"/>
        <rFont val="Arial"/>
        <family val="2"/>
      </rPr>
      <t>M2151</t>
    </r>
  </si>
  <si>
    <r>
      <rPr>
        <sz val="9"/>
        <color theme="1"/>
        <rFont val="Arial"/>
        <family val="2"/>
      </rPr>
      <t>Male</t>
    </r>
  </si>
  <si>
    <r>
      <rPr>
        <sz val="9"/>
        <color rgb="FF000000"/>
        <rFont val="Arial"/>
        <family val="2"/>
      </rPr>
      <t xml:space="preserve">01/Jan/1985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</si>
  <si>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</si>
  <si>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</si>
  <si>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</si>
  <si>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</si>
  <si>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01/Jan/1985 +/-
</t>
    </r>
    <r>
      <rPr>
        <sz val="9"/>
        <color rgb="FF000000"/>
        <rFont val="Arial"/>
        <family val="2"/>
      </rPr>
      <t>6 month</t>
    </r>
  </si>
  <si>
    <r>
      <rPr>
        <sz val="9"/>
        <color theme="1"/>
        <rFont val="Arial"/>
        <family val="2"/>
      </rPr>
      <t>Viet Nam / ~</t>
    </r>
  </si>
  <si>
    <r>
      <rPr>
        <sz val="9"/>
        <color theme="1"/>
        <rFont val="Arial"/>
        <family val="2"/>
      </rPr>
      <t>Wild Capture</t>
    </r>
  </si>
  <si>
    <r>
      <rPr>
        <sz val="9"/>
        <color theme="1"/>
        <rFont val="Arial"/>
        <family val="2"/>
      </rPr>
      <t>01/Jan/1985 +/- 6 month</t>
    </r>
  </si>
  <si>
    <r>
      <rPr>
        <sz val="9"/>
        <color theme="1"/>
        <rFont val="Arial"/>
        <family val="2"/>
      </rPr>
      <t>Viet Nam / ~</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</si>
  <si>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</si>
  <si>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</si>
  <si>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</si>
  <si>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</si>
  <si>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</si>
  <si>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</si>
  <si>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</si>
  <si>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</si>
  <si>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</si>
  <si>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</si>
  <si>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</si>
  <si>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</si>
  <si>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</si>
  <si>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</si>
  <si>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</si>
  <si>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</si>
  <si>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</si>
  <si>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</si>
  <si>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M2152</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</si>
  <si>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</si>
  <si>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</si>
  <si>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</si>
  <si>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</si>
  <si>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</si>
  <si>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</si>
  <si>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</si>
  <si>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</si>
  <si>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</si>
  <si>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</si>
  <si>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</si>
  <si>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</si>
  <si>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</si>
  <si>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</si>
  <si>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</si>
  <si>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</si>
  <si>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</si>
  <si>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SKANAKV</t>
    </r>
  </si>
  <si>
    <r>
      <rPr>
        <sz val="9"/>
        <color theme="1"/>
        <rFont val="Arial"/>
        <family val="2"/>
      </rPr>
      <t>S-A01</t>
    </r>
  </si>
  <si>
    <r>
      <rPr>
        <sz val="9"/>
        <color theme="1"/>
        <rFont val="Arial"/>
        <family val="2"/>
      </rPr>
      <t>Male</t>
    </r>
  </si>
  <si>
    <r>
      <rPr>
        <sz val="9"/>
        <color theme="1"/>
        <rFont val="Arial"/>
        <family val="2"/>
      </rPr>
      <t>01/Jan/1983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</si>
  <si>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</si>
  <si>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</si>
  <si>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</si>
  <si>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</si>
  <si>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01/Jan/1983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</si>
  <si>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</si>
  <si>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</si>
  <si>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</si>
  <si>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</si>
  <si>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</si>
  <si>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01/Jan/1985 +/- 6 month</t>
    </r>
  </si>
  <si>
    <r>
      <rPr>
        <sz val="9"/>
        <color theme="1"/>
        <rFont val="Arial"/>
        <family val="2"/>
      </rPr>
      <t>SKANAKV</t>
    </r>
  </si>
  <si>
    <r>
      <rPr>
        <sz val="9"/>
        <color theme="1"/>
        <rFont val="Arial"/>
        <family val="2"/>
      </rPr>
      <t>GO LTF</t>
    </r>
  </si>
  <si>
    <r>
      <rPr>
        <sz val="9"/>
        <color theme="1"/>
        <rFont val="Arial"/>
        <family val="2"/>
      </rPr>
      <t>Undetermined</t>
    </r>
  </si>
  <si>
    <r>
      <rPr>
        <sz val="9"/>
        <color theme="1"/>
        <rFont val="Arial"/>
        <family val="2"/>
      </rPr>
      <t>SKANAKV</t>
    </r>
  </si>
  <si>
    <r>
      <rPr>
        <sz val="9"/>
        <color theme="1"/>
        <rFont val="Arial"/>
        <family val="2"/>
      </rPr>
      <t>CHICAGOBR</t>
    </r>
  </si>
  <si>
    <r>
      <rPr>
        <sz val="9"/>
        <color theme="1"/>
        <rFont val="Arial"/>
        <family val="2"/>
      </rPr>
      <t>Male</t>
    </r>
  </si>
  <si>
    <r>
      <rPr>
        <sz val="9"/>
        <color theme="1"/>
        <rFont val="Arial"/>
        <family val="2"/>
      </rPr>
      <t>01/Jan/1986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</si>
  <si>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</si>
  <si>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</si>
  <si>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</si>
  <si>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</si>
  <si>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01/Jan/1986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</si>
  <si>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</si>
  <si>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</si>
  <si>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</si>
  <si>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</si>
  <si>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</si>
  <si>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</si>
  <si>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</si>
  <si>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</si>
  <si>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</si>
  <si>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</si>
  <si>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</si>
  <si>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</si>
  <si>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SEATTLE</t>
    </r>
  </si>
  <si>
    <r>
      <rPr>
        <sz val="9"/>
        <color theme="1"/>
        <rFont val="Arial"/>
        <family val="2"/>
      </rPr>
      <t>Male</t>
    </r>
  </si>
  <si>
    <r>
      <rPr>
        <sz val="9"/>
        <color theme="1"/>
        <rFont val="Arial"/>
        <family val="2"/>
      </rPr>
      <t>01/Jan/1986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</si>
  <si>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</si>
  <si>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</si>
  <si>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</si>
  <si>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</si>
  <si>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01/Jan/1986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</si>
  <si>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</si>
  <si>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</si>
  <si>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</si>
  <si>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</si>
  <si>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</si>
  <si>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</si>
  <si>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</si>
  <si>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</si>
  <si>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Transfer</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</si>
  <si>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</si>
  <si>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</si>
  <si>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</si>
  <si>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CINCINNAT</t>
    </r>
  </si>
  <si>
    <r>
      <rPr>
        <sz val="9"/>
        <color theme="1"/>
        <rFont val="Arial"/>
        <family val="2"/>
      </rPr>
      <t>M2155</t>
    </r>
  </si>
  <si>
    <r>
      <rPr>
        <sz val="9"/>
        <color theme="1"/>
        <rFont val="Arial"/>
        <family val="2"/>
      </rPr>
      <t>Male</t>
    </r>
  </si>
  <si>
    <r>
      <rPr>
        <sz val="9"/>
        <color theme="1"/>
        <rFont val="Arial"/>
        <family val="2"/>
      </rPr>
      <t>01/Jan/1985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</si>
  <si>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</si>
  <si>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</si>
  <si>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</si>
  <si>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</si>
  <si>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01/Jan/1985 +/- 6 month</t>
    </r>
  </si>
  <si>
    <r>
      <rPr>
        <sz val="9"/>
        <color theme="1"/>
        <rFont val="Arial"/>
        <family val="2"/>
      </rPr>
      <t>Viet Nam / ~</t>
    </r>
  </si>
  <si>
    <r>
      <rPr>
        <sz val="9"/>
        <color theme="1"/>
        <rFont val="Arial"/>
        <family val="2"/>
      </rPr>
      <t>Wild Capture</t>
    </r>
  </si>
  <si>
    <r>
      <rPr>
        <sz val="9"/>
        <color rgb="FF000000"/>
        <rFont val="Arial"/>
        <family val="2"/>
      </rPr>
      <t xml:space="preserve">01/Jan/1985 +/-
</t>
    </r>
    <r>
      <rPr>
        <sz val="9"/>
        <color rgb="FF000000"/>
        <rFont val="Arial"/>
        <family val="2"/>
      </rPr>
      <t>6 month</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</si>
  <si>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</si>
  <si>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</si>
  <si>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</si>
  <si>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</si>
  <si>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</si>
  <si>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</si>
  <si>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</si>
  <si>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</si>
  <si>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M2156</t>
    </r>
  </si>
  <si>
    <r>
      <rPr>
        <sz val="9"/>
        <color theme="1"/>
        <rFont val="Arial"/>
        <family val="2"/>
      </rPr>
      <t>Male</t>
    </r>
  </si>
  <si>
    <r>
      <rPr>
        <sz val="9"/>
        <color theme="1"/>
        <rFont val="Arial"/>
        <family val="2"/>
      </rPr>
      <t>01/Jan/1986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</si>
  <si>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</si>
  <si>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</si>
  <si>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</si>
  <si>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</si>
  <si>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01/Jan/1986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</si>
  <si>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</si>
  <si>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</si>
  <si>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</si>
  <si>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</si>
  <si>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</si>
  <si>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</si>
  <si>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</si>
  <si>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</si>
  <si>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</si>
  <si>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</si>
  <si>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</si>
  <si>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</si>
  <si>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</si>
  <si>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</si>
  <si>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</si>
  <si>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</si>
  <si>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</si>
  <si>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</si>
  <si>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</si>
  <si>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</si>
  <si>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</si>
  <si>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</si>
  <si>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M2157</t>
    </r>
  </si>
  <si>
    <r>
      <rPr>
        <sz val="9"/>
        <color theme="1"/>
        <rFont val="Arial"/>
        <family val="2"/>
      </rPr>
      <t>Female</t>
    </r>
  </si>
  <si>
    <r>
      <rPr>
        <sz val="9"/>
        <color theme="1"/>
        <rFont val="Arial"/>
        <family val="2"/>
      </rPr>
      <t>01/Jan/1985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</si>
  <si>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</si>
  <si>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</si>
  <si>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</si>
  <si>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</si>
  <si>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01/Jan/1985 +/- 6 month</t>
    </r>
  </si>
  <si>
    <r>
      <rPr>
        <sz val="9"/>
        <color theme="1"/>
        <rFont val="Arial"/>
        <family val="2"/>
      </rPr>
      <t>Lao People's Democratic Republic / ~</t>
    </r>
  </si>
  <si>
    <r>
      <rPr>
        <sz val="9"/>
        <color theme="1"/>
        <rFont val="Arial"/>
        <family val="2"/>
      </rPr>
      <t>Wild Capture</t>
    </r>
  </si>
  <si>
    <r>
      <rPr>
        <sz val="9"/>
        <color theme="1"/>
        <rFont val="Arial"/>
        <family val="2"/>
      </rPr>
      <t>Undetermined</t>
    </r>
  </si>
  <si>
    <r>
      <rPr>
        <sz val="9"/>
        <color theme="1"/>
        <rFont val="Arial"/>
        <family val="2"/>
      </rPr>
      <t>Lao People's Democratic Republic / ~</t>
    </r>
  </si>
  <si>
    <r>
      <rPr>
        <sz val="9"/>
        <color theme="1"/>
        <rFont val="Arial"/>
        <family val="2"/>
      </rPr>
      <t>Transfer</t>
    </r>
  </si>
  <si>
    <r>
      <rPr>
        <sz val="9"/>
        <color theme="1"/>
        <rFont val="Arial"/>
        <family val="2"/>
      </rPr>
      <t>Undetermined</t>
    </r>
  </si>
  <si>
    <r>
      <rPr>
        <sz val="9"/>
        <color theme="1"/>
        <rFont val="Arial"/>
        <family val="2"/>
      </rPr>
      <t>FORSS</t>
    </r>
  </si>
  <si>
    <r>
      <rPr>
        <sz val="9"/>
        <color theme="1"/>
        <rFont val="Arial"/>
        <family val="2"/>
      </rPr>
      <t>Transfer</t>
    </r>
  </si>
  <si>
    <r>
      <rPr>
        <sz val="9"/>
        <color theme="1"/>
        <rFont val="Arial"/>
        <family val="2"/>
      </rPr>
      <t>POZNAN</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</si>
  <si>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</si>
  <si>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</si>
  <si>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</si>
  <si>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</si>
  <si>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</si>
  <si>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</si>
  <si>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</si>
  <si>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</si>
  <si>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</si>
  <si>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M2158</t>
    </r>
  </si>
  <si>
    <r>
      <rPr>
        <sz val="9"/>
        <color theme="1"/>
        <rFont val="Arial"/>
        <family val="2"/>
      </rPr>
      <t>Female</t>
    </r>
  </si>
  <si>
    <r>
      <rPr>
        <sz val="9"/>
        <color rgb="FF000000"/>
        <rFont val="Arial"/>
        <family val="2"/>
      </rPr>
      <t xml:space="preserve">01/Jan/1985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</si>
  <si>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</si>
  <si>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</si>
  <si>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</si>
  <si>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</si>
  <si>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01/Jan/1985 +/-
</t>
    </r>
    <r>
      <rPr>
        <sz val="9"/>
        <color rgb="FF000000"/>
        <rFont val="Arial"/>
        <family val="2"/>
      </rPr>
      <t>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</si>
  <si>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</si>
  <si>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</si>
  <si>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</si>
  <si>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</si>
  <si>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</si>
  <si>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</si>
  <si>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FORSS</t>
    </r>
  </si>
  <si>
    <r>
      <rPr>
        <sz val="9"/>
        <color theme="1"/>
        <rFont val="Arial"/>
        <family val="2"/>
      </rPr>
      <t>Transfer</t>
    </r>
  </si>
  <si>
    <r>
      <rPr>
        <sz val="9"/>
        <color theme="1"/>
        <rFont val="Arial"/>
        <family val="2"/>
      </rPr>
      <t>POZNAN</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</si>
  <si>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</si>
  <si>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</si>
  <si>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</si>
  <si>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</si>
  <si>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</si>
  <si>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</si>
  <si>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</si>
  <si>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M2159</t>
    </r>
  </si>
  <si>
    <r>
      <rPr>
        <sz val="9"/>
        <color theme="1"/>
        <rFont val="Arial"/>
        <family val="2"/>
      </rPr>
      <t>Female</t>
    </r>
  </si>
  <si>
    <r>
      <rPr>
        <sz val="9"/>
        <color theme="1"/>
        <rFont val="Arial"/>
        <family val="2"/>
      </rPr>
      <t>01/Jan/1986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</si>
  <si>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</si>
  <si>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</si>
  <si>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</si>
  <si>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</si>
  <si>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01/Jan/1986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</si>
  <si>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</si>
  <si>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</si>
  <si>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</si>
  <si>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</si>
  <si>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</si>
  <si>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</si>
  <si>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FORSS</t>
    </r>
  </si>
  <si>
    <r>
      <rPr>
        <sz val="9"/>
        <color theme="1"/>
        <rFont val="Arial"/>
        <family val="2"/>
      </rPr>
      <t>Transfer</t>
    </r>
  </si>
  <si>
    <r>
      <rPr>
        <sz val="9"/>
        <color theme="1"/>
        <rFont val="Arial"/>
        <family val="2"/>
      </rPr>
      <t>POZNAN</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</si>
  <si>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</si>
  <si>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</si>
  <si>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</si>
  <si>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</si>
  <si>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</si>
  <si>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</si>
  <si>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</si>
  <si>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M2160</t>
    </r>
  </si>
  <si>
    <r>
      <rPr>
        <sz val="9"/>
        <color theme="1"/>
        <rFont val="Arial"/>
        <family val="2"/>
      </rPr>
      <t>Female</t>
    </r>
  </si>
  <si>
    <r>
      <rPr>
        <sz val="9"/>
        <color theme="1"/>
        <rFont val="Arial"/>
        <family val="2"/>
      </rPr>
      <t>01/Jan/1986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</si>
  <si>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</si>
  <si>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</si>
  <si>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</si>
  <si>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</si>
  <si>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01/Jan/1986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</si>
  <si>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</si>
  <si>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</si>
  <si>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</si>
  <si>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</si>
  <si>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</si>
  <si>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</si>
  <si>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</si>
  <si>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</si>
  <si>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</si>
  <si>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</si>
  <si>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</si>
  <si>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M2161</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</si>
  <si>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</si>
  <si>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</si>
  <si>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</si>
  <si>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</si>
  <si>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</si>
  <si>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</si>
  <si>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</si>
  <si>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</si>
  <si>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</si>
  <si>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</si>
  <si>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</si>
  <si>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</si>
  <si>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SKANAKV</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</si>
  <si>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</si>
  <si>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</si>
  <si>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</si>
  <si>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</si>
  <si>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</si>
  <si>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</si>
  <si>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</si>
  <si>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</si>
  <si>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</si>
  <si>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</si>
  <si>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</si>
  <si>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</si>
  <si>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</si>
  <si>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</si>
  <si>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</si>
  <si>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PHILADELP</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</si>
  <si>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</si>
  <si>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</si>
  <si>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</si>
  <si>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</si>
  <si>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</si>
  <si>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</si>
  <si>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</si>
  <si>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</si>
  <si>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</si>
  <si>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</si>
  <si>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</si>
  <si>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</si>
  <si>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Undetermined</t>
    </r>
  </si>
  <si>
    <r>
      <rPr>
        <sz val="9"/>
        <color theme="1"/>
        <rFont val="Arial"/>
        <family val="2"/>
      </rPr>
      <t>WORLDWIDE</t>
    </r>
  </si>
  <si>
    <r>
      <rPr>
        <sz val="9"/>
        <color theme="1"/>
        <rFont val="Arial"/>
        <family val="2"/>
      </rPr>
      <t>Transfer</t>
    </r>
  </si>
  <si>
    <r>
      <rPr>
        <sz val="9"/>
        <color theme="1"/>
        <rFont val="Arial"/>
        <family val="2"/>
      </rPr>
      <t>CINCINNAT</t>
    </r>
  </si>
  <si>
    <r>
      <rPr>
        <sz val="9"/>
        <color theme="1"/>
        <rFont val="Arial"/>
        <family val="2"/>
      </rPr>
      <t>Transfer</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</si>
  <si>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</si>
  <si>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</si>
  <si>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</si>
  <si>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PHILADELP</t>
    </r>
  </si>
  <si>
    <r>
      <rPr>
        <sz val="9"/>
        <color theme="1"/>
        <rFont val="Arial"/>
        <family val="2"/>
      </rPr>
      <t>Female</t>
    </r>
  </si>
  <si>
    <r>
      <rPr>
        <sz val="9"/>
        <color theme="1"/>
        <rFont val="Arial"/>
        <family val="2"/>
      </rPr>
      <t>01/Jan/1986 +/- 6 month</t>
    </r>
  </si>
  <si>
    <r>
      <rPr>
        <sz val="9"/>
        <color theme="1"/>
        <rFont val="Arial"/>
        <family val="2"/>
      </rPr>
      <t>Captive Birth/Hatch</t>
    </r>
  </si>
  <si>
    <r>
      <rPr>
        <sz val="9"/>
        <color theme="1"/>
        <rFont val="Arial"/>
        <family val="2"/>
      </rPr>
      <t>Birth/Hatch</t>
    </r>
  </si>
  <si>
    <r>
      <rPr>
        <sz val="9"/>
        <color theme="1"/>
        <rFont val="Arial"/>
        <family val="2"/>
      </rPr>
      <t>01/Jan/1986 +/- 6 month</t>
    </r>
  </si>
  <si>
    <r>
      <rPr>
        <sz val="9"/>
        <color theme="1"/>
        <rFont val="Arial"/>
        <family val="2"/>
      </rPr>
      <t>SKANAKV</t>
    </r>
  </si>
  <si>
    <r>
      <rPr>
        <sz val="9"/>
        <color theme="1"/>
        <rFont val="Arial"/>
        <family val="2"/>
      </rPr>
      <t>Transfer</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</si>
  <si>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</si>
  <si>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</si>
  <si>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</si>
  <si>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</si>
  <si>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</si>
  <si>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01/Dec/1986 +/- 6 month</t>
    </r>
  </si>
  <si>
    <r>
      <rPr>
        <sz val="9"/>
        <color theme="1"/>
        <rFont val="Arial"/>
        <family val="2"/>
      </rPr>
      <t>Captive Birth/Hatch</t>
    </r>
  </si>
  <si>
    <r>
      <rPr>
        <sz val="9"/>
        <color theme="1"/>
        <rFont val="Arial"/>
        <family val="2"/>
      </rPr>
      <t>Birth/Hatch</t>
    </r>
  </si>
  <si>
    <r>
      <rPr>
        <sz val="9"/>
        <color theme="1"/>
        <rFont val="Arial"/>
        <family val="2"/>
      </rPr>
      <t>01/Dec/1986 +/- 6 month</t>
    </r>
  </si>
  <si>
    <r>
      <rPr>
        <sz val="9"/>
        <color theme="1"/>
        <rFont val="Arial"/>
        <family val="2"/>
      </rPr>
      <t>SKANAKV</t>
    </r>
  </si>
  <si>
    <r>
      <rPr>
        <sz val="9"/>
        <color theme="1"/>
        <rFont val="Arial"/>
        <family val="2"/>
      </rPr>
      <t>Transfer</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</si>
  <si>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</si>
  <si>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</si>
  <si>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</si>
  <si>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HOUSTON</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</si>
  <si>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</si>
  <si>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</si>
  <si>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</si>
  <si>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</si>
  <si>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</si>
  <si>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</si>
  <si>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</si>
  <si>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</si>
  <si>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</si>
  <si>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</si>
  <si>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</si>
  <si>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</si>
  <si>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SAN FRAN</t>
    </r>
  </si>
  <si>
    <r>
      <rPr>
        <sz val="9"/>
        <color theme="1"/>
        <rFont val="Arial"/>
        <family val="2"/>
      </rPr>
      <t>Transfer</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</si>
  <si>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</si>
  <si>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</si>
  <si>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</si>
  <si>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SEATTLE</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</si>
  <si>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</si>
  <si>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</si>
  <si>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</si>
  <si>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</si>
  <si>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</si>
  <si>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</si>
  <si>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</si>
  <si>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</si>
  <si>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</si>
  <si>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</si>
  <si>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</si>
  <si>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</si>
  <si>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Undetermined</t>
    </r>
  </si>
  <si>
    <r>
      <rPr>
        <sz val="9"/>
        <color theme="1"/>
        <rFont val="Arial"/>
        <family val="2"/>
      </rPr>
      <t>CA FG SD</t>
    </r>
  </si>
  <si>
    <r>
      <rPr>
        <sz val="9"/>
        <color theme="1"/>
        <rFont val="Arial"/>
        <family val="2"/>
      </rPr>
      <t>Transfer</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</si>
  <si>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</si>
  <si>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</si>
  <si>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</si>
  <si>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HOUSTON</t>
    </r>
  </si>
  <si>
    <r>
      <rPr>
        <sz val="9"/>
        <color theme="1"/>
        <rFont val="Arial"/>
        <family val="2"/>
      </rPr>
      <t>Female</t>
    </r>
  </si>
  <si>
    <r>
      <rPr>
        <sz val="9"/>
        <color theme="1"/>
        <rFont val="Arial"/>
        <family val="2"/>
      </rPr>
      <t>01/Jan/1984 +/- 15 day</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</si>
  <si>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</si>
  <si>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</si>
  <si>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</si>
  <si>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</si>
  <si>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01/Jan/1984 +/- 15 day</t>
    </r>
  </si>
  <si>
    <r>
      <rPr>
        <sz val="9"/>
        <color theme="1"/>
        <rFont val="Arial"/>
        <family val="2"/>
      </rPr>
      <t>Thailand / ~</t>
    </r>
  </si>
  <si>
    <r>
      <rPr>
        <sz val="9"/>
        <color theme="1"/>
        <rFont val="Arial"/>
        <family val="2"/>
      </rPr>
      <t>Wild Capture</t>
    </r>
  </si>
  <si>
    <r>
      <rPr>
        <sz val="9"/>
        <color theme="1"/>
        <rFont val="Arial"/>
        <family val="2"/>
      </rPr>
      <t>Undetermined</t>
    </r>
  </si>
  <si>
    <r>
      <rPr>
        <sz val="9"/>
        <color theme="1"/>
        <rFont val="Arial"/>
        <family val="2"/>
      </rPr>
      <t>Thailand / ~</t>
    </r>
  </si>
  <si>
    <r>
      <rPr>
        <sz val="9"/>
        <color theme="1"/>
        <rFont val="Arial"/>
        <family val="2"/>
      </rPr>
      <t>Transfer</t>
    </r>
  </si>
  <si>
    <r>
      <rPr>
        <sz val="9"/>
        <color theme="1"/>
        <rFont val="Arial"/>
        <family val="2"/>
      </rPr>
      <t>Undetermined</t>
    </r>
  </si>
  <si>
    <r>
      <rPr>
        <sz val="9"/>
        <color theme="1"/>
        <rFont val="Arial"/>
        <family val="2"/>
      </rPr>
      <t>CA FG SD</t>
    </r>
  </si>
  <si>
    <r>
      <rPr>
        <sz val="9"/>
        <color theme="1"/>
        <rFont val="Arial"/>
        <family val="2"/>
      </rPr>
      <t>Transfer</t>
    </r>
  </si>
  <si>
    <r>
      <rPr>
        <sz val="9"/>
        <color theme="1"/>
        <rFont val="Arial"/>
        <family val="2"/>
      </rPr>
      <t>SEATTLE</t>
    </r>
  </si>
  <si>
    <r>
      <rPr>
        <sz val="9"/>
        <color theme="1"/>
        <rFont val="Arial"/>
        <family val="2"/>
      </rPr>
      <t>Transfer</t>
    </r>
  </si>
  <si>
    <r>
      <rPr>
        <sz val="9"/>
        <color theme="1"/>
        <rFont val="Arial"/>
        <family val="2"/>
      </rPr>
      <t>DUKE PRIM</t>
    </r>
  </si>
  <si>
    <r>
      <rPr>
        <sz val="9"/>
        <color theme="1"/>
        <rFont val="Arial"/>
        <family val="2"/>
      </rPr>
      <t>Transfer</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</si>
  <si>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</si>
  <si>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</si>
  <si>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</si>
  <si>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HOUSTON</t>
    </r>
  </si>
  <si>
    <r>
      <rPr>
        <sz val="9"/>
        <color theme="1"/>
        <rFont val="Arial"/>
        <family val="2"/>
      </rPr>
      <t>Male</t>
    </r>
  </si>
  <si>
    <r>
      <rPr>
        <sz val="9"/>
        <color theme="1"/>
        <rFont val="Arial"/>
        <family val="2"/>
      </rPr>
      <t>UND</t>
    </r>
  </si>
  <si>
    <r>
      <rPr>
        <sz val="9"/>
        <color theme="1"/>
        <rFont val="Arial"/>
        <family val="2"/>
      </rPr>
      <t>Captive Birth/Hatch</t>
    </r>
  </si>
  <si>
    <r>
      <rPr>
        <sz val="9"/>
        <color theme="1"/>
        <rFont val="Arial"/>
        <family val="2"/>
      </rPr>
      <t>Birth/Hatch</t>
    </r>
  </si>
  <si>
    <r>
      <rPr>
        <sz val="9"/>
        <color theme="1"/>
        <rFont val="Arial"/>
        <family val="2"/>
      </rPr>
      <t>POZNAN</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</si>
  <si>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</si>
  <si>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</si>
  <si>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</si>
  <si>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SKANAKV</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</si>
  <si>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</si>
  <si>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</si>
  <si>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</si>
  <si>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</si>
  <si>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</si>
  <si>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</si>
  <si>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</si>
  <si>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</si>
  <si>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</si>
  <si>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</si>
  <si>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</si>
  <si>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</si>
  <si>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SAN FRAN</t>
    </r>
  </si>
  <si>
    <r>
      <rPr>
        <sz val="9"/>
        <color theme="1"/>
        <rFont val="Arial"/>
        <family val="2"/>
      </rPr>
      <t>Transfer</t>
    </r>
  </si>
  <si>
    <r>
      <rPr>
        <sz val="9"/>
        <color theme="1"/>
        <rFont val="Arial"/>
        <family val="2"/>
      </rPr>
      <t>SAN FRAN</t>
    </r>
  </si>
  <si>
    <r>
      <rPr>
        <sz val="9"/>
        <color theme="1"/>
        <rFont val="Arial"/>
        <family val="2"/>
      </rPr>
      <t>Transfer</t>
    </r>
  </si>
  <si>
    <r>
      <rPr>
        <sz val="9"/>
        <color theme="1"/>
        <rFont val="Arial"/>
        <family val="2"/>
      </rPr>
      <t>HOUSTON</t>
    </r>
  </si>
  <si>
    <r>
      <rPr>
        <sz val="9"/>
        <color theme="1"/>
        <rFont val="Arial"/>
        <family val="2"/>
      </rPr>
      <t>Transfer</t>
    </r>
  </si>
  <si>
    <r>
      <rPr>
        <sz val="9"/>
        <color theme="1"/>
        <rFont val="Arial"/>
        <family val="2"/>
      </rPr>
      <t>PUEBLO</t>
    </r>
  </si>
  <si>
    <r>
      <rPr>
        <sz val="9"/>
        <color theme="1"/>
        <rFont val="Arial"/>
        <family val="2"/>
      </rPr>
      <t>Transfer</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</si>
  <si>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</si>
  <si>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</si>
  <si>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</si>
  <si>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HOUSTON</t>
    </r>
  </si>
  <si>
    <r>
      <rPr>
        <sz val="9"/>
        <color theme="1"/>
        <rFont val="Arial"/>
        <family val="2"/>
      </rPr>
      <t>Female</t>
    </r>
  </si>
  <si>
    <r>
      <rPr>
        <sz val="9"/>
        <color theme="1"/>
        <rFont val="Arial"/>
        <family val="2"/>
      </rPr>
      <t>UND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</si>
  <si>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</si>
  <si>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</si>
  <si>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POZNAN</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</si>
  <si>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</si>
  <si>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</si>
  <si>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</si>
  <si>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SKANAKV</t>
    </r>
  </si>
  <si>
    <r>
      <rPr>
        <sz val="9"/>
        <color theme="1"/>
        <rFont val="Arial"/>
        <family val="2"/>
      </rPr>
      <t>Transfer</t>
    </r>
  </si>
  <si>
    <r>
      <rPr>
        <sz val="9"/>
        <color theme="1"/>
        <rFont val="Arial"/>
        <family val="2"/>
      </rPr>
      <t>SAN FRAN</t>
    </r>
  </si>
  <si>
    <r>
      <rPr>
        <sz val="9"/>
        <color theme="1"/>
        <rFont val="Arial"/>
        <family val="2"/>
      </rPr>
      <t>Transfer</t>
    </r>
  </si>
  <si>
    <r>
      <rPr>
        <sz val="9"/>
        <color theme="1"/>
        <rFont val="Arial"/>
        <family val="2"/>
      </rPr>
      <t>SAN FRAN</t>
    </r>
  </si>
  <si>
    <r>
      <rPr>
        <sz val="9"/>
        <color theme="1"/>
        <rFont val="Arial"/>
        <family val="2"/>
      </rPr>
      <t>Transfer</t>
    </r>
  </si>
  <si>
    <r>
      <rPr>
        <sz val="9"/>
        <color theme="1"/>
        <rFont val="Arial"/>
        <family val="2"/>
      </rPr>
      <t>HOUSTON</t>
    </r>
  </si>
  <si>
    <r>
      <rPr>
        <sz val="9"/>
        <color theme="1"/>
        <rFont val="Arial"/>
        <family val="2"/>
      </rPr>
      <t>Transfer</t>
    </r>
  </si>
  <si>
    <r>
      <rPr>
        <sz val="9"/>
        <color theme="1"/>
        <rFont val="Arial"/>
        <family val="2"/>
      </rPr>
      <t>PUEBLO</t>
    </r>
  </si>
  <si>
    <r>
      <rPr>
        <sz val="9"/>
        <color theme="1"/>
        <rFont val="Arial"/>
        <family val="2"/>
      </rPr>
      <t>Transfer</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</si>
  <si>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</si>
  <si>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</si>
  <si>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</si>
  <si>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DUKE PRIM</t>
    </r>
  </si>
  <si>
    <r>
      <rPr>
        <sz val="9"/>
        <color theme="1"/>
        <rFont val="Arial"/>
        <family val="2"/>
      </rPr>
      <t>Male</t>
    </r>
  </si>
  <si>
    <r>
      <rPr>
        <sz val="9"/>
        <color theme="1"/>
        <rFont val="Arial"/>
        <family val="2"/>
      </rPr>
      <t>UND</t>
    </r>
  </si>
  <si>
    <r>
      <rPr>
        <sz val="9"/>
        <color theme="1"/>
        <rFont val="Arial"/>
        <family val="2"/>
      </rPr>
      <t>Captive Birth/Hatch</t>
    </r>
  </si>
  <si>
    <r>
      <rPr>
        <sz val="9"/>
        <color theme="1"/>
        <rFont val="Arial"/>
        <family val="2"/>
      </rPr>
      <t>Birth/Hatch</t>
    </r>
  </si>
  <si>
    <r>
      <rPr>
        <sz val="9"/>
        <color theme="1"/>
        <rFont val="Arial"/>
        <family val="2"/>
      </rPr>
      <t>SKANAKV</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</si>
  <si>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</si>
  <si>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</si>
  <si>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</si>
  <si>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</si>
  <si>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</si>
  <si>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</si>
  <si>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</si>
  <si>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</si>
  <si>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</si>
  <si>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</si>
  <si>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</si>
  <si>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</si>
  <si>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</si>
  <si>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</si>
  <si>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</si>
  <si>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</si>
  <si>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</si>
  <si>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</si>
  <si>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</si>
  <si>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</si>
  <si>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</si>
  <si>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</si>
  <si>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</si>
  <si>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</si>
  <si>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</si>
  <si>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</si>
  <si>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</si>
  <si>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</si>
  <si>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</si>
  <si>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CINCINNAT</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</si>
  <si>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</si>
  <si>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</si>
  <si>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</si>
  <si>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</si>
  <si>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CINCINNAT</t>
    </r>
  </si>
  <si>
    <r>
      <rPr>
        <sz val="9"/>
        <color theme="1"/>
        <rFont val="Arial"/>
        <family val="2"/>
      </rPr>
      <t>M2201</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</si>
  <si>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</si>
  <si>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</si>
  <si>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</si>
  <si>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</si>
  <si>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</si>
  <si>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</si>
  <si>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CRYSTAL G</t>
    </r>
  </si>
  <si>
    <r>
      <rPr>
        <sz val="9"/>
        <color theme="1"/>
        <rFont val="Arial"/>
        <family val="2"/>
      </rPr>
      <t>CGNPO5</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</si>
  <si>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</si>
  <si>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</si>
  <si>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</si>
  <si>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CRYSTAL G</t>
    </r>
  </si>
  <si>
    <r>
      <rPr>
        <sz val="9"/>
        <color theme="1"/>
        <rFont val="Arial"/>
        <family val="2"/>
      </rPr>
      <t>Death</t>
    </r>
  </si>
  <si>
    <r>
      <rPr>
        <sz val="9"/>
        <color theme="1"/>
        <rFont val="Arial"/>
        <family val="2"/>
      </rPr>
      <t>CRYSTAL G</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</si>
  <si>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</si>
  <si>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</si>
  <si>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</si>
  <si>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</si>
  <si>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</si>
  <si>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</si>
  <si>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</si>
  <si>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</si>
  <si>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</si>
  <si>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</si>
  <si>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</si>
  <si>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CHICAGOBR</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</si>
  <si>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</si>
  <si>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</si>
  <si>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</si>
  <si>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</si>
  <si>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</si>
  <si>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</si>
  <si>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OMAHA</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</si>
  <si>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</si>
  <si>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</si>
  <si>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</si>
  <si>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</si>
  <si>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</si>
  <si>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</si>
  <si>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</si>
  <si>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</si>
  <si>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OMAHA</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</si>
  <si>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</si>
  <si>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</si>
  <si>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</si>
  <si>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</si>
  <si>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</si>
  <si>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</si>
  <si>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</si>
  <si>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</si>
  <si>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CINCINNAT</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</si>
  <si>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</si>
  <si>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</si>
  <si>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</si>
  <si>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</si>
  <si>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</si>
  <si>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</si>
  <si>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</si>
  <si>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</si>
  <si>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</si>
  <si>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</si>
  <si>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</si>
  <si>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</si>
  <si>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</si>
  <si>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</si>
  <si>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</si>
  <si>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</si>
  <si>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</si>
  <si>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</si>
  <si>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</si>
  <si>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</si>
  <si>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</si>
  <si>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</si>
  <si>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SD-WAP</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</si>
  <si>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</si>
  <si>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</si>
  <si>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</si>
  <si>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</si>
  <si>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</si>
  <si>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SD-WAP</t>
    </r>
  </si>
  <si>
    <r>
      <rPr>
        <sz val="9"/>
        <color theme="1"/>
        <rFont val="Arial"/>
        <family val="2"/>
      </rPr>
      <t>Death</t>
    </r>
  </si>
  <si>
    <r>
      <rPr>
        <sz val="9"/>
        <color theme="1"/>
        <rFont val="Arial"/>
        <family val="2"/>
      </rPr>
      <t>SD-WAP</t>
    </r>
  </si>
  <si>
    <r>
      <rPr>
        <sz val="9"/>
        <color theme="1"/>
        <rFont val="Arial"/>
        <family val="2"/>
      </rPr>
      <t>SANDIEGOZ</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</si>
  <si>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</si>
  <si>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</si>
  <si>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</si>
  <si>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</si>
  <si>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</si>
  <si>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</si>
  <si>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CINCINNAT</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</si>
  <si>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</si>
  <si>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</si>
  <si>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</si>
  <si>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</si>
  <si>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</si>
  <si>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</si>
  <si>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CINCINNAT</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</si>
  <si>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</si>
  <si>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</si>
  <si>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</si>
  <si>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</si>
  <si>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</si>
  <si>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</si>
  <si>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</si>
  <si>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</si>
  <si>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SEATTLE</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</si>
  <si>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</si>
  <si>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</si>
  <si>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</si>
  <si>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</si>
  <si>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</si>
  <si>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</si>
  <si>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</si>
  <si>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</si>
  <si>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CLEVELAND</t>
    </r>
  </si>
  <si>
    <r>
      <rPr>
        <sz val="9"/>
        <color theme="1"/>
        <rFont val="Arial"/>
        <family val="2"/>
      </rPr>
      <t>M20711</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</si>
  <si>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</si>
  <si>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</si>
  <si>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</si>
  <si>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</si>
  <si>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</si>
  <si>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</si>
  <si>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</si>
  <si>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</si>
  <si>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</si>
  <si>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</si>
  <si>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</si>
  <si>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</si>
  <si>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</si>
  <si>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</si>
  <si>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</si>
  <si>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</si>
  <si>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</si>
  <si>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</si>
  <si>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</si>
  <si>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</si>
  <si>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</si>
  <si>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</si>
  <si>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</si>
  <si>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HOUSTON</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</si>
  <si>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</si>
  <si>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</si>
  <si>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</si>
  <si>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</si>
  <si>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HOUSTON</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</si>
  <si>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</si>
  <si>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</si>
  <si>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</si>
  <si>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</si>
  <si>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</si>
  <si>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</si>
  <si>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PAIGNTON</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</si>
  <si>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</si>
  <si>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</si>
  <si>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</si>
  <si>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</si>
  <si>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</si>
  <si>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PAIGNTON</t>
    </r>
  </si>
  <si>
    <r>
      <rPr>
        <sz val="9"/>
        <color theme="1"/>
        <rFont val="Arial"/>
        <family val="2"/>
      </rPr>
      <t>Transfer</t>
    </r>
  </si>
  <si>
    <r>
      <rPr>
        <sz val="9"/>
        <color theme="1"/>
        <rFont val="Arial"/>
        <family val="2"/>
      </rPr>
      <t>SHALDON</t>
    </r>
  </si>
  <si>
    <r>
      <rPr>
        <sz val="9"/>
        <color theme="1"/>
        <rFont val="Arial"/>
        <family val="2"/>
      </rPr>
      <t>Transfer</t>
    </r>
  </si>
  <si>
    <r>
      <rPr>
        <sz val="9"/>
        <color theme="1"/>
        <rFont val="Arial"/>
        <family val="2"/>
      </rPr>
      <t>PAIGNTON</t>
    </r>
  </si>
  <si>
    <r>
      <rPr>
        <sz val="9"/>
        <color theme="1"/>
        <rFont val="Arial"/>
        <family val="2"/>
      </rPr>
      <t>Death</t>
    </r>
  </si>
  <si>
    <r>
      <rPr>
        <sz val="9"/>
        <color theme="1"/>
        <rFont val="Arial"/>
        <family val="2"/>
      </rPr>
      <t>PAIGNTON</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</si>
  <si>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</si>
  <si>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</si>
  <si>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</si>
  <si>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</si>
  <si>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</si>
  <si>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</si>
  <si>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</si>
  <si>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</si>
  <si>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</si>
  <si>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</si>
  <si>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</si>
  <si>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</si>
  <si>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</si>
  <si>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</si>
  <si>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</si>
  <si>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</si>
  <si>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</si>
  <si>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</si>
  <si>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</si>
  <si>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</si>
  <si>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</si>
  <si>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PAIGNTON</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</si>
  <si>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</si>
  <si>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</si>
  <si>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</si>
  <si>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</si>
  <si>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</si>
  <si>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PAIGNTON</t>
    </r>
  </si>
  <si>
    <r>
      <rPr>
        <sz val="9"/>
        <color theme="1"/>
        <rFont val="Arial"/>
        <family val="2"/>
      </rPr>
      <t>Death</t>
    </r>
  </si>
  <si>
    <r>
      <rPr>
        <sz val="9"/>
        <color theme="1"/>
        <rFont val="Arial"/>
        <family val="2"/>
      </rPr>
      <t>PAIGNTON</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</si>
  <si>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</si>
  <si>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</si>
  <si>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</si>
  <si>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</si>
  <si>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</si>
  <si>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</si>
  <si>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</si>
  <si>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CLEVELAND</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</si>
  <si>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</si>
  <si>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</si>
  <si>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</si>
  <si>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</si>
  <si>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</si>
  <si>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</si>
  <si>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</si>
  <si>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</si>
  <si>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CLEVELAND</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</si>
  <si>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</si>
  <si>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</si>
  <si>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</si>
  <si>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</si>
  <si>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</si>
  <si>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</si>
  <si>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</si>
  <si>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</si>
  <si>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CRYSTAL G</t>
    </r>
  </si>
  <si>
    <r>
      <rPr>
        <sz val="9"/>
        <color theme="1"/>
        <rFont val="Arial"/>
        <family val="2"/>
      </rPr>
      <t>CGNP03</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</si>
  <si>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</si>
  <si>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</si>
  <si>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</si>
  <si>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CRYSTAL G</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</si>
  <si>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</si>
  <si>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</si>
  <si>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</si>
  <si>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</si>
  <si>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</si>
  <si>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</si>
  <si>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</si>
  <si>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</si>
  <si>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</si>
  <si>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</si>
  <si>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</si>
  <si>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Death</t>
    </r>
  </si>
  <si>
    <r>
      <rPr>
        <sz val="9"/>
        <color theme="1"/>
        <rFont val="Arial"/>
        <family val="2"/>
      </rPr>
      <t>01/Apr/1993 +/- 1 day</t>
    </r>
  </si>
  <si>
    <r>
      <rPr>
        <sz val="9"/>
        <color theme="1"/>
        <rFont val="Arial"/>
        <family val="2"/>
      </rPr>
      <t>CRYSTAL G</t>
    </r>
  </si>
  <si>
    <r>
      <rPr>
        <sz val="9"/>
        <color theme="1"/>
        <rFont val="Arial"/>
        <family val="2"/>
      </rPr>
      <t>CRYSTAL G</t>
    </r>
  </si>
  <si>
    <r>
      <rPr>
        <sz val="9"/>
        <color theme="1"/>
        <rFont val="Arial"/>
        <family val="2"/>
      </rPr>
      <t>CGNP04</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</si>
  <si>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</si>
  <si>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</si>
  <si>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</si>
  <si>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CRYSTAL G</t>
    </r>
  </si>
  <si>
    <r>
      <rPr>
        <sz val="9"/>
        <color theme="1"/>
        <rFont val="Arial"/>
        <family val="2"/>
      </rPr>
      <t>Death</t>
    </r>
  </si>
  <si>
    <r>
      <rPr>
        <sz val="9"/>
        <color theme="1"/>
        <rFont val="Arial"/>
        <family val="2"/>
      </rPr>
      <t>31/Dec/1995 +/- 15 day</t>
    </r>
  </si>
  <si>
    <r>
      <rPr>
        <sz val="9"/>
        <color theme="1"/>
        <rFont val="Arial"/>
        <family val="2"/>
      </rPr>
      <t>CRYSTAL G</t>
    </r>
  </si>
  <si>
    <r>
      <rPr>
        <sz val="9"/>
        <color theme="1"/>
        <rFont val="Arial"/>
        <family val="2"/>
      </rPr>
      <t>CLEVELAND</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</si>
  <si>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</si>
  <si>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</si>
  <si>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</si>
  <si>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</si>
  <si>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</si>
  <si>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</si>
  <si>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</si>
  <si>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</si>
  <si>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</si>
  <si>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</si>
  <si>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</si>
  <si>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</si>
  <si>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</si>
  <si>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</si>
  <si>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</si>
  <si>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NY BRONX</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</si>
  <si>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</si>
  <si>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</si>
  <si>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</si>
  <si>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</si>
  <si>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OMAHA</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</si>
  <si>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</si>
  <si>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</si>
  <si>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</si>
  <si>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HOUSTON</t>
    </r>
  </si>
  <si>
    <r>
      <rPr>
        <sz val="9"/>
        <color theme="1"/>
        <rFont val="Arial"/>
        <family val="2"/>
      </rPr>
      <t>Transfer</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</si>
  <si>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</si>
  <si>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</si>
  <si>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</si>
  <si>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</si>
  <si>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</si>
  <si>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HOUSTON</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</si>
  <si>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</si>
  <si>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</si>
  <si>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</si>
  <si>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</si>
  <si>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</si>
  <si>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</si>
  <si>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</si>
  <si>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</si>
  <si>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</si>
  <si>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</si>
  <si>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</si>
  <si>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</si>
  <si>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</si>
  <si>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PAIGNTON</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</si>
  <si>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</si>
  <si>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</si>
  <si>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</si>
  <si>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</si>
  <si>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</si>
  <si>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PAIGNTON</t>
    </r>
  </si>
  <si>
    <r>
      <rPr>
        <sz val="9"/>
        <color theme="1"/>
        <rFont val="Arial"/>
        <family val="2"/>
      </rPr>
      <t>Death</t>
    </r>
  </si>
  <si>
    <r>
      <rPr>
        <sz val="9"/>
        <color theme="1"/>
        <rFont val="Arial"/>
        <family val="2"/>
      </rPr>
      <t>PAIGNTON</t>
    </r>
  </si>
  <si>
    <r>
      <rPr>
        <sz val="9"/>
        <color theme="1"/>
        <rFont val="Arial"/>
        <family val="2"/>
      </rPr>
      <t>WHEELING</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</si>
  <si>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</si>
  <si>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</si>
  <si>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</si>
  <si>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</si>
  <si>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</si>
  <si>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WHEELING</t>
    </r>
  </si>
  <si>
    <r>
      <rPr>
        <sz val="9"/>
        <color theme="1"/>
        <rFont val="Arial"/>
        <family val="2"/>
      </rPr>
      <t>Death</t>
    </r>
  </si>
  <si>
    <r>
      <rPr>
        <sz val="9"/>
        <color theme="1"/>
        <rFont val="Arial"/>
        <family val="2"/>
      </rPr>
      <t>WHEELING</t>
    </r>
  </si>
  <si>
    <r>
      <rPr>
        <sz val="9"/>
        <color theme="1"/>
        <rFont val="Arial"/>
        <family val="2"/>
      </rPr>
      <t>PHILADELP</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</si>
  <si>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</si>
  <si>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</si>
  <si>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</si>
  <si>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</si>
  <si>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</si>
  <si>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</si>
  <si>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PHILADELP</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</si>
  <si>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</si>
  <si>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</si>
  <si>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</si>
  <si>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</si>
  <si>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</si>
  <si>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</si>
  <si>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PHILADELP</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</si>
  <si>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</si>
  <si>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</si>
  <si>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</si>
  <si>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</si>
  <si>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</si>
  <si>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</si>
  <si>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TAIPEI</t>
    </r>
  </si>
  <si>
    <r>
      <rPr>
        <sz val="9"/>
        <color theme="1"/>
        <rFont val="Arial"/>
        <family val="2"/>
      </rPr>
      <t>Female</t>
    </r>
  </si>
  <si>
    <r>
      <rPr>
        <sz val="9"/>
        <color theme="1"/>
        <rFont val="Arial"/>
        <family val="2"/>
      </rPr>
      <t>Undetermined</t>
    </r>
  </si>
  <si>
    <r>
      <rPr>
        <sz val="9"/>
        <color theme="1"/>
        <rFont val="Arial"/>
        <family val="2"/>
      </rPr>
      <t>UND</t>
    </r>
  </si>
  <si>
    <r>
      <rPr>
        <sz val="9"/>
        <color theme="1"/>
        <rFont val="Arial"/>
        <family val="2"/>
      </rPr>
      <t>UND</t>
    </r>
  </si>
  <si>
    <r>
      <rPr>
        <sz val="9"/>
        <color theme="1"/>
        <rFont val="Arial"/>
        <family val="2"/>
      </rPr>
      <t>Undetermined</t>
    </r>
  </si>
  <si>
    <r>
      <rPr>
        <sz val="9"/>
        <color theme="1"/>
        <rFont val="Arial"/>
        <family val="2"/>
      </rPr>
      <t>Birth/Hatch</t>
    </r>
  </si>
  <si>
    <r>
      <rPr>
        <sz val="9"/>
        <color theme="1"/>
        <rFont val="Arial"/>
        <family val="2"/>
      </rPr>
      <t>Undetermined</t>
    </r>
  </si>
  <si>
    <r>
      <rPr>
        <sz val="9"/>
        <color theme="1"/>
        <rFont val="Arial"/>
        <family val="2"/>
      </rPr>
      <t>Undetermined</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</si>
  <si>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</si>
  <si>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</si>
  <si>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</si>
  <si>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</si>
  <si>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</si>
  <si>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</si>
  <si>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</si>
  <si>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</si>
  <si>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</si>
  <si>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</si>
  <si>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</si>
  <si>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</si>
  <si>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Undetermined</t>
    </r>
  </si>
  <si>
    <r>
      <rPr>
        <sz val="9"/>
        <color theme="1"/>
        <rFont val="Arial"/>
        <family val="2"/>
      </rPr>
      <t>FERNDALE</t>
    </r>
  </si>
  <si>
    <r>
      <rPr>
        <sz val="9"/>
        <color theme="1"/>
        <rFont val="Arial"/>
        <family val="2"/>
      </rPr>
      <t>Transfer</t>
    </r>
  </si>
  <si>
    <r>
      <rPr>
        <sz val="9"/>
        <color theme="1"/>
        <rFont val="Arial"/>
        <family val="2"/>
      </rPr>
      <t>TAIPEI</t>
    </r>
  </si>
  <si>
    <r>
      <rPr>
        <sz val="9"/>
        <color theme="1"/>
        <rFont val="Arial"/>
        <family val="2"/>
      </rPr>
      <t>Death</t>
    </r>
  </si>
  <si>
    <r>
      <rPr>
        <sz val="9"/>
        <color theme="1"/>
        <rFont val="Arial"/>
        <family val="2"/>
      </rPr>
      <t>TAIPEI</t>
    </r>
  </si>
  <si>
    <r>
      <rPr>
        <sz val="9"/>
        <color theme="1"/>
        <rFont val="Arial"/>
        <family val="2"/>
      </rPr>
      <t>CLEVELAND</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</si>
  <si>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</si>
  <si>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</si>
  <si>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</si>
  <si>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</si>
  <si>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</si>
  <si>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</si>
  <si>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</si>
  <si>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</si>
  <si>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</si>
  <si>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</si>
  <si>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</si>
  <si>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</si>
  <si>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</si>
  <si>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</si>
  <si>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</si>
  <si>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SEATTLE</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</si>
  <si>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</si>
  <si>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</si>
  <si>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</si>
  <si>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</si>
  <si>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SANDIEGOZ</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</si>
  <si>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</si>
  <si>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</si>
  <si>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</si>
  <si>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</si>
  <si>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</si>
  <si>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</si>
  <si>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</si>
  <si>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</si>
  <si>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</si>
  <si>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</si>
  <si>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</si>
  <si>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</si>
  <si>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</si>
  <si>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</si>
  <si>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</si>
  <si>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LOSANGELE</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</si>
  <si>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</si>
  <si>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</si>
  <si>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</si>
  <si>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</si>
  <si>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OASES</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</si>
  <si>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</si>
  <si>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</si>
  <si>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</si>
  <si>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CRYSTAL G</t>
    </r>
  </si>
  <si>
    <r>
      <rPr>
        <sz val="9"/>
        <color theme="1"/>
        <rFont val="Arial"/>
        <family val="2"/>
      </rPr>
      <t>Transfer</t>
    </r>
  </si>
  <si>
    <r>
      <rPr>
        <sz val="9"/>
        <color theme="1"/>
        <rFont val="Arial"/>
        <family val="2"/>
      </rPr>
      <t>OASES</t>
    </r>
  </si>
  <si>
    <r>
      <rPr>
        <sz val="9"/>
        <color theme="1"/>
        <rFont val="Arial"/>
        <family val="2"/>
      </rPr>
      <t>Death</t>
    </r>
  </si>
  <si>
    <r>
      <rPr>
        <sz val="9"/>
        <color theme="1"/>
        <rFont val="Arial"/>
        <family val="2"/>
      </rPr>
      <t>OASES</t>
    </r>
  </si>
  <si>
    <r>
      <rPr>
        <sz val="9"/>
        <color theme="1"/>
        <rFont val="Arial"/>
        <family val="2"/>
      </rPr>
      <t>IND RIV R</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</si>
  <si>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</si>
  <si>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</si>
  <si>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</si>
  <si>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CRYSTAL G</t>
    </r>
  </si>
  <si>
    <r>
      <rPr>
        <sz val="9"/>
        <color theme="1"/>
        <rFont val="Arial"/>
        <family val="2"/>
      </rPr>
      <t>Transfer</t>
    </r>
  </si>
  <si>
    <r>
      <rPr>
        <sz val="9"/>
        <color theme="1"/>
        <rFont val="Arial"/>
        <family val="2"/>
      </rPr>
      <t>IND RIV R</t>
    </r>
  </si>
  <si>
    <r>
      <rPr>
        <sz val="9"/>
        <color theme="1"/>
        <rFont val="Arial"/>
        <family val="2"/>
      </rPr>
      <t>Death</t>
    </r>
  </si>
  <si>
    <r>
      <rPr>
        <sz val="9"/>
        <color theme="1"/>
        <rFont val="Arial"/>
        <family val="2"/>
      </rPr>
      <t>IND RIV R</t>
    </r>
  </si>
  <si>
    <r>
      <rPr>
        <sz val="9"/>
        <color theme="1"/>
        <rFont val="Arial"/>
        <family val="2"/>
      </rPr>
      <t>SANDIEGOZ</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</si>
  <si>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</si>
  <si>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</si>
  <si>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</si>
  <si>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</si>
  <si>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</si>
  <si>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</si>
  <si>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HOUSTON</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</si>
  <si>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</si>
  <si>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</si>
  <si>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</si>
  <si>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</si>
  <si>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</si>
  <si>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HOUSTON</t>
    </r>
  </si>
  <si>
    <r>
      <rPr>
        <sz val="9"/>
        <color theme="1"/>
        <rFont val="Arial"/>
        <family val="2"/>
      </rPr>
      <t>Death</t>
    </r>
  </si>
  <si>
    <r>
      <rPr>
        <sz val="9"/>
        <color theme="1"/>
        <rFont val="Arial"/>
        <family val="2"/>
      </rPr>
      <t>HOUSTON</t>
    </r>
  </si>
  <si>
    <r>
      <rPr>
        <sz val="9"/>
        <color theme="1"/>
        <rFont val="Arial"/>
        <family val="2"/>
      </rPr>
      <t>CINCINNAT</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</si>
  <si>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</si>
  <si>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</si>
  <si>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</si>
  <si>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</si>
  <si>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</si>
  <si>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</si>
  <si>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</si>
  <si>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</si>
  <si>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PHILADELP</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</si>
  <si>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</si>
  <si>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</si>
  <si>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</si>
  <si>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</si>
  <si>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</si>
  <si>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</si>
  <si>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</si>
  <si>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</si>
  <si>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</si>
  <si>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</si>
  <si>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</si>
  <si>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</si>
  <si>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</si>
  <si>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</si>
  <si>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</si>
  <si>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</si>
  <si>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</si>
  <si>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</si>
  <si>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</si>
  <si>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</si>
  <si>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</si>
  <si>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</si>
  <si>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Death</t>
    </r>
  </si>
  <si>
    <r>
      <rPr>
        <sz val="9"/>
        <color theme="1"/>
        <rFont val="Arial"/>
        <family val="2"/>
      </rPr>
      <t>PHILADELP</t>
    </r>
  </si>
  <si>
    <r>
      <rPr>
        <sz val="9"/>
        <color theme="1"/>
        <rFont val="Arial"/>
        <family val="2"/>
      </rPr>
      <t>DUKE PRIM</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</si>
  <si>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</si>
  <si>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</si>
  <si>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</si>
  <si>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</si>
  <si>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</si>
  <si>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</si>
  <si>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</si>
  <si>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</si>
  <si>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</si>
  <si>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</si>
  <si>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</si>
  <si>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</si>
  <si>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</si>
  <si>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</si>
  <si>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</si>
  <si>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MEMPHIS</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</si>
  <si>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</si>
  <si>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</si>
  <si>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</si>
  <si>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</si>
  <si>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</si>
  <si>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MEMPHIS</t>
    </r>
  </si>
  <si>
    <r>
      <rPr>
        <sz val="9"/>
        <color theme="1"/>
        <rFont val="Arial"/>
        <family val="2"/>
      </rPr>
      <t>Death</t>
    </r>
  </si>
  <si>
    <r>
      <rPr>
        <sz val="9"/>
        <color theme="1"/>
        <rFont val="Arial"/>
        <family val="2"/>
      </rPr>
      <t>MEMPHIS</t>
    </r>
  </si>
  <si>
    <r>
      <rPr>
        <sz val="9"/>
        <color theme="1"/>
        <rFont val="Arial"/>
        <family val="2"/>
      </rPr>
      <t>DUKE PRIM</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</si>
  <si>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</si>
  <si>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</si>
  <si>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</si>
  <si>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</si>
  <si>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</si>
  <si>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</si>
  <si>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</si>
  <si>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</si>
  <si>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</si>
  <si>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</si>
  <si>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</si>
  <si>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</si>
  <si>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</si>
  <si>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SEATTLE</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</si>
  <si>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</si>
  <si>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</si>
  <si>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</si>
  <si>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</si>
  <si>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</si>
  <si>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</si>
  <si>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DUKE PRIM</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</si>
  <si>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</si>
  <si>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</si>
  <si>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</si>
  <si>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</si>
  <si>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</si>
  <si>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</si>
  <si>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SEATTLE</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</si>
  <si>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</si>
  <si>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</si>
  <si>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</si>
  <si>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</si>
  <si>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</si>
  <si>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</si>
  <si>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Transfer</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</si>
  <si>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</si>
  <si>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</si>
  <si>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</si>
  <si>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</si>
  <si>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</si>
  <si>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</si>
  <si>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</si>
  <si>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</si>
  <si>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</si>
  <si>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</si>
  <si>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MEMPHIS</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</si>
  <si>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</si>
  <si>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</si>
  <si>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</si>
  <si>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</si>
  <si>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</si>
  <si>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MEMPHIS</t>
    </r>
  </si>
  <si>
    <r>
      <rPr>
        <sz val="9"/>
        <color theme="1"/>
        <rFont val="Arial"/>
        <family val="2"/>
      </rPr>
      <t>Death</t>
    </r>
  </si>
  <si>
    <r>
      <rPr>
        <sz val="9"/>
        <color theme="1"/>
        <rFont val="Arial"/>
        <family val="2"/>
      </rPr>
      <t>MEMPHIS</t>
    </r>
  </si>
  <si>
    <r>
      <rPr>
        <sz val="9"/>
        <color theme="1"/>
        <rFont val="Arial"/>
        <family val="2"/>
      </rPr>
      <t>CHICAGOBR</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</si>
  <si>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</si>
  <si>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</si>
  <si>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</si>
  <si>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</si>
  <si>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</si>
  <si>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CINCINNAT</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</si>
  <si>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</si>
  <si>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</si>
  <si>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</si>
  <si>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</si>
  <si>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</si>
  <si>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</si>
  <si>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</si>
  <si>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</si>
  <si>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</si>
  <si>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</si>
  <si>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</si>
  <si>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</si>
  <si>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</si>
  <si>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</si>
  <si>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</si>
  <si>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</si>
  <si>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</si>
  <si>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</si>
  <si>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</si>
  <si>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</si>
  <si>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</si>
  <si>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</si>
  <si>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CHICAGOBR</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</si>
  <si>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</si>
  <si>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</si>
  <si>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</si>
  <si>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</si>
  <si>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</si>
  <si>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</si>
  <si>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</si>
  <si>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</si>
  <si>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</si>
  <si>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</si>
  <si>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</si>
  <si>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</si>
  <si>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</si>
  <si>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SANDIEGOZ</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</si>
  <si>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</si>
  <si>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</si>
  <si>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</si>
  <si>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</si>
  <si>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</si>
  <si>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</si>
  <si>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</si>
  <si>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</si>
  <si>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</si>
  <si>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</si>
  <si>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</si>
  <si>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</si>
  <si>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Undetermined</t>
    </r>
  </si>
  <si>
    <r>
      <rPr>
        <sz val="9"/>
        <color theme="1"/>
        <rFont val="Arial"/>
        <family val="2"/>
      </rPr>
      <t>PUBLIC</t>
    </r>
  </si>
  <si>
    <r>
      <rPr>
        <sz val="9"/>
        <color theme="1"/>
        <rFont val="Arial"/>
        <family val="2"/>
      </rPr>
      <t>Transfer</t>
    </r>
  </si>
  <si>
    <r>
      <rPr>
        <sz val="9"/>
        <color theme="1"/>
        <rFont val="Arial"/>
        <family val="2"/>
      </rPr>
      <t>HOGLE</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</si>
  <si>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</si>
  <si>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</si>
  <si>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</si>
  <si>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</si>
  <si>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CRYSTAL G</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</si>
  <si>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</si>
  <si>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</si>
  <si>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</si>
  <si>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</si>
  <si>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</si>
  <si>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</si>
  <si>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</si>
  <si>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</si>
  <si>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</si>
  <si>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</si>
  <si>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</si>
  <si>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</si>
  <si>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</si>
  <si>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TORONTO</t>
    </r>
  </si>
  <si>
    <r>
      <rPr>
        <sz val="9"/>
        <color theme="1"/>
        <rFont val="Arial"/>
        <family val="2"/>
      </rPr>
      <t>Transfer</t>
    </r>
  </si>
  <si>
    <r>
      <rPr>
        <sz val="9"/>
        <color theme="1"/>
        <rFont val="Arial"/>
        <family val="2"/>
      </rPr>
      <t>CRYSTAL G</t>
    </r>
  </si>
  <si>
    <r>
      <rPr>
        <sz val="9"/>
        <color theme="1"/>
        <rFont val="Arial"/>
        <family val="2"/>
      </rPr>
      <t>Death</t>
    </r>
  </si>
  <si>
    <r>
      <rPr>
        <sz val="9"/>
        <color theme="1"/>
        <rFont val="Arial"/>
        <family val="2"/>
      </rPr>
      <t>CRYSTAL G</t>
    </r>
  </si>
  <si>
    <r>
      <rPr>
        <sz val="9"/>
        <color theme="1"/>
        <rFont val="Arial"/>
        <family val="2"/>
      </rPr>
      <t>CLEVELAND</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</si>
  <si>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</si>
  <si>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</si>
  <si>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</si>
  <si>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SEATTLE</t>
    </r>
  </si>
  <si>
    <r>
      <rPr>
        <sz val="9"/>
        <color theme="1"/>
        <rFont val="Arial"/>
        <family val="2"/>
      </rPr>
      <t>Transfer</t>
    </r>
  </si>
  <si>
    <r>
      <rPr>
        <sz val="9"/>
        <color theme="1"/>
        <rFont val="Arial"/>
        <family val="2"/>
      </rPr>
      <t>OMAHA</t>
    </r>
  </si>
  <si>
    <r>
      <rPr>
        <sz val="9"/>
        <color theme="1"/>
        <rFont val="Arial"/>
        <family val="2"/>
      </rPr>
      <t>Transfer</t>
    </r>
  </si>
  <si>
    <r>
      <rPr>
        <sz val="9"/>
        <color theme="1"/>
        <rFont val="Arial"/>
        <family val="2"/>
      </rPr>
      <t>WILD WRLD</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</si>
  <si>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</si>
  <si>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</si>
  <si>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</si>
  <si>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</si>
  <si>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</si>
  <si>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</si>
  <si>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</si>
  <si>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</si>
  <si>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SEATTLE</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</si>
  <si>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</si>
  <si>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</si>
  <si>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</si>
  <si>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</si>
  <si>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CHICAGOBR</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</si>
  <si>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</si>
  <si>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</si>
  <si>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</si>
  <si>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</si>
  <si>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</si>
  <si>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</si>
  <si>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CHICAGOBR</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</si>
  <si>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</si>
  <si>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</si>
  <si>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</si>
  <si>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</si>
  <si>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</si>
  <si>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</si>
  <si>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</si>
  <si>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</si>
  <si>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</si>
  <si>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</si>
  <si>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</si>
  <si>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</si>
  <si>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</si>
  <si>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</si>
  <si>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</si>
  <si>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</si>
  <si>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</si>
  <si>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</si>
  <si>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</si>
  <si>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</si>
  <si>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</si>
  <si>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</si>
  <si>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</si>
  <si>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</si>
  <si>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CHICAGOBR</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</si>
  <si>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</si>
  <si>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</si>
  <si>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</si>
  <si>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</si>
  <si>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</si>
  <si>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</si>
  <si>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</si>
  <si>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</si>
  <si>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MOODY</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</si>
  <si>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</si>
  <si>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</si>
  <si>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</si>
  <si>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</si>
  <si>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</si>
  <si>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WHEELING</t>
    </r>
  </si>
  <si>
    <r>
      <rPr>
        <sz val="9"/>
        <color theme="1"/>
        <rFont val="Arial"/>
        <family val="2"/>
      </rPr>
      <t>Transfer</t>
    </r>
  </si>
  <si>
    <r>
      <rPr>
        <sz val="9"/>
        <color theme="1"/>
        <rFont val="Arial"/>
        <family val="2"/>
      </rPr>
      <t>MOODY</t>
    </r>
  </si>
  <si>
    <r>
      <rPr>
        <sz val="9"/>
        <color theme="1"/>
        <rFont val="Arial"/>
        <family val="2"/>
      </rPr>
      <t>Transfer</t>
    </r>
  </si>
  <si>
    <r>
      <rPr>
        <sz val="9"/>
        <color theme="1"/>
        <rFont val="Arial"/>
        <family val="2"/>
      </rPr>
      <t>HOUSTON</t>
    </r>
  </si>
  <si>
    <r>
      <rPr>
        <sz val="9"/>
        <color theme="1"/>
        <rFont val="Arial"/>
        <family val="2"/>
      </rPr>
      <t>Transfer</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</si>
  <si>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</si>
  <si>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</si>
  <si>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</si>
  <si>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LITTLEROC</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</si>
  <si>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</si>
  <si>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</si>
  <si>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</si>
  <si>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</si>
  <si>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</si>
  <si>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LITTLEROC</t>
    </r>
  </si>
  <si>
    <r>
      <rPr>
        <sz val="9"/>
        <color theme="1"/>
        <rFont val="Arial"/>
        <family val="2"/>
      </rPr>
      <t>Death</t>
    </r>
  </si>
  <si>
    <r>
      <rPr>
        <sz val="9"/>
        <color theme="1"/>
        <rFont val="Arial"/>
        <family val="2"/>
      </rPr>
      <t>LITTLEROC</t>
    </r>
  </si>
  <si>
    <r>
      <rPr>
        <sz val="9"/>
        <color theme="1"/>
        <rFont val="Arial"/>
        <family val="2"/>
      </rPr>
      <t>MINNESOTA</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</si>
  <si>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</si>
  <si>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</si>
  <si>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</si>
  <si>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</si>
  <si>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</si>
  <si>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</si>
  <si>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</si>
  <si>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</si>
  <si>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PUEBLO</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</si>
  <si>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</si>
  <si>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</si>
  <si>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</si>
  <si>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</si>
  <si>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</si>
  <si>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</si>
  <si>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</si>
  <si>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</si>
  <si>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</si>
  <si>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</si>
  <si>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</si>
  <si>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</si>
  <si>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</si>
  <si>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</si>
  <si>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</si>
  <si>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</si>
  <si>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</si>
  <si>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</si>
  <si>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PUEBLO</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</si>
  <si>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</si>
  <si>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</si>
  <si>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</si>
  <si>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</si>
  <si>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</si>
  <si>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</si>
  <si>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</si>
  <si>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</si>
  <si>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</si>
  <si>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</si>
  <si>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</si>
  <si>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</si>
  <si>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</si>
  <si>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</si>
  <si>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</si>
  <si>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</si>
  <si>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</si>
  <si>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</si>
  <si>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MINNESOTA</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</si>
  <si>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</si>
  <si>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</si>
  <si>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</si>
  <si>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</si>
  <si>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</si>
  <si>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</si>
  <si>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</si>
  <si>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</si>
  <si>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</si>
  <si>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</si>
  <si>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</si>
  <si>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</si>
  <si>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</si>
  <si>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</si>
  <si>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sz val="9"/>
        <color theme="1"/>
        <rFont val="Arial"/>
        <family val="2"/>
      </rPr>
      <t>Transfer</t>
    </r>
  </si>
  <si>
    <r>
      <rPr>
        <sz val="9"/>
        <color theme="1"/>
        <rFont val="Arial"/>
        <family val="2"/>
      </rPr>
      <t>S BARBARA</t>
    </r>
  </si>
  <si>
    <r>
      <rPr>
        <sz val="9"/>
        <color theme="1"/>
        <rFont val="Arial"/>
        <family val="2"/>
      </rPr>
      <t>Transfer</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</si>
  <si>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</si>
  <si>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</si>
  <si>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</si>
  <si>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SEATTLE</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</si>
  <si>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</si>
  <si>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</si>
  <si>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</si>
  <si>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</si>
  <si>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</si>
  <si>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</si>
  <si>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</si>
  <si>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</si>
  <si>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</si>
  <si>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</si>
  <si>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</si>
  <si>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</si>
  <si>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</si>
  <si>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USDI</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</si>
  <si>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</si>
  <si>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</si>
  <si>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</si>
  <si>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</si>
  <si>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</si>
  <si>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</si>
  <si>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</si>
  <si>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</si>
  <si>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</si>
  <si>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</si>
  <si>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</si>
  <si>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</si>
  <si>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S BARBARA</t>
    </r>
  </si>
  <si>
    <r>
      <rPr>
        <sz val="9"/>
        <color theme="1"/>
        <rFont val="Arial"/>
        <family val="2"/>
      </rPr>
      <t>Transfer</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</si>
  <si>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</si>
  <si>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</si>
  <si>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</si>
  <si>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LITTLEROC</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</si>
  <si>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</si>
  <si>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</si>
  <si>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</si>
  <si>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</si>
  <si>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</si>
  <si>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LITTLEROC</t>
    </r>
  </si>
  <si>
    <r>
      <rPr>
        <sz val="9"/>
        <color theme="1"/>
        <rFont val="Arial"/>
        <family val="2"/>
      </rPr>
      <t>Death</t>
    </r>
  </si>
  <si>
    <r>
      <rPr>
        <sz val="9"/>
        <color theme="1"/>
        <rFont val="Arial"/>
        <family val="2"/>
      </rPr>
      <t>LITTLEROC</t>
    </r>
  </si>
  <si>
    <r>
      <rPr>
        <sz val="9"/>
        <color theme="1"/>
        <rFont val="Arial"/>
        <family val="2"/>
      </rPr>
      <t>CINCINNAT</t>
    </r>
  </si>
  <si>
    <r>
      <rPr>
        <sz val="9"/>
        <color theme="1"/>
        <rFont val="Arial"/>
        <family val="2"/>
      </rPr>
      <t>NHN</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</si>
  <si>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</si>
  <si>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</si>
  <si>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</si>
  <si>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</si>
  <si>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</si>
  <si>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CINCINNAT</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</si>
  <si>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</si>
  <si>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</si>
  <si>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</si>
  <si>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</si>
  <si>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</si>
  <si>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</si>
  <si>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</si>
  <si>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ABQBIOPK</t>
    </r>
  </si>
  <si>
    <r>
      <rPr>
        <sz val="9"/>
        <color theme="1"/>
        <rFont val="Arial"/>
        <family val="2"/>
      </rPr>
      <t>M04030</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</si>
  <si>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</si>
  <si>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</si>
  <si>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</si>
  <si>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</si>
  <si>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</si>
  <si>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ABQBIOPK</t>
    </r>
  </si>
  <si>
    <r>
      <rPr>
        <sz val="9"/>
        <color theme="1"/>
        <rFont val="Arial"/>
        <family val="2"/>
      </rPr>
      <t>Death</t>
    </r>
  </si>
  <si>
    <r>
      <rPr>
        <sz val="9"/>
        <color theme="1"/>
        <rFont val="Arial"/>
        <family val="2"/>
      </rPr>
      <t>ABQBIOPK</t>
    </r>
  </si>
  <si>
    <r>
      <rPr>
        <sz val="9"/>
        <color theme="1"/>
        <rFont val="Arial"/>
        <family val="2"/>
      </rPr>
      <t>COLUMBUS</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</si>
  <si>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</si>
  <si>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</si>
  <si>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</si>
  <si>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</si>
  <si>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</si>
  <si>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EL PASO</t>
    </r>
  </si>
  <si>
    <r>
      <rPr>
        <sz val="9"/>
        <color theme="1"/>
        <rFont val="Arial"/>
        <family val="2"/>
      </rPr>
      <t>Transfer</t>
    </r>
  </si>
  <si>
    <r>
      <rPr>
        <sz val="9"/>
        <color theme="1"/>
        <rFont val="Arial"/>
        <family val="2"/>
      </rPr>
      <t>COLUMBUS</t>
    </r>
  </si>
  <si>
    <r>
      <rPr>
        <sz val="9"/>
        <color theme="1"/>
        <rFont val="Arial"/>
        <family val="2"/>
      </rPr>
      <t>Death</t>
    </r>
  </si>
  <si>
    <r>
      <rPr>
        <sz val="9"/>
        <color theme="1"/>
        <rFont val="Arial"/>
        <family val="2"/>
      </rPr>
      <t>COLUMBUS</t>
    </r>
  </si>
  <si>
    <r>
      <rPr>
        <sz val="9"/>
        <color theme="1"/>
        <rFont val="Arial"/>
        <family val="2"/>
      </rPr>
      <t>SANDIEGOZ</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</si>
  <si>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</si>
  <si>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</si>
  <si>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</si>
  <si>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</si>
  <si>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</si>
  <si>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</si>
  <si>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</si>
  <si>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</si>
  <si>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</si>
  <si>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</si>
  <si>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</si>
  <si>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</si>
  <si>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</si>
  <si>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</si>
  <si>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</si>
  <si>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</si>
  <si>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</si>
  <si>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</si>
  <si>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</si>
  <si>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rgb="FF000000"/>
        <rFont val="Arial"/>
        <family val="2"/>
      </rPr>
      <t xml:space="preserve">21/Feb/2002 +/-
</t>
    </r>
    <r>
      <rPr>
        <sz val="9"/>
        <color rgb="FF000000"/>
        <rFont val="Arial"/>
        <family val="2"/>
      </rPr>
      <t>6 month</t>
    </r>
  </si>
  <si>
    <r>
      <rPr>
        <sz val="9"/>
        <color theme="1"/>
        <rFont val="Arial"/>
        <family val="2"/>
      </rPr>
      <t>SD-WAP</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</si>
  <si>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</si>
  <si>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</si>
  <si>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</si>
  <si>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SEATTLE</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</si>
  <si>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</si>
  <si>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</si>
  <si>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</si>
  <si>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</si>
  <si>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SEATTLE</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</si>
  <si>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</si>
  <si>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</si>
  <si>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</si>
  <si>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</si>
  <si>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</si>
  <si>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</si>
  <si>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SEATTLE</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</si>
  <si>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</si>
  <si>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</si>
  <si>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</si>
  <si>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SEATTLE</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</si>
  <si>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</si>
  <si>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</si>
  <si>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</si>
  <si>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</si>
  <si>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</si>
  <si>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</si>
  <si>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</si>
  <si>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</si>
  <si>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</si>
  <si>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</si>
  <si>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</si>
  <si>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Death</t>
    </r>
  </si>
  <si>
    <r>
      <rPr>
        <sz val="9"/>
        <color theme="1"/>
        <rFont val="Arial"/>
        <family val="2"/>
      </rPr>
      <t>SEATTLE</t>
    </r>
  </si>
  <si>
    <r>
      <rPr>
        <sz val="9"/>
        <color theme="1"/>
        <rFont val="Arial"/>
        <family val="2"/>
      </rPr>
      <t>CLEVELAND</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</si>
  <si>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</si>
  <si>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</si>
  <si>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</si>
  <si>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</si>
  <si>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</si>
  <si>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</si>
  <si>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CLEVELAND</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</si>
  <si>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</si>
  <si>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</si>
  <si>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</si>
  <si>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</si>
  <si>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</si>
  <si>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</si>
  <si>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PUEBLO</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</si>
  <si>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</si>
  <si>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</si>
  <si>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</si>
  <si>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</si>
  <si>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</si>
  <si>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</si>
  <si>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</si>
  <si>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</si>
  <si>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</si>
  <si>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</si>
  <si>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</si>
  <si>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</si>
  <si>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SEATTLE</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</si>
  <si>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</si>
  <si>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</si>
  <si>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</si>
  <si>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</si>
  <si>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CHICAGOLP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</si>
  <si>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</si>
  <si>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</si>
  <si>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</si>
  <si>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</si>
  <si>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</si>
  <si>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</si>
  <si>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</si>
  <si>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</si>
  <si>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OMAHA</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</si>
  <si>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</si>
  <si>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</si>
  <si>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</si>
  <si>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</si>
  <si>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</si>
  <si>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</si>
  <si>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OMAHA</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</si>
  <si>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</si>
  <si>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</si>
  <si>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</si>
  <si>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</si>
  <si>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</si>
  <si>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</si>
  <si>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MOODY</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</si>
  <si>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</si>
  <si>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</si>
  <si>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</si>
  <si>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</si>
  <si>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</si>
  <si>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WHEELING</t>
    </r>
  </si>
  <si>
    <r>
      <rPr>
        <sz val="9"/>
        <color theme="1"/>
        <rFont val="Arial"/>
        <family val="2"/>
      </rPr>
      <t>Transfer</t>
    </r>
  </si>
  <si>
    <r>
      <rPr>
        <sz val="9"/>
        <color theme="1"/>
        <rFont val="Arial"/>
        <family val="2"/>
      </rPr>
      <t>MOODY</t>
    </r>
  </si>
  <si>
    <r>
      <rPr>
        <sz val="9"/>
        <color theme="1"/>
        <rFont val="Arial"/>
        <family val="2"/>
      </rPr>
      <t>Transfer</t>
    </r>
  </si>
  <si>
    <r>
      <rPr>
        <sz val="9"/>
        <color theme="1"/>
        <rFont val="Arial"/>
        <family val="2"/>
      </rPr>
      <t>HOUSTON</t>
    </r>
  </si>
  <si>
    <r>
      <rPr>
        <sz val="9"/>
        <color theme="1"/>
        <rFont val="Arial"/>
        <family val="2"/>
      </rPr>
      <t>Transfer</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</si>
  <si>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</si>
  <si>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</si>
  <si>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</si>
  <si>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</si>
  <si>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</si>
  <si>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</si>
  <si>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</si>
  <si>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</si>
  <si>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</si>
  <si>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</si>
  <si>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CHICAGOBR</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</si>
  <si>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</si>
  <si>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</si>
  <si>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</si>
  <si>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</si>
  <si>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</si>
  <si>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</si>
  <si>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</si>
  <si>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</si>
  <si>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</si>
  <si>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</si>
  <si>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</si>
  <si>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</si>
  <si>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</si>
  <si>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</si>
  <si>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</si>
  <si>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</si>
  <si>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</si>
  <si>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</si>
  <si>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</si>
  <si>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</si>
  <si>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</si>
  <si>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</si>
  <si>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</si>
  <si>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</si>
  <si>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DUKE PRIM</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</si>
  <si>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</si>
  <si>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</si>
  <si>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</si>
  <si>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</si>
  <si>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</si>
  <si>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</si>
  <si>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PUEBLO</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</si>
  <si>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</si>
  <si>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</si>
  <si>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</si>
  <si>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</si>
  <si>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</si>
  <si>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</si>
  <si>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CLEVELAND</t>
    </r>
  </si>
  <si>
    <r>
      <rPr>
        <sz val="9"/>
        <color theme="1"/>
        <rFont val="Arial"/>
        <family val="2"/>
      </rPr>
      <t>M40613</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</si>
  <si>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</si>
  <si>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</si>
  <si>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</si>
  <si>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</si>
  <si>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</si>
  <si>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</si>
  <si>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</si>
  <si>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</si>
  <si>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WARSAW</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</si>
  <si>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</si>
  <si>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</si>
  <si>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</si>
  <si>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</si>
  <si>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</si>
  <si>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</si>
  <si>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</si>
  <si>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</si>
  <si>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</si>
  <si>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</si>
  <si>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</si>
  <si>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</si>
  <si>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Undetermined</t>
    </r>
  </si>
  <si>
    <r>
      <rPr>
        <sz val="9"/>
        <color theme="1"/>
        <rFont val="Arial"/>
        <family val="2"/>
      </rPr>
      <t>HERSHEY</t>
    </r>
  </si>
  <si>
    <r>
      <rPr>
        <sz val="9"/>
        <color theme="1"/>
        <rFont val="Arial"/>
        <family val="2"/>
      </rPr>
      <t>Transfer</t>
    </r>
  </si>
  <si>
    <r>
      <rPr>
        <sz val="9"/>
        <color theme="1"/>
        <rFont val="Arial"/>
        <family val="2"/>
      </rPr>
      <t>MOSCOW</t>
    </r>
  </si>
  <si>
    <r>
      <rPr>
        <sz val="9"/>
        <color theme="1"/>
        <rFont val="Arial"/>
        <family val="2"/>
      </rPr>
      <t>Transfer</t>
    </r>
  </si>
  <si>
    <r>
      <rPr>
        <sz val="9"/>
        <color theme="1"/>
        <rFont val="Arial"/>
        <family val="2"/>
      </rPr>
      <t>WARSAW</t>
    </r>
  </si>
  <si>
    <r>
      <rPr>
        <sz val="9"/>
        <color theme="1"/>
        <rFont val="Arial"/>
        <family val="2"/>
      </rPr>
      <t>Death</t>
    </r>
  </si>
  <si>
    <r>
      <rPr>
        <sz val="9"/>
        <color theme="1"/>
        <rFont val="Arial"/>
        <family val="2"/>
      </rPr>
      <t>WARSAW</t>
    </r>
  </si>
  <si>
    <r>
      <rPr>
        <sz val="9"/>
        <color theme="1"/>
        <rFont val="Arial"/>
        <family val="2"/>
      </rPr>
      <t>FRANKFURT</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</si>
  <si>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</si>
  <si>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</si>
  <si>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</si>
  <si>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</si>
  <si>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</si>
  <si>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</si>
  <si>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</si>
  <si>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</si>
  <si>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</si>
  <si>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</si>
  <si>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</si>
  <si>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</si>
  <si>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</si>
  <si>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IRCHEL</t>
    </r>
  </si>
  <si>
    <r>
      <rPr>
        <sz val="9"/>
        <color theme="1"/>
        <rFont val="Arial"/>
        <family val="2"/>
      </rPr>
      <t>Transfer</t>
    </r>
  </si>
  <si>
    <r>
      <rPr>
        <sz val="9"/>
        <color theme="1"/>
        <rFont val="Arial"/>
        <family val="2"/>
      </rPr>
      <t>FRANKFURT</t>
    </r>
  </si>
  <si>
    <r>
      <rPr>
        <sz val="9"/>
        <color theme="1"/>
        <rFont val="Arial"/>
        <family val="2"/>
      </rPr>
      <t>Death</t>
    </r>
  </si>
  <si>
    <r>
      <rPr>
        <sz val="9"/>
        <color theme="1"/>
        <rFont val="Arial"/>
        <family val="2"/>
      </rPr>
      <t>FRANKFURT</t>
    </r>
  </si>
  <si>
    <r>
      <rPr>
        <sz val="9"/>
        <color theme="1"/>
        <rFont val="Arial"/>
        <family val="2"/>
      </rPr>
      <t>FRANKFURT</t>
    </r>
  </si>
  <si>
    <r>
      <rPr>
        <sz val="9"/>
        <color theme="1"/>
        <rFont val="Arial"/>
        <family val="2"/>
      </rPr>
      <t>Male</t>
    </r>
  </si>
  <si>
    <r>
      <rPr>
        <sz val="9"/>
        <color theme="1"/>
        <rFont val="Arial"/>
        <family val="2"/>
      </rPr>
      <t>01/Jan/1986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</si>
  <si>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</si>
  <si>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</si>
  <si>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</si>
  <si>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</si>
  <si>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01/Jan/1986 +/- 6 month</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</si>
  <si>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</si>
  <si>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</si>
  <si>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</si>
  <si>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</si>
  <si>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</si>
  <si>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</si>
  <si>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rgb="FF000000"/>
        <rFont val="Arial"/>
        <family val="2"/>
      </rPr>
      <t xml:space="preserve">SWITZRLND:
</t>
    </r>
    <r>
      <rPr>
        <sz val="9"/>
        <color rgb="FF000000"/>
        <rFont val="Arial"/>
        <family val="2"/>
      </rPr>
      <t>Invalid use of GeoRef</t>
    </r>
  </si>
  <si>
    <r>
      <rPr>
        <sz val="9"/>
        <color theme="1"/>
        <rFont val="Arial"/>
        <family val="2"/>
      </rPr>
      <t>Transfer</t>
    </r>
  </si>
  <si>
    <r>
      <rPr>
        <sz val="9"/>
        <color theme="1"/>
        <rFont val="Arial"/>
        <family val="2"/>
      </rPr>
      <t>FRANKFURT</t>
    </r>
  </si>
  <si>
    <r>
      <rPr>
        <sz val="9"/>
        <color theme="1"/>
        <rFont val="Arial"/>
        <family val="2"/>
      </rPr>
      <t>Death</t>
    </r>
  </si>
  <si>
    <r>
      <rPr>
        <sz val="9"/>
        <color theme="1"/>
        <rFont val="Arial"/>
        <family val="2"/>
      </rPr>
      <t>FRANKFURT</t>
    </r>
  </si>
  <si>
    <r>
      <rPr>
        <sz val="9"/>
        <color theme="1"/>
        <rFont val="Arial"/>
        <family val="2"/>
      </rPr>
      <t>KOLN</t>
    </r>
  </si>
  <si>
    <r>
      <rPr>
        <sz val="9"/>
        <color theme="1"/>
        <rFont val="Arial"/>
        <family val="2"/>
      </rPr>
      <t>Male</t>
    </r>
  </si>
  <si>
    <r>
      <rPr>
        <sz val="9"/>
        <color theme="1"/>
        <rFont val="Arial"/>
        <family val="2"/>
      </rPr>
      <t>UND</t>
    </r>
  </si>
  <si>
    <r>
      <rPr>
        <sz val="9"/>
        <color theme="1"/>
        <rFont val="Arial"/>
        <family val="2"/>
      </rPr>
      <t>Captive Birth/Hatch</t>
    </r>
  </si>
  <si>
    <r>
      <rPr>
        <sz val="9"/>
        <color theme="1"/>
        <rFont val="Arial"/>
        <family val="2"/>
      </rPr>
      <t>Birth/Hatch</t>
    </r>
  </si>
  <si>
    <r>
      <rPr>
        <sz val="9"/>
        <color theme="1"/>
        <rFont val="Arial"/>
        <family val="2"/>
      </rPr>
      <t>IRCHEL</t>
    </r>
  </si>
  <si>
    <r>
      <rPr>
        <sz val="9"/>
        <color theme="1"/>
        <rFont val="Arial"/>
        <family val="2"/>
      </rPr>
      <t>Transfer</t>
    </r>
  </si>
  <si>
    <r>
      <rPr>
        <sz val="9"/>
        <color theme="1"/>
        <rFont val="Arial"/>
        <family val="2"/>
      </rPr>
      <t>FRANKFURT</t>
    </r>
  </si>
  <si>
    <r>
      <rPr>
        <sz val="9"/>
        <color theme="1"/>
        <rFont val="Arial"/>
        <family val="2"/>
      </rPr>
      <t>Transfer</t>
    </r>
  </si>
  <si>
    <r>
      <rPr>
        <sz val="9"/>
        <color theme="1"/>
        <rFont val="Arial"/>
        <family val="2"/>
      </rPr>
      <t>KOLN</t>
    </r>
  </si>
  <si>
    <r>
      <rPr>
        <sz val="9"/>
        <color theme="1"/>
        <rFont val="Arial"/>
        <family val="2"/>
      </rPr>
      <t>Death</t>
    </r>
  </si>
  <si>
    <r>
      <rPr>
        <sz val="9"/>
        <color theme="1"/>
        <rFont val="Arial"/>
        <family val="2"/>
      </rPr>
      <t>KOLN</t>
    </r>
  </si>
  <si>
    <r>
      <rPr>
        <sz val="9"/>
        <color theme="1"/>
        <rFont val="Arial"/>
        <family val="2"/>
      </rPr>
      <t>KOLN</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</si>
  <si>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</si>
  <si>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</si>
  <si>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</si>
  <si>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</si>
  <si>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</si>
  <si>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</si>
  <si>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</si>
  <si>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Viet Nam / ~</t>
    </r>
  </si>
  <si>
    <r>
      <rPr>
        <sz val="9"/>
        <color theme="1"/>
        <rFont val="Arial"/>
        <family val="2"/>
      </rPr>
      <t>Wild Capture</t>
    </r>
  </si>
  <si>
    <r>
      <rPr>
        <sz val="9"/>
        <color theme="1"/>
        <rFont val="Arial"/>
        <family val="2"/>
      </rPr>
      <t>Undetermined</t>
    </r>
  </si>
  <si>
    <r>
      <rPr>
        <sz val="9"/>
        <color theme="1"/>
        <rFont val="Arial"/>
        <family val="2"/>
      </rPr>
      <t>Viet Nam / ~</t>
    </r>
  </si>
  <si>
    <r>
      <rPr>
        <sz val="9"/>
        <color theme="1"/>
        <rFont val="Arial"/>
        <family val="2"/>
      </rPr>
      <t>Transfer</t>
    </r>
  </si>
  <si>
    <r>
      <rPr>
        <sz val="9"/>
        <color theme="1"/>
        <rFont val="Arial"/>
        <family val="2"/>
      </rPr>
      <t>Undetermined</t>
    </r>
  </si>
  <si>
    <r>
      <rPr>
        <sz val="9"/>
        <color theme="1"/>
        <rFont val="Arial"/>
        <family val="2"/>
      </rPr>
      <t>PUBLIC</t>
    </r>
  </si>
  <si>
    <r>
      <rPr>
        <sz val="9"/>
        <color theme="1"/>
        <rFont val="Arial"/>
        <family val="2"/>
      </rPr>
      <t>Transfer</t>
    </r>
  </si>
  <si>
    <r>
      <rPr>
        <sz val="9"/>
        <color theme="1"/>
        <rFont val="Arial"/>
        <family val="2"/>
      </rPr>
      <t>MOSCOW</t>
    </r>
  </si>
  <si>
    <r>
      <rPr>
        <sz val="9"/>
        <color theme="1"/>
        <rFont val="Arial"/>
        <family val="2"/>
      </rPr>
      <t>Transfer</t>
    </r>
  </si>
  <si>
    <r>
      <rPr>
        <sz val="9"/>
        <color theme="1"/>
        <rFont val="Arial"/>
        <family val="2"/>
      </rPr>
      <t>FRANKFURT</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</si>
  <si>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</si>
  <si>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</si>
  <si>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</si>
  <si>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</si>
  <si>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</si>
  <si>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</si>
  <si>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</si>
  <si>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</si>
  <si>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</si>
  <si>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</si>
  <si>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</si>
  <si>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</si>
  <si>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KOLN</t>
    </r>
  </si>
  <si>
    <r>
      <rPr>
        <sz val="9"/>
        <color theme="1"/>
        <rFont val="Arial"/>
        <family val="2"/>
      </rPr>
      <t>Death</t>
    </r>
  </si>
  <si>
    <r>
      <rPr>
        <sz val="9"/>
        <color theme="1"/>
        <rFont val="Arial"/>
        <family val="2"/>
      </rPr>
      <t>KOLN</t>
    </r>
  </si>
  <si>
    <r>
      <rPr>
        <sz val="9"/>
        <color theme="1"/>
        <rFont val="Arial"/>
        <family val="2"/>
      </rPr>
      <t>MINNESOTA</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</si>
  <si>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</si>
  <si>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</si>
  <si>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</si>
  <si>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FRANKFURT</t>
    </r>
  </si>
  <si>
    <r>
      <rPr>
        <sz val="9"/>
        <color theme="1"/>
        <rFont val="Arial"/>
        <family val="2"/>
      </rPr>
      <t>Transfer</t>
    </r>
  </si>
  <si>
    <r>
      <rPr>
        <sz val="9"/>
        <color theme="1"/>
        <rFont val="Arial"/>
        <family val="2"/>
      </rPr>
      <t>COLUMBUS</t>
    </r>
  </si>
  <si>
    <r>
      <rPr>
        <sz val="9"/>
        <color theme="1"/>
        <rFont val="Arial"/>
        <family val="2"/>
      </rPr>
      <t>Transfer</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</si>
  <si>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</si>
  <si>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</si>
  <si>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</si>
  <si>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COLUMBUS</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</si>
  <si>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</si>
  <si>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</si>
  <si>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</si>
  <si>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FRANKFURT</t>
    </r>
  </si>
  <si>
    <r>
      <rPr>
        <sz val="9"/>
        <color theme="1"/>
        <rFont val="Arial"/>
        <family val="2"/>
      </rPr>
      <t>Transfer</t>
    </r>
  </si>
  <si>
    <r>
      <rPr>
        <sz val="9"/>
        <color theme="1"/>
        <rFont val="Arial"/>
        <family val="2"/>
      </rPr>
      <t>COLUMBUS</t>
    </r>
  </si>
  <si>
    <r>
      <rPr>
        <sz val="9"/>
        <color theme="1"/>
        <rFont val="Arial"/>
        <family val="2"/>
      </rPr>
      <t>Death</t>
    </r>
  </si>
  <si>
    <r>
      <rPr>
        <sz val="9"/>
        <color theme="1"/>
        <rFont val="Arial"/>
        <family val="2"/>
      </rPr>
      <t>COLUMBUS</t>
    </r>
  </si>
  <si>
    <r>
      <rPr>
        <sz val="9"/>
        <color theme="1"/>
        <rFont val="Arial"/>
        <family val="2"/>
      </rPr>
      <t>PUEBLO</t>
    </r>
  </si>
  <si>
    <r>
      <rPr>
        <sz val="9"/>
        <color theme="1"/>
        <rFont val="Arial"/>
        <family val="2"/>
      </rPr>
      <t>M21002</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</si>
  <si>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</si>
  <si>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</si>
  <si>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</si>
  <si>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</si>
  <si>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</si>
  <si>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</si>
  <si>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PUEBLO</t>
    </r>
  </si>
  <si>
    <r>
      <rPr>
        <sz val="9"/>
        <color theme="1"/>
        <rFont val="Arial"/>
        <family val="2"/>
      </rPr>
      <t>M21003</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</si>
  <si>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</si>
  <si>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</si>
  <si>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</si>
  <si>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</si>
  <si>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</si>
  <si>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</si>
  <si>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DUKE PRIM</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</si>
  <si>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</si>
  <si>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</si>
  <si>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</si>
  <si>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</si>
  <si>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</si>
  <si>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</si>
  <si>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</si>
  <si>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</si>
  <si>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</si>
  <si>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</si>
  <si>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</si>
  <si>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</si>
  <si>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</si>
  <si>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</si>
  <si>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</si>
  <si>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</si>
  <si>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</si>
  <si>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</si>
  <si>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</si>
  <si>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</si>
  <si>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NY BRONX</t>
    </r>
  </si>
  <si>
    <r>
      <rPr>
        <sz val="9"/>
        <color theme="1"/>
        <rFont val="Arial"/>
        <family val="2"/>
      </rPr>
      <t>M12221</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</si>
  <si>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</si>
  <si>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</si>
  <si>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</si>
  <si>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</si>
  <si>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</si>
  <si>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</si>
  <si>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</si>
  <si>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</si>
  <si>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</si>
  <si>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</si>
  <si>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</si>
  <si>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</si>
  <si>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CALGARY</t>
    </r>
  </si>
  <si>
    <r>
      <rPr>
        <sz val="9"/>
        <color theme="1"/>
        <rFont val="Arial"/>
        <family val="2"/>
      </rPr>
      <t>Transfer</t>
    </r>
  </si>
  <si>
    <r>
      <rPr>
        <sz val="9"/>
        <color theme="1"/>
        <rFont val="Arial"/>
        <family val="2"/>
      </rPr>
      <t>CRYSTAL G</t>
    </r>
  </si>
  <si>
    <r>
      <rPr>
        <sz val="9"/>
        <color theme="1"/>
        <rFont val="Arial"/>
        <family val="2"/>
      </rPr>
      <t>Transfer</t>
    </r>
  </si>
  <si>
    <r>
      <rPr>
        <sz val="9"/>
        <color theme="1"/>
        <rFont val="Arial"/>
        <family val="2"/>
      </rPr>
      <t>IND RIV R</t>
    </r>
  </si>
  <si>
    <r>
      <rPr>
        <sz val="9"/>
        <color theme="1"/>
        <rFont val="Arial"/>
        <family val="2"/>
      </rPr>
      <t>Transfer</t>
    </r>
  </si>
  <si>
    <r>
      <rPr>
        <sz val="9"/>
        <color theme="1"/>
        <rFont val="Arial"/>
        <family val="2"/>
      </rPr>
      <t>GRANBY</t>
    </r>
  </si>
  <si>
    <r>
      <rPr>
        <sz val="9"/>
        <color theme="1"/>
        <rFont val="Arial"/>
        <family val="2"/>
      </rPr>
      <t>Transfer</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</si>
  <si>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</si>
  <si>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</si>
  <si>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</si>
  <si>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LANGLEY</t>
    </r>
  </si>
  <si>
    <r>
      <rPr>
        <sz val="9"/>
        <color theme="1"/>
        <rFont val="Arial"/>
        <family val="2"/>
      </rPr>
      <t>L08008</t>
    </r>
  </si>
  <si>
    <r>
      <rPr>
        <sz val="9"/>
        <color theme="1"/>
        <rFont val="Arial"/>
        <family val="2"/>
      </rPr>
      <t>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</si>
  <si>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</si>
  <si>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</si>
  <si>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</si>
  <si>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</si>
  <si>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</si>
  <si>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</si>
  <si>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</si>
  <si>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</si>
  <si>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</si>
  <si>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</si>
  <si>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</si>
  <si>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CALGARY</t>
    </r>
  </si>
  <si>
    <r>
      <rPr>
        <sz val="9"/>
        <color theme="1"/>
        <rFont val="Arial"/>
        <family val="2"/>
      </rPr>
      <t>Transfer</t>
    </r>
  </si>
  <si>
    <r>
      <rPr>
        <sz val="9"/>
        <color theme="1"/>
        <rFont val="Arial"/>
        <family val="2"/>
      </rPr>
      <t>QUEBEC</t>
    </r>
  </si>
  <si>
    <r>
      <rPr>
        <sz val="9"/>
        <color theme="1"/>
        <rFont val="Arial"/>
        <family val="2"/>
      </rPr>
      <t>Transfer</t>
    </r>
  </si>
  <si>
    <r>
      <rPr>
        <sz val="9"/>
        <color theme="1"/>
        <rFont val="Arial"/>
        <family val="2"/>
      </rPr>
      <t>LANGLEY</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</si>
  <si>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</si>
  <si>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</si>
  <si>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</si>
  <si>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</si>
  <si>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</si>
  <si>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</si>
  <si>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</si>
  <si>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</si>
  <si>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</si>
  <si>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</si>
  <si>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</si>
  <si>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GO LTF</t>
    </r>
  </si>
  <si>
    <r>
      <rPr>
        <sz val="9"/>
        <color theme="1"/>
        <rFont val="Arial"/>
        <family val="2"/>
      </rPr>
      <t>LANGLEY</t>
    </r>
  </si>
  <si>
    <r>
      <rPr>
        <sz val="9"/>
        <color theme="1"/>
        <rFont val="Arial"/>
        <family val="2"/>
      </rPr>
      <t>CALGARY</t>
    </r>
  </si>
  <si>
    <r>
      <rPr>
        <sz val="9"/>
        <color theme="1"/>
        <rFont val="Arial"/>
        <family val="2"/>
      </rPr>
      <t>Male</t>
    </r>
  </si>
  <si>
    <r>
      <rPr>
        <sz val="9"/>
        <color rgb="FF000000"/>
        <rFont val="Arial"/>
        <family val="2"/>
      </rPr>
      <t xml:space="preserve">01/Jan/1999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</si>
  <si>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</si>
  <si>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</si>
  <si>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</si>
  <si>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</si>
  <si>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01/Jan/1999 +/-
</t>
    </r>
    <r>
      <rPr>
        <sz val="9"/>
        <color rgb="FF000000"/>
        <rFont val="Arial"/>
        <family val="2"/>
      </rPr>
      <t>6 month</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</si>
  <si>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</si>
  <si>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</si>
  <si>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</si>
  <si>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</si>
  <si>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</si>
  <si>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</si>
  <si>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</si>
  <si>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</si>
  <si>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CALGARY</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</si>
  <si>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</si>
  <si>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</si>
  <si>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</si>
  <si>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</si>
  <si>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</si>
  <si>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</si>
  <si>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</si>
  <si>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</si>
  <si>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</si>
  <si>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</si>
  <si>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</si>
  <si>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</si>
  <si>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</si>
  <si>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</si>
  <si>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</si>
  <si>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CALGARY</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</si>
  <si>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</si>
  <si>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</si>
  <si>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</si>
  <si>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</si>
  <si>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</si>
  <si>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</si>
  <si>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</si>
  <si>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</si>
  <si>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</si>
  <si>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</si>
  <si>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</si>
  <si>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</si>
  <si>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</si>
  <si>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</si>
  <si>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</si>
  <si>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BOWMANVIL</t>
    </r>
  </si>
  <si>
    <r>
      <rPr>
        <sz val="9"/>
        <color theme="1"/>
        <rFont val="Arial"/>
        <family val="2"/>
      </rPr>
      <t>LO8009</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</si>
  <si>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</si>
  <si>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</si>
  <si>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</si>
  <si>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</si>
  <si>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</si>
  <si>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</si>
  <si>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</si>
  <si>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Asia</t>
    </r>
  </si>
  <si>
    <r>
      <rPr>
        <sz val="9"/>
        <color theme="1"/>
        <rFont val="Arial"/>
        <family val="2"/>
      </rPr>
      <t>Wild Capture</t>
    </r>
  </si>
  <si>
    <r>
      <rPr>
        <sz val="9"/>
        <color theme="1"/>
        <rFont val="Arial"/>
        <family val="2"/>
      </rPr>
      <t>Undetermined</t>
    </r>
  </si>
  <si>
    <r>
      <rPr>
        <sz val="9"/>
        <color theme="1"/>
        <rFont val="Arial"/>
        <family val="2"/>
      </rPr>
      <t>Asia</t>
    </r>
  </si>
  <si>
    <r>
      <rPr>
        <sz val="9"/>
        <color theme="1"/>
        <rFont val="Arial"/>
        <family val="2"/>
      </rPr>
      <t>Transfer</t>
    </r>
  </si>
  <si>
    <r>
      <rPr>
        <sz val="9"/>
        <color theme="1"/>
        <rFont val="Arial"/>
        <family val="2"/>
      </rPr>
      <t>CALGARY</t>
    </r>
  </si>
  <si>
    <r>
      <rPr>
        <sz val="9"/>
        <color theme="1"/>
        <rFont val="Arial"/>
        <family val="2"/>
      </rPr>
      <t>Transfer</t>
    </r>
  </si>
  <si>
    <r>
      <rPr>
        <sz val="9"/>
        <color theme="1"/>
        <rFont val="Arial"/>
        <family val="2"/>
      </rPr>
      <t>QUEBEC</t>
    </r>
  </si>
  <si>
    <r>
      <rPr>
        <sz val="9"/>
        <color theme="1"/>
        <rFont val="Arial"/>
        <family val="2"/>
      </rPr>
      <t>Transfer</t>
    </r>
  </si>
  <si>
    <r>
      <rPr>
        <sz val="9"/>
        <color theme="1"/>
        <rFont val="Arial"/>
        <family val="2"/>
      </rPr>
      <t>LANGLEY</t>
    </r>
  </si>
  <si>
    <r>
      <rPr>
        <sz val="9"/>
        <color theme="1"/>
        <rFont val="Arial"/>
        <family val="2"/>
      </rPr>
      <t>Transfer</t>
    </r>
  </si>
  <si>
    <r>
      <rPr>
        <sz val="9"/>
        <color theme="1"/>
        <rFont val="Arial"/>
        <family val="2"/>
      </rPr>
      <t>BOWMANVIL</t>
    </r>
  </si>
  <si>
    <r>
      <rPr>
        <sz val="9"/>
        <color theme="1"/>
        <rFont val="Arial"/>
        <family val="2"/>
      </rPr>
      <t>Death</t>
    </r>
  </si>
  <si>
    <r>
      <rPr>
        <sz val="9"/>
        <color theme="1"/>
        <rFont val="Arial"/>
        <family val="2"/>
      </rPr>
      <t>BOWMANVIL</t>
    </r>
  </si>
  <si>
    <r>
      <rPr>
        <sz val="9"/>
        <color theme="1"/>
        <rFont val="Arial"/>
        <family val="2"/>
      </rPr>
      <t>EVANSVLLE</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</si>
  <si>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</si>
  <si>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</si>
  <si>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</si>
  <si>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MINNESOTA</t>
    </r>
  </si>
  <si>
    <r>
      <rPr>
        <sz val="9"/>
        <color theme="1"/>
        <rFont val="Arial"/>
        <family val="2"/>
      </rPr>
      <t>Transfer</t>
    </r>
  </si>
  <si>
    <r>
      <rPr>
        <sz val="9"/>
        <color theme="1"/>
        <rFont val="Arial"/>
        <family val="2"/>
      </rPr>
      <t>EVANSVLLE</t>
    </r>
  </si>
  <si>
    <r>
      <rPr>
        <sz val="9"/>
        <color theme="1"/>
        <rFont val="Arial"/>
        <family val="2"/>
      </rPr>
      <t>Death</t>
    </r>
  </si>
  <si>
    <r>
      <rPr>
        <sz val="9"/>
        <color theme="1"/>
        <rFont val="Arial"/>
        <family val="2"/>
      </rPr>
      <t>EVANSVLLE</t>
    </r>
  </si>
  <si>
    <r>
      <rPr>
        <sz val="9"/>
        <color theme="1"/>
        <rFont val="Arial"/>
        <family val="2"/>
      </rPr>
      <t>MINNESOTA</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</si>
  <si>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</si>
  <si>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</si>
  <si>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</si>
  <si>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</si>
  <si>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</si>
  <si>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</si>
  <si>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AKRON</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</si>
  <si>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</si>
  <si>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</si>
  <si>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</si>
  <si>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MINNESOTA</t>
    </r>
  </si>
  <si>
    <r>
      <rPr>
        <sz val="9"/>
        <color theme="1"/>
        <rFont val="Arial"/>
        <family val="2"/>
      </rPr>
      <t>Transfer</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</si>
  <si>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</si>
  <si>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</si>
  <si>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</si>
  <si>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GARDENCTY</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</si>
  <si>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</si>
  <si>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</si>
  <si>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</si>
  <si>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SEATTLE</t>
    </r>
  </si>
  <si>
    <r>
      <rPr>
        <sz val="9"/>
        <color theme="1"/>
        <rFont val="Arial"/>
        <family val="2"/>
      </rPr>
      <t>Transfer</t>
    </r>
  </si>
  <si>
    <r>
      <rPr>
        <sz val="9"/>
        <color theme="1"/>
        <rFont val="Arial"/>
        <family val="2"/>
      </rPr>
      <t>OMAHA</t>
    </r>
  </si>
  <si>
    <r>
      <rPr>
        <sz val="9"/>
        <color theme="1"/>
        <rFont val="Arial"/>
        <family val="2"/>
      </rPr>
      <t>Transfer</t>
    </r>
  </si>
  <si>
    <r>
      <rPr>
        <sz val="9"/>
        <color theme="1"/>
        <rFont val="Arial"/>
        <family val="2"/>
      </rPr>
      <t>GARDENCTY</t>
    </r>
  </si>
  <si>
    <r>
      <rPr>
        <sz val="9"/>
        <color theme="1"/>
        <rFont val="Arial"/>
        <family val="2"/>
      </rPr>
      <t>Death</t>
    </r>
  </si>
  <si>
    <r>
      <rPr>
        <sz val="9"/>
        <color theme="1"/>
        <rFont val="Arial"/>
        <family val="2"/>
      </rPr>
      <t>GARDENCTY</t>
    </r>
  </si>
  <si>
    <r>
      <rPr>
        <sz val="9"/>
        <color theme="1"/>
        <rFont val="Arial"/>
        <family val="2"/>
      </rPr>
      <t>OMAHA</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</si>
  <si>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</si>
  <si>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</si>
  <si>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</si>
  <si>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SEATTLE</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</si>
  <si>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</si>
  <si>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</si>
  <si>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</si>
  <si>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</si>
  <si>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</si>
  <si>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</si>
  <si>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</si>
  <si>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</si>
  <si>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</si>
  <si>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</si>
  <si>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</si>
  <si>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</si>
  <si>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ABQBIOPK</t>
    </r>
  </si>
  <si>
    <r>
      <rPr>
        <sz val="9"/>
        <color theme="1"/>
        <rFont val="Arial"/>
        <family val="2"/>
      </rPr>
      <t>Transfer</t>
    </r>
  </si>
  <si>
    <r>
      <rPr>
        <sz val="9"/>
        <color theme="1"/>
        <rFont val="Arial"/>
        <family val="2"/>
      </rPr>
      <t>CLEVELAND</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</si>
  <si>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</si>
  <si>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</si>
  <si>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</si>
  <si>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</si>
  <si>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BOWMANVIL</t>
    </r>
  </si>
  <si>
    <r>
      <rPr>
        <sz val="9"/>
        <color theme="1"/>
        <rFont val="Arial"/>
        <family val="2"/>
      </rPr>
      <t>L08010</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</si>
  <si>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</si>
  <si>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</si>
  <si>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</si>
  <si>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</si>
  <si>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Transfer</t>
    </r>
  </si>
  <si>
    <r>
      <rPr>
        <sz val="9"/>
        <color theme="1"/>
        <rFont val="Arial"/>
        <family val="2"/>
      </rPr>
      <t>CRYSTAL G</t>
    </r>
  </si>
  <si>
    <r>
      <rPr>
        <sz val="9"/>
        <color theme="1"/>
        <rFont val="Arial"/>
        <family val="2"/>
      </rPr>
      <t>Transfer</t>
    </r>
  </si>
  <si>
    <r>
      <rPr>
        <sz val="9"/>
        <color theme="1"/>
        <rFont val="Arial"/>
        <family val="2"/>
      </rPr>
      <t>OASES</t>
    </r>
  </si>
  <si>
    <r>
      <rPr>
        <sz val="9"/>
        <color theme="1"/>
        <rFont val="Arial"/>
        <family val="2"/>
      </rPr>
      <t>Transfer</t>
    </r>
  </si>
  <si>
    <r>
      <rPr>
        <sz val="9"/>
        <color theme="1"/>
        <rFont val="Arial"/>
        <family val="2"/>
      </rPr>
      <t>LANGLEY</t>
    </r>
  </si>
  <si>
    <r>
      <rPr>
        <sz val="9"/>
        <color theme="1"/>
        <rFont val="Arial"/>
        <family val="2"/>
      </rPr>
      <t>Transfer</t>
    </r>
  </si>
  <si>
    <r>
      <rPr>
        <sz val="9"/>
        <color theme="1"/>
        <rFont val="Arial"/>
        <family val="2"/>
      </rPr>
      <t>BOWMANVIL</t>
    </r>
  </si>
  <si>
    <r>
      <rPr>
        <sz val="9"/>
        <color theme="1"/>
        <rFont val="Arial"/>
        <family val="2"/>
      </rPr>
      <t>Death</t>
    </r>
  </si>
  <si>
    <r>
      <rPr>
        <sz val="9"/>
        <color theme="1"/>
        <rFont val="Arial"/>
        <family val="2"/>
      </rPr>
      <t>BOWMANVIL</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</si>
  <si>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</si>
  <si>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</si>
  <si>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</si>
  <si>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</si>
  <si>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</si>
  <si>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</si>
  <si>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</si>
  <si>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</si>
  <si>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</si>
  <si>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</si>
  <si>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</si>
  <si>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</si>
  <si>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</si>
  <si>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</si>
  <si>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AKRON</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</si>
  <si>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</si>
  <si>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</si>
  <si>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</si>
  <si>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</si>
  <si>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</si>
  <si>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</si>
  <si>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</si>
  <si>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</si>
  <si>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ATTLEBORO</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</si>
  <si>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</si>
  <si>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</si>
  <si>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</si>
  <si>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</si>
  <si>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</si>
  <si>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ATTLEBORO</t>
    </r>
  </si>
  <si>
    <r>
      <rPr>
        <sz val="9"/>
        <color theme="1"/>
        <rFont val="Arial"/>
        <family val="2"/>
      </rPr>
      <t>Death</t>
    </r>
  </si>
  <si>
    <r>
      <rPr>
        <sz val="9"/>
        <color theme="1"/>
        <rFont val="Arial"/>
        <family val="2"/>
      </rPr>
      <t>ATTLEBORO</t>
    </r>
  </si>
  <si>
    <r>
      <rPr>
        <sz val="9"/>
        <color theme="1"/>
        <rFont val="Arial"/>
        <family val="2"/>
      </rPr>
      <t>PUEBLO</t>
    </r>
  </si>
  <si>
    <r>
      <rPr>
        <sz val="9"/>
        <color theme="1"/>
        <rFont val="Arial"/>
        <family val="2"/>
      </rPr>
      <t>M22006</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</si>
  <si>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</si>
  <si>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</si>
  <si>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</si>
  <si>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</si>
  <si>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</si>
  <si>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13/Jan/2004 +/- 1 day</t>
    </r>
  </si>
  <si>
    <r>
      <rPr>
        <sz val="9"/>
        <color theme="1"/>
        <rFont val="Arial"/>
        <family val="2"/>
      </rPr>
      <t>PUEBLO</t>
    </r>
  </si>
  <si>
    <r>
      <rPr>
        <sz val="9"/>
        <color theme="1"/>
        <rFont val="Arial"/>
        <family val="2"/>
      </rPr>
      <t>BUSCH TAM</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</si>
  <si>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</si>
  <si>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</si>
  <si>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</si>
  <si>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PUEBLO</t>
    </r>
  </si>
  <si>
    <r>
      <rPr>
        <sz val="9"/>
        <color theme="1"/>
        <rFont val="Arial"/>
        <family val="2"/>
      </rPr>
      <t>Transfer</t>
    </r>
  </si>
  <si>
    <r>
      <rPr>
        <sz val="9"/>
        <color theme="1"/>
        <rFont val="Arial"/>
        <family val="2"/>
      </rPr>
      <t>CHICAGOLP</t>
    </r>
  </si>
  <si>
    <r>
      <rPr>
        <sz val="9"/>
        <color theme="1"/>
        <rFont val="Arial"/>
        <family val="2"/>
      </rPr>
      <t>Transfer</t>
    </r>
  </si>
  <si>
    <r>
      <rPr>
        <sz val="9"/>
        <color theme="1"/>
        <rFont val="Arial"/>
        <family val="2"/>
      </rPr>
      <t>BUSCH TAM</t>
    </r>
  </si>
  <si>
    <r>
      <rPr>
        <sz val="9"/>
        <color theme="1"/>
        <rFont val="Arial"/>
        <family val="2"/>
      </rPr>
      <t>Death</t>
    </r>
  </si>
  <si>
    <r>
      <rPr>
        <sz val="9"/>
        <color theme="1"/>
        <rFont val="Arial"/>
        <family val="2"/>
      </rPr>
      <t>BUSCH TAM</t>
    </r>
  </si>
  <si>
    <r>
      <rPr>
        <sz val="9"/>
        <color theme="1"/>
        <rFont val="Arial"/>
        <family val="2"/>
      </rPr>
      <t>CHICAGOLP</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</si>
  <si>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</si>
  <si>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</si>
  <si>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</si>
  <si>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MINNESOTA</t>
    </r>
  </si>
  <si>
    <r>
      <rPr>
        <sz val="9"/>
        <color theme="1"/>
        <rFont val="Arial"/>
        <family val="2"/>
      </rPr>
      <t>Transfer</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</si>
  <si>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</si>
  <si>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</si>
  <si>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</si>
  <si>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CLEVELAND</t>
    </r>
  </si>
  <si>
    <r>
      <rPr>
        <sz val="9"/>
        <color theme="1"/>
        <rFont val="Arial"/>
        <family val="2"/>
      </rPr>
      <t>M31008</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</si>
  <si>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</si>
  <si>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</si>
  <si>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</si>
  <si>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MINNESOTA</t>
    </r>
  </si>
  <si>
    <r>
      <rPr>
        <sz val="9"/>
        <color theme="1"/>
        <rFont val="Arial"/>
        <family val="2"/>
      </rPr>
      <t>Transfer</t>
    </r>
  </si>
  <si>
    <r>
      <rPr>
        <sz val="9"/>
        <color theme="1"/>
        <rFont val="Arial"/>
        <family val="2"/>
      </rPr>
      <t>CLEVELAND</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</si>
  <si>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</si>
  <si>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</si>
  <si>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</si>
  <si>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</si>
  <si>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</si>
  <si>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</si>
  <si>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</si>
  <si>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</si>
  <si>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</si>
  <si>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</si>
  <si>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</si>
  <si>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Death</t>
    </r>
  </si>
  <si>
    <r>
      <rPr>
        <sz val="9"/>
        <color theme="1"/>
        <rFont val="Arial"/>
        <family val="2"/>
      </rPr>
      <t>CLEVELAND</t>
    </r>
  </si>
  <si>
    <r>
      <rPr>
        <sz val="9"/>
        <color theme="1"/>
        <rFont val="Arial"/>
        <family val="2"/>
      </rPr>
      <t>CLEVELAND</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</si>
  <si>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</si>
  <si>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</si>
  <si>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</si>
  <si>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SEATTLE</t>
    </r>
  </si>
  <si>
    <r>
      <rPr>
        <sz val="9"/>
        <color theme="1"/>
        <rFont val="Arial"/>
        <family val="2"/>
      </rPr>
      <t>Transfer</t>
    </r>
  </si>
  <si>
    <r>
      <rPr>
        <sz val="9"/>
        <color theme="1"/>
        <rFont val="Arial"/>
        <family val="2"/>
      </rPr>
      <t>ABQBIOPK</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</si>
  <si>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</si>
  <si>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</si>
  <si>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</si>
  <si>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</si>
  <si>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MEMPHIS</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</si>
  <si>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</si>
  <si>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</si>
  <si>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</si>
  <si>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SEATTLE</t>
    </r>
  </si>
  <si>
    <r>
      <rPr>
        <sz val="9"/>
        <color theme="1"/>
        <rFont val="Arial"/>
        <family val="2"/>
      </rPr>
      <t>Transfer</t>
    </r>
  </si>
  <si>
    <r>
      <rPr>
        <sz val="9"/>
        <color theme="1"/>
        <rFont val="Arial"/>
        <family val="2"/>
      </rPr>
      <t>MEMPHIS</t>
    </r>
  </si>
  <si>
    <r>
      <rPr>
        <sz val="9"/>
        <color theme="1"/>
        <rFont val="Arial"/>
        <family val="2"/>
      </rPr>
      <t>Death</t>
    </r>
  </si>
  <si>
    <r>
      <rPr>
        <sz val="9"/>
        <color theme="1"/>
        <rFont val="Arial"/>
        <family val="2"/>
      </rPr>
      <t>MEMPHIS</t>
    </r>
  </si>
  <si>
    <r>
      <rPr>
        <sz val="9"/>
        <color theme="1"/>
        <rFont val="Arial"/>
        <family val="2"/>
      </rPr>
      <t>MEMPHIS</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</si>
  <si>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</si>
  <si>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</si>
  <si>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</si>
  <si>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</si>
  <si>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Transfer</t>
    </r>
  </si>
  <si>
    <r>
      <rPr>
        <sz val="9"/>
        <color rgb="FF000000"/>
        <rFont val="Arial"/>
        <family val="2"/>
      </rPr>
      <t xml:space="preserve">01/Jan/2007 +/-
</t>
    </r>
    <r>
      <rPr>
        <sz val="9"/>
        <color rgb="FF000000"/>
        <rFont val="Arial"/>
        <family val="2"/>
      </rPr>
      <t>6 month</t>
    </r>
  </si>
  <si>
    <r>
      <rPr>
        <sz val="9"/>
        <color theme="1"/>
        <rFont val="Arial"/>
        <family val="2"/>
      </rPr>
      <t>ST LOUIS</t>
    </r>
  </si>
  <si>
    <r>
      <rPr>
        <sz val="9"/>
        <color theme="1"/>
        <rFont val="Arial"/>
        <family val="2"/>
      </rPr>
      <t>Transfer</t>
    </r>
  </si>
  <si>
    <r>
      <rPr>
        <sz val="9"/>
        <color theme="1"/>
        <rFont val="Arial"/>
        <family val="2"/>
      </rPr>
      <t>MEMPHIS</t>
    </r>
  </si>
  <si>
    <r>
      <rPr>
        <sz val="9"/>
        <color theme="1"/>
        <rFont val="Arial"/>
        <family val="2"/>
      </rPr>
      <t>Death</t>
    </r>
  </si>
  <si>
    <r>
      <rPr>
        <sz val="9"/>
        <color theme="1"/>
        <rFont val="Arial"/>
        <family val="2"/>
      </rPr>
      <t>MEMPHIS</t>
    </r>
  </si>
  <si>
    <r>
      <rPr>
        <sz val="9"/>
        <color theme="1"/>
        <rFont val="Arial"/>
        <family val="2"/>
      </rPr>
      <t>NY BRONX</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</si>
  <si>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</si>
  <si>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</si>
  <si>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</si>
  <si>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</si>
  <si>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Transfer</t>
    </r>
  </si>
  <si>
    <r>
      <rPr>
        <sz val="9"/>
        <color theme="1"/>
        <rFont val="Arial"/>
        <family val="2"/>
      </rPr>
      <t>ST LOUIS</t>
    </r>
  </si>
  <si>
    <r>
      <rPr>
        <sz val="9"/>
        <color theme="1"/>
        <rFont val="Arial"/>
        <family val="2"/>
      </rPr>
      <t>Transfer</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</si>
  <si>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</si>
  <si>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</si>
  <si>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</si>
  <si>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AKRON</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</si>
  <si>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</si>
  <si>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</si>
  <si>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</si>
  <si>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</si>
  <si>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Transfer</t>
    </r>
  </si>
  <si>
    <r>
      <rPr>
        <sz val="9"/>
        <color theme="1"/>
        <rFont val="Arial"/>
        <family val="2"/>
      </rPr>
      <t>MINNESOTA</t>
    </r>
  </si>
  <si>
    <r>
      <rPr>
        <sz val="9"/>
        <color theme="1"/>
        <rFont val="Arial"/>
        <family val="2"/>
      </rPr>
      <t>Transfer</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</si>
  <si>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</si>
  <si>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</si>
  <si>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</si>
  <si>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PUEBLO</t>
    </r>
  </si>
  <si>
    <r>
      <rPr>
        <sz val="9"/>
        <color theme="1"/>
        <rFont val="Arial"/>
        <family val="2"/>
      </rPr>
      <t>M23003</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</si>
  <si>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</si>
  <si>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</si>
  <si>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</si>
  <si>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</si>
  <si>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</si>
  <si>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</si>
  <si>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DUKE PRIM</t>
    </r>
  </si>
  <si>
    <r>
      <rPr>
        <sz val="9"/>
        <color theme="1"/>
        <rFont val="Arial"/>
        <family val="2"/>
      </rPr>
      <t>Male</t>
    </r>
  </si>
  <si>
    <r>
      <rPr>
        <sz val="9"/>
        <color rgb="FF000000"/>
        <rFont val="Arial"/>
        <family val="2"/>
      </rPr>
      <t xml:space="preserve">03/Jan/2002 +/-
</t>
    </r>
    <r>
      <rPr>
        <sz val="9"/>
        <color rgb="FF000000"/>
        <rFont val="Arial"/>
        <family val="2"/>
      </rPr>
      <t>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</si>
  <si>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</si>
  <si>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</si>
  <si>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</si>
  <si>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</si>
  <si>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rgb="FF000000"/>
        <rFont val="Arial"/>
        <family val="2"/>
      </rPr>
      <t xml:space="preserve">03/Jan/2002 +/-
</t>
    </r>
    <r>
      <rPr>
        <sz val="9"/>
        <color rgb="FF000000"/>
        <rFont val="Arial"/>
        <family val="2"/>
      </rPr>
      <t>6 month</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</si>
  <si>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</si>
  <si>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</si>
  <si>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</si>
  <si>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</si>
  <si>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</si>
  <si>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01/Jun/2002 +/- 1 day</t>
    </r>
  </si>
  <si>
    <r>
      <rPr>
        <sz val="9"/>
        <color theme="1"/>
        <rFont val="Arial"/>
        <family val="2"/>
      </rPr>
      <t>USFWS</t>
    </r>
  </si>
  <si>
    <r>
      <rPr>
        <sz val="9"/>
        <color theme="1"/>
        <rFont val="Arial"/>
        <family val="2"/>
      </rPr>
      <t>Transfer</t>
    </r>
  </si>
  <si>
    <r>
      <rPr>
        <sz val="9"/>
        <color theme="1"/>
        <rFont val="Arial"/>
        <family val="2"/>
      </rPr>
      <t>LOSANGELE</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</si>
  <si>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</si>
  <si>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</si>
  <si>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</si>
  <si>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</si>
  <si>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LOSANGELE</t>
    </r>
  </si>
  <si>
    <r>
      <rPr>
        <sz val="9"/>
        <color theme="1"/>
        <rFont val="Arial"/>
        <family val="2"/>
      </rPr>
      <t>Female</t>
    </r>
  </si>
  <si>
    <r>
      <rPr>
        <sz val="9"/>
        <color theme="1"/>
        <rFont val="Arial"/>
        <family val="2"/>
      </rPr>
      <t>Undetermined</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</si>
  <si>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</si>
  <si>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</si>
  <si>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</si>
  <si>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</si>
  <si>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Undetermined</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</si>
  <si>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</si>
  <si>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</si>
  <si>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</si>
  <si>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</si>
  <si>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</si>
  <si>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rgb="FF000000"/>
        <rFont val="Arial"/>
        <family val="2"/>
      </rPr>
      <t xml:space="preserve">01/Jun/2002 +/-
</t>
    </r>
    <r>
      <rPr>
        <sz val="9"/>
        <color rgb="FF000000"/>
        <rFont val="Arial"/>
        <family val="2"/>
      </rPr>
      <t>1 day</t>
    </r>
  </si>
  <si>
    <r>
      <rPr>
        <sz val="9"/>
        <color theme="1"/>
        <rFont val="Arial"/>
        <family val="2"/>
      </rPr>
      <t>USFWS</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</si>
  <si>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</si>
  <si>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</si>
  <si>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</si>
  <si>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</si>
  <si>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</si>
  <si>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</si>
  <si>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</si>
  <si>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</si>
  <si>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</si>
  <si>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</si>
  <si>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</si>
  <si>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</si>
  <si>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LOSANGELE</t>
    </r>
  </si>
  <si>
    <r>
      <rPr>
        <sz val="9"/>
        <color theme="1"/>
        <rFont val="Arial"/>
        <family val="2"/>
      </rPr>
      <t>Death</t>
    </r>
  </si>
  <si>
    <r>
      <rPr>
        <sz val="9"/>
        <color theme="1"/>
        <rFont val="Arial"/>
        <family val="2"/>
      </rPr>
      <t>LOSANGELE</t>
    </r>
  </si>
  <si>
    <r>
      <rPr>
        <sz val="9"/>
        <color theme="1"/>
        <rFont val="Arial"/>
        <family val="2"/>
      </rPr>
      <t>DUKE PRIM</t>
    </r>
  </si>
  <si>
    <r>
      <rPr>
        <sz val="9"/>
        <color theme="1"/>
        <rFont val="Arial"/>
        <family val="2"/>
      </rPr>
      <t>Female</t>
    </r>
  </si>
  <si>
    <r>
      <rPr>
        <sz val="9"/>
        <color theme="1"/>
        <rFont val="Arial"/>
        <family val="2"/>
      </rPr>
      <t>01/Jan/1997 +/- 6 month</t>
    </r>
  </si>
  <si>
    <r>
      <rPr>
        <sz val="9"/>
        <color theme="1"/>
        <rFont val="Arial"/>
        <family val="2"/>
      </rPr>
      <t>WILD</t>
    </r>
  </si>
  <si>
    <r>
      <rPr>
        <sz val="9"/>
        <color theme="1"/>
        <rFont val="Arial"/>
        <family val="2"/>
      </rPr>
      <t>WILD</t>
    </r>
  </si>
  <si>
    <r>
      <rPr>
        <sz val="9"/>
        <color theme="1"/>
        <rFont val="Arial"/>
        <family val="2"/>
      </rPr>
      <t>Wild Birth/Hatch</t>
    </r>
  </si>
  <si>
    <r>
      <rPr>
        <sz val="9"/>
        <color theme="1"/>
        <rFont val="Arial"/>
        <family val="2"/>
      </rPr>
      <t>Birth/Hatch</t>
    </r>
  </si>
  <si>
    <r>
      <rPr>
        <sz val="9"/>
        <color theme="1"/>
        <rFont val="Arial"/>
        <family val="2"/>
      </rPr>
      <t>01/Jan/1997 +/- 6 month</t>
    </r>
  </si>
  <si>
    <r>
      <rPr>
        <sz val="9"/>
        <color theme="1"/>
        <rFont val="Arial"/>
        <family val="2"/>
      </rPr>
      <t>Undetermined</t>
    </r>
  </si>
  <si>
    <r>
      <rPr>
        <sz val="9"/>
        <color theme="1"/>
        <rFont val="Arial"/>
        <family val="2"/>
      </rPr>
      <t>Wild Capture</t>
    </r>
  </si>
  <si>
    <r>
      <rPr>
        <sz val="9"/>
        <color theme="1"/>
        <rFont val="Arial"/>
        <family val="2"/>
      </rPr>
      <t>Undetermined</t>
    </r>
  </si>
  <si>
    <r>
      <rPr>
        <sz val="9"/>
        <color theme="1"/>
        <rFont val="Arial"/>
        <family val="2"/>
      </rPr>
      <t>Undetermined</t>
    </r>
  </si>
  <si>
    <r>
      <rPr>
        <sz val="9"/>
        <color theme="1"/>
        <rFont val="Arial"/>
        <family val="2"/>
      </rPr>
      <t>Transfer</t>
    </r>
  </si>
  <si>
    <r>
      <rPr>
        <sz val="9"/>
        <color theme="1"/>
        <rFont val="Arial"/>
        <family val="2"/>
      </rPr>
      <t>01/Jan/2001 +/- 6 month</t>
    </r>
  </si>
  <si>
    <r>
      <rPr>
        <sz val="9"/>
        <color theme="1"/>
        <rFont val="Arial"/>
        <family val="2"/>
      </rPr>
      <t>PUBLIC</t>
    </r>
  </si>
  <si>
    <r>
      <rPr>
        <sz val="9"/>
        <color theme="1"/>
        <rFont val="Arial"/>
        <family val="2"/>
      </rPr>
      <t>Transfer</t>
    </r>
  </si>
  <si>
    <r>
      <rPr>
        <sz val="9"/>
        <color theme="1"/>
        <rFont val="Arial"/>
        <family val="2"/>
      </rPr>
      <t>MYAKKACLR</t>
    </r>
  </si>
  <si>
    <r>
      <rPr>
        <sz val="9"/>
        <color theme="1"/>
        <rFont val="Arial"/>
        <family val="2"/>
      </rPr>
      <t>Transfer</t>
    </r>
  </si>
  <si>
    <r>
      <rPr>
        <sz val="9"/>
        <color theme="1"/>
        <rFont val="Arial"/>
        <family val="2"/>
      </rPr>
      <t>AUDUBON</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</si>
  <si>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</si>
  <si>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</si>
  <si>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</si>
  <si>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</si>
  <si>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NY BRONX</t>
    </r>
  </si>
  <si>
    <r>
      <rPr>
        <sz val="9"/>
        <color theme="1"/>
        <rFont val="Arial"/>
        <family val="2"/>
      </rPr>
      <t>M07143</t>
    </r>
  </si>
  <si>
    <r>
      <rPr>
        <sz val="9"/>
        <color theme="1"/>
        <rFont val="Arial"/>
        <family val="2"/>
      </rPr>
      <t>Female</t>
    </r>
  </si>
  <si>
    <r>
      <rPr>
        <sz val="9"/>
        <color rgb="FF000000"/>
        <rFont val="Arial"/>
        <family val="2"/>
      </rPr>
      <t xml:space="preserve">01/Jan/2001 +/-
</t>
    </r>
    <r>
      <rPr>
        <sz val="9"/>
        <color rgb="FF000000"/>
        <rFont val="Arial"/>
        <family val="2"/>
      </rPr>
      <t>6 month</t>
    </r>
  </si>
  <si>
    <r>
      <rPr>
        <sz val="9"/>
        <color theme="1"/>
        <rFont val="Arial"/>
        <family val="2"/>
      </rPr>
      <t>WILD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</si>
  <si>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</si>
  <si>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</si>
  <si>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rgb="FF000000"/>
        <rFont val="Arial"/>
        <family val="2"/>
      </rPr>
      <t xml:space="preserve">01/Jan/2001 +/-
</t>
    </r>
    <r>
      <rPr>
        <sz val="9"/>
        <color rgb="FF000000"/>
        <rFont val="Arial"/>
        <family val="2"/>
      </rPr>
      <t>6 month</t>
    </r>
  </si>
  <si>
    <r>
      <rPr>
        <sz val="9"/>
        <color theme="1"/>
        <rFont val="Arial"/>
        <family val="2"/>
      </rPr>
      <t>PUBLIC</t>
    </r>
  </si>
  <si>
    <r>
      <rPr>
        <sz val="9"/>
        <color theme="1"/>
        <rFont val="Arial"/>
        <family val="2"/>
      </rPr>
      <t>Transfer</t>
    </r>
  </si>
  <si>
    <r>
      <rPr>
        <sz val="9"/>
        <color theme="1"/>
        <rFont val="Arial"/>
        <family val="2"/>
      </rPr>
      <t>MYAKKACLR</t>
    </r>
  </si>
  <si>
    <r>
      <rPr>
        <sz val="9"/>
        <color theme="1"/>
        <rFont val="Arial"/>
        <family val="2"/>
      </rPr>
      <t>Transfer</t>
    </r>
  </si>
  <si>
    <r>
      <rPr>
        <sz val="9"/>
        <color theme="1"/>
        <rFont val="Arial"/>
        <family val="2"/>
      </rPr>
      <t>AUDUBON</t>
    </r>
  </si>
  <si>
    <r>
      <rPr>
        <sz val="9"/>
        <color theme="1"/>
        <rFont val="Arial"/>
        <family val="2"/>
      </rPr>
      <t>Transfer</t>
    </r>
  </si>
  <si>
    <r>
      <rPr>
        <sz val="9"/>
        <color theme="1"/>
        <rFont val="Arial"/>
        <family val="2"/>
      </rPr>
      <t>CALGARY</t>
    </r>
  </si>
  <si>
    <r>
      <rPr>
        <sz val="9"/>
        <color theme="1"/>
        <rFont val="Arial"/>
        <family val="2"/>
      </rPr>
      <t>Transfer</t>
    </r>
  </si>
  <si>
    <r>
      <rPr>
        <sz val="9"/>
        <color theme="1"/>
        <rFont val="Arial"/>
        <family val="2"/>
      </rPr>
      <t>ST LOUIS</t>
    </r>
  </si>
  <si>
    <r>
      <rPr>
        <sz val="9"/>
        <color theme="1"/>
        <rFont val="Arial"/>
        <family val="2"/>
      </rPr>
      <t>Transfer</t>
    </r>
  </si>
  <si>
    <r>
      <rPr>
        <sz val="9"/>
        <color rgb="FF000000"/>
        <rFont val="Arial"/>
        <family val="2"/>
      </rPr>
      <t xml:space="preserve">16/Oct/2007 +/-
</t>
    </r>
    <r>
      <rPr>
        <sz val="9"/>
        <color rgb="FF000000"/>
        <rFont val="Arial"/>
        <family val="2"/>
      </rPr>
      <t>6 month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</si>
  <si>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</si>
  <si>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</si>
  <si>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</si>
  <si>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DUKE PRIM</t>
    </r>
  </si>
  <si>
    <r>
      <rPr>
        <sz val="9"/>
        <color theme="1"/>
        <rFont val="Arial"/>
        <family val="2"/>
      </rPr>
      <t>Female</t>
    </r>
  </si>
  <si>
    <r>
      <rPr>
        <sz val="9"/>
        <color theme="1"/>
        <rFont val="Arial"/>
        <family val="2"/>
      </rPr>
      <t>01/Jan/2002 +/- 15 day</t>
    </r>
  </si>
  <si>
    <r>
      <rPr>
        <sz val="9"/>
        <color theme="1"/>
        <rFont val="Arial"/>
        <family val="2"/>
      </rPr>
      <t>WILD</t>
    </r>
  </si>
  <si>
    <r>
      <rPr>
        <sz val="9"/>
        <color theme="1"/>
        <rFont val="Arial"/>
        <family val="2"/>
      </rPr>
      <t>Captive Birth/Hatch</t>
    </r>
  </si>
  <si>
    <r>
      <rPr>
        <sz val="9"/>
        <color theme="1"/>
        <rFont val="Arial"/>
        <family val="2"/>
      </rPr>
      <t>Birth/Hatch</t>
    </r>
  </si>
  <si>
    <r>
      <rPr>
        <sz val="9"/>
        <color theme="1"/>
        <rFont val="Arial"/>
        <family val="2"/>
      </rPr>
      <t>01/Jan/2002 +/- 15 day</t>
    </r>
  </si>
  <si>
    <r>
      <rPr>
        <sz val="9"/>
        <color theme="1"/>
        <rFont val="Arial"/>
        <family val="2"/>
      </rPr>
      <t>PUBLIC</t>
    </r>
  </si>
  <si>
    <r>
      <rPr>
        <sz val="9"/>
        <color theme="1"/>
        <rFont val="Arial"/>
        <family val="2"/>
      </rPr>
      <t>Transfer</t>
    </r>
  </si>
  <si>
    <r>
      <rPr>
        <sz val="9"/>
        <color theme="1"/>
        <rFont val="Arial"/>
        <family val="2"/>
      </rPr>
      <t>AUDUBON</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</si>
  <si>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</si>
  <si>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</si>
  <si>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</si>
  <si>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</si>
  <si>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CHICAGOBR</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</si>
  <si>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</si>
  <si>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</si>
  <si>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</si>
  <si>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</si>
  <si>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</si>
  <si>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</si>
  <si>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CHICAGOBR</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</si>
  <si>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</si>
  <si>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</si>
  <si>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</si>
  <si>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</si>
  <si>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</si>
  <si>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</si>
  <si>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EVANSVLLE</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</si>
  <si>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</si>
  <si>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</si>
  <si>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</si>
  <si>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</si>
  <si>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Transfer</t>
    </r>
  </si>
  <si>
    <r>
      <rPr>
        <sz val="9"/>
        <color theme="1"/>
        <rFont val="Arial"/>
        <family val="2"/>
      </rPr>
      <t>ST LOUIS</t>
    </r>
  </si>
  <si>
    <r>
      <rPr>
        <sz val="9"/>
        <color theme="1"/>
        <rFont val="Arial"/>
        <family val="2"/>
      </rPr>
      <t>Transfer</t>
    </r>
  </si>
  <si>
    <r>
      <rPr>
        <sz val="9"/>
        <color theme="1"/>
        <rFont val="Arial"/>
        <family val="2"/>
      </rPr>
      <t>MEMPHIS</t>
    </r>
  </si>
  <si>
    <r>
      <rPr>
        <sz val="9"/>
        <color theme="1"/>
        <rFont val="Arial"/>
        <family val="2"/>
      </rPr>
      <t>Transfer</t>
    </r>
  </si>
  <si>
    <r>
      <rPr>
        <sz val="9"/>
        <color theme="1"/>
        <rFont val="Arial"/>
        <family val="2"/>
      </rPr>
      <t>EVANSVLLE</t>
    </r>
  </si>
  <si>
    <r>
      <rPr>
        <sz val="9"/>
        <color theme="1"/>
        <rFont val="Arial"/>
        <family val="2"/>
      </rPr>
      <t>Death</t>
    </r>
  </si>
  <si>
    <r>
      <rPr>
        <sz val="9"/>
        <color theme="1"/>
        <rFont val="Arial"/>
        <family val="2"/>
      </rPr>
      <t>EVANSVLLE</t>
    </r>
  </si>
  <si>
    <r>
      <rPr>
        <sz val="9"/>
        <color theme="1"/>
        <rFont val="Arial"/>
        <family val="2"/>
      </rPr>
      <t>OMAHA</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</si>
  <si>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</si>
  <si>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</si>
  <si>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</si>
  <si>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</si>
  <si>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Transfer</t>
    </r>
  </si>
  <si>
    <r>
      <rPr>
        <sz val="9"/>
        <color theme="1"/>
        <rFont val="Arial"/>
        <family val="2"/>
      </rPr>
      <t>GRANBY</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</si>
  <si>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</si>
  <si>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</si>
  <si>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</si>
  <si>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</si>
  <si>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</si>
  <si>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</si>
  <si>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</si>
  <si>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</si>
  <si>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</si>
  <si>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</si>
  <si>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</si>
  <si>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</si>
  <si>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NY BRONX</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</si>
  <si>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</si>
  <si>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</si>
  <si>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</si>
  <si>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</si>
  <si>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EVANSVLLE</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</si>
  <si>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</si>
  <si>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</si>
  <si>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</si>
  <si>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QUEBEC</t>
    </r>
  </si>
  <si>
    <r>
      <rPr>
        <sz val="9"/>
        <color theme="1"/>
        <rFont val="Arial"/>
        <family val="2"/>
      </rPr>
      <t>Transfer</t>
    </r>
  </si>
  <si>
    <r>
      <rPr>
        <sz val="9"/>
        <color theme="1"/>
        <rFont val="Arial"/>
        <family val="2"/>
      </rPr>
      <t>GRANBY</t>
    </r>
  </si>
  <si>
    <r>
      <rPr>
        <sz val="9"/>
        <color theme="1"/>
        <rFont val="Arial"/>
        <family val="2"/>
      </rPr>
      <t>Transfer</t>
    </r>
  </si>
  <si>
    <r>
      <rPr>
        <sz val="9"/>
        <color theme="1"/>
        <rFont val="Arial"/>
        <family val="2"/>
      </rPr>
      <t>NY BRONX</t>
    </r>
  </si>
  <si>
    <r>
      <rPr>
        <sz val="9"/>
        <color theme="1"/>
        <rFont val="Arial"/>
        <family val="2"/>
      </rPr>
      <t>Transfer</t>
    </r>
  </si>
  <si>
    <r>
      <rPr>
        <sz val="9"/>
        <color theme="1"/>
        <rFont val="Arial"/>
        <family val="2"/>
      </rPr>
      <t>14/May/2014 +/- 15 day</t>
    </r>
  </si>
  <si>
    <r>
      <rPr>
        <sz val="9"/>
        <color theme="1"/>
        <rFont val="Arial"/>
        <family val="2"/>
      </rPr>
      <t>EVANSVLLE</t>
    </r>
  </si>
  <si>
    <r>
      <rPr>
        <sz val="9"/>
        <color theme="1"/>
        <rFont val="Arial"/>
        <family val="2"/>
      </rPr>
      <t>Death</t>
    </r>
  </si>
  <si>
    <r>
      <rPr>
        <sz val="9"/>
        <color theme="1"/>
        <rFont val="Arial"/>
        <family val="2"/>
      </rPr>
      <t>EVANSVLLE</t>
    </r>
  </si>
  <si>
    <r>
      <rPr>
        <sz val="9"/>
        <color theme="1"/>
        <rFont val="Arial"/>
        <family val="2"/>
      </rPr>
      <t>ATTLEBORO</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</si>
  <si>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</si>
  <si>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</si>
  <si>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</si>
  <si>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</si>
  <si>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Transfer</t>
    </r>
  </si>
  <si>
    <r>
      <rPr>
        <sz val="9"/>
        <color theme="1"/>
        <rFont val="Arial"/>
        <family val="2"/>
      </rPr>
      <t>HOUSTON</t>
    </r>
  </si>
  <si>
    <r>
      <rPr>
        <sz val="9"/>
        <color theme="1"/>
        <rFont val="Arial"/>
        <family val="2"/>
      </rPr>
      <t>Transfer</t>
    </r>
  </si>
  <si>
    <r>
      <rPr>
        <sz val="9"/>
        <color theme="1"/>
        <rFont val="Arial"/>
        <family val="2"/>
      </rPr>
      <t>ATTLEBORO</t>
    </r>
  </si>
  <si>
    <r>
      <rPr>
        <sz val="9"/>
        <color theme="1"/>
        <rFont val="Arial"/>
        <family val="2"/>
      </rPr>
      <t>Death</t>
    </r>
  </si>
  <si>
    <r>
      <rPr>
        <sz val="9"/>
        <color theme="1"/>
        <rFont val="Arial"/>
        <family val="2"/>
      </rPr>
      <t>ATTLEBORO</t>
    </r>
  </si>
  <si>
    <r>
      <rPr>
        <sz val="9"/>
        <color theme="1"/>
        <rFont val="Arial"/>
        <family val="2"/>
      </rPr>
      <t>PUEBLO</t>
    </r>
  </si>
  <si>
    <r>
      <rPr>
        <sz val="9"/>
        <color theme="1"/>
        <rFont val="Arial"/>
        <family val="2"/>
      </rPr>
      <t>M23048</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</si>
  <si>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</si>
  <si>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</si>
  <si>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</si>
  <si>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</si>
  <si>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</si>
  <si>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</si>
  <si>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</si>
  <si>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</si>
  <si>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</si>
  <si>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</si>
  <si>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</si>
  <si>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</si>
  <si>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</si>
  <si>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OMAHA</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</si>
  <si>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</si>
  <si>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</si>
  <si>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</si>
  <si>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</si>
  <si>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</si>
  <si>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</si>
  <si>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SEATTLE</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</si>
  <si>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</si>
  <si>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</si>
  <si>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</si>
  <si>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SEATTLE</t>
    </r>
  </si>
  <si>
    <r>
      <rPr>
        <sz val="9"/>
        <color theme="1"/>
        <rFont val="Arial"/>
        <family val="2"/>
      </rPr>
      <t>Death</t>
    </r>
  </si>
  <si>
    <r>
      <rPr>
        <sz val="9"/>
        <color theme="1"/>
        <rFont val="Arial"/>
        <family val="2"/>
      </rPr>
      <t>SEATTLE</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</si>
  <si>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</si>
  <si>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</si>
  <si>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</si>
  <si>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</si>
  <si>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MINNESOTA</t>
    </r>
  </si>
  <si>
    <r>
      <rPr>
        <sz val="9"/>
        <color theme="1"/>
        <rFont val="Arial"/>
        <family val="2"/>
      </rPr>
      <t>Transfer</t>
    </r>
  </si>
  <si>
    <r>
      <rPr>
        <sz val="9"/>
        <color theme="1"/>
        <rFont val="Arial"/>
        <family val="2"/>
      </rPr>
      <t>ABQBIOPK</t>
    </r>
  </si>
  <si>
    <r>
      <rPr>
        <sz val="9"/>
        <color theme="1"/>
        <rFont val="Arial"/>
        <family val="2"/>
      </rPr>
      <t>Transfer</t>
    </r>
  </si>
  <si>
    <r>
      <rPr>
        <sz val="9"/>
        <color theme="1"/>
        <rFont val="Arial"/>
        <family val="2"/>
      </rPr>
      <t>PUEBLO</t>
    </r>
  </si>
  <si>
    <r>
      <rPr>
        <sz val="9"/>
        <color theme="1"/>
        <rFont val="Arial"/>
        <family val="2"/>
      </rPr>
      <t>Transfer</t>
    </r>
  </si>
  <si>
    <r>
      <rPr>
        <sz val="9"/>
        <color theme="1"/>
        <rFont val="Arial"/>
        <family val="2"/>
      </rPr>
      <t>EVANSVLLE</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</si>
  <si>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</si>
  <si>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</si>
  <si>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</si>
  <si>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</si>
  <si>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PUEBLO</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</si>
  <si>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</si>
  <si>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</si>
  <si>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</si>
  <si>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MINNESOTA</t>
    </r>
  </si>
  <si>
    <r>
      <rPr>
        <sz val="9"/>
        <color theme="1"/>
        <rFont val="Arial"/>
        <family val="2"/>
      </rPr>
      <t>Transfer</t>
    </r>
  </si>
  <si>
    <r>
      <rPr>
        <sz val="9"/>
        <color theme="1"/>
        <rFont val="Arial"/>
        <family val="2"/>
      </rPr>
      <t>PHILADELP</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</si>
  <si>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</si>
  <si>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</si>
  <si>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</si>
  <si>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PUEBLO</t>
    </r>
  </si>
  <si>
    <r>
      <rPr>
        <sz val="9"/>
        <color theme="1"/>
        <rFont val="Arial"/>
        <family val="2"/>
      </rPr>
      <t>Death</t>
    </r>
  </si>
  <si>
    <r>
      <rPr>
        <sz val="9"/>
        <color theme="1"/>
        <rFont val="Arial"/>
        <family val="2"/>
      </rPr>
      <t>PUEBLO</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</si>
  <si>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</si>
  <si>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</si>
  <si>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</si>
  <si>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</si>
  <si>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</si>
  <si>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</si>
  <si>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</si>
  <si>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</si>
  <si>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</si>
  <si>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</si>
  <si>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</si>
  <si>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PUEBLO</t>
    </r>
  </si>
  <si>
    <r>
      <rPr>
        <sz val="9"/>
        <color theme="1"/>
        <rFont val="Arial"/>
        <family val="2"/>
      </rPr>
      <t>M24024</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</si>
  <si>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</si>
  <si>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</si>
  <si>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</si>
  <si>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</si>
  <si>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</si>
  <si>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</si>
  <si>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PUEBLO</t>
    </r>
  </si>
  <si>
    <r>
      <rPr>
        <sz val="9"/>
        <color theme="1"/>
        <rFont val="Arial"/>
        <family val="2"/>
      </rPr>
      <t>M24023</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</si>
  <si>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</si>
  <si>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</si>
  <si>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</si>
  <si>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</si>
  <si>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</si>
  <si>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</si>
  <si>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CALGARY</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</si>
  <si>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</si>
  <si>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</si>
  <si>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</si>
  <si>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</si>
  <si>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</si>
  <si>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</si>
  <si>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CALGARY</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</si>
  <si>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</si>
  <si>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</si>
  <si>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</si>
  <si>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</si>
  <si>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</si>
  <si>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</si>
  <si>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SANDIEGOZ</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</si>
  <si>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</si>
  <si>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</si>
  <si>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</si>
  <si>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</si>
  <si>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</si>
  <si>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</si>
  <si>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SANDIEGOZ</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</si>
  <si>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</si>
  <si>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</si>
  <si>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</si>
  <si>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</si>
  <si>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</si>
  <si>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</si>
  <si>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BOWMANVIL</t>
    </r>
  </si>
  <si>
    <r>
      <rPr>
        <sz val="9"/>
        <color theme="1"/>
        <rFont val="Arial"/>
        <family val="2"/>
      </rPr>
      <t>L08007</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</si>
  <si>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</si>
  <si>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</si>
  <si>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</si>
  <si>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QUEBEC</t>
    </r>
  </si>
  <si>
    <r>
      <rPr>
        <sz val="9"/>
        <color theme="1"/>
        <rFont val="Arial"/>
        <family val="2"/>
      </rPr>
      <t>Transfer</t>
    </r>
  </si>
  <si>
    <r>
      <rPr>
        <sz val="9"/>
        <color theme="1"/>
        <rFont val="Arial"/>
        <family val="2"/>
      </rPr>
      <t>LANGLEY</t>
    </r>
  </si>
  <si>
    <r>
      <rPr>
        <sz val="9"/>
        <color theme="1"/>
        <rFont val="Arial"/>
        <family val="2"/>
      </rPr>
      <t>Transfer</t>
    </r>
  </si>
  <si>
    <r>
      <rPr>
        <sz val="9"/>
        <color theme="1"/>
        <rFont val="Arial"/>
        <family val="2"/>
      </rPr>
      <t>BOWMANVIL</t>
    </r>
  </si>
  <si>
    <r>
      <rPr>
        <sz val="9"/>
        <color theme="1"/>
        <rFont val="Arial"/>
        <family val="2"/>
      </rPr>
      <t>GO LTF</t>
    </r>
  </si>
  <si>
    <r>
      <rPr>
        <sz val="9"/>
        <color theme="1"/>
        <rFont val="Arial"/>
        <family val="2"/>
      </rPr>
      <t>BOWMANVIL</t>
    </r>
  </si>
  <si>
    <r>
      <rPr>
        <sz val="9"/>
        <color theme="1"/>
        <rFont val="Arial"/>
        <family val="2"/>
      </rPr>
      <t>PUEBLO</t>
    </r>
  </si>
  <si>
    <r>
      <rPr>
        <sz val="9"/>
        <color theme="1"/>
        <rFont val="Arial"/>
        <family val="2"/>
      </rPr>
      <t>M25007</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</si>
  <si>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</si>
  <si>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</si>
  <si>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</si>
  <si>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</si>
  <si>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</si>
  <si>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</si>
  <si>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PUEBLO</t>
    </r>
  </si>
  <si>
    <r>
      <rPr>
        <sz val="9"/>
        <color theme="1"/>
        <rFont val="Arial"/>
        <family val="2"/>
      </rPr>
      <t>M25008</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</si>
  <si>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</si>
  <si>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</si>
  <si>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</si>
  <si>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</si>
  <si>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</si>
  <si>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</si>
  <si>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CALGARY</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</si>
  <si>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</si>
  <si>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</si>
  <si>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</si>
  <si>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</si>
  <si>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</si>
  <si>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</si>
  <si>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CALGARY</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</si>
  <si>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</si>
  <si>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</si>
  <si>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</si>
  <si>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CALGARY</t>
    </r>
  </si>
  <si>
    <r>
      <rPr>
        <sz val="9"/>
        <color theme="1"/>
        <rFont val="Arial"/>
        <family val="2"/>
      </rPr>
      <t>Death</t>
    </r>
  </si>
  <si>
    <r>
      <rPr>
        <sz val="9"/>
        <color theme="1"/>
        <rFont val="Arial"/>
        <family val="2"/>
      </rPr>
      <t>CALGARY</t>
    </r>
  </si>
  <si>
    <r>
      <rPr>
        <sz val="9"/>
        <color theme="1"/>
        <rFont val="Arial"/>
        <family val="2"/>
      </rPr>
      <t>EL PASO</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</si>
  <si>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</si>
  <si>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</si>
  <si>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</si>
  <si>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</si>
  <si>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</si>
  <si>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EL PASO</t>
    </r>
  </si>
  <si>
    <r>
      <rPr>
        <sz val="9"/>
        <color theme="1"/>
        <rFont val="Arial"/>
        <family val="2"/>
      </rPr>
      <t>Death</t>
    </r>
  </si>
  <si>
    <r>
      <rPr>
        <sz val="9"/>
        <color theme="1"/>
        <rFont val="Arial"/>
        <family val="2"/>
      </rPr>
      <t>EL PASO</t>
    </r>
  </si>
  <si>
    <r>
      <rPr>
        <sz val="9"/>
        <color theme="1"/>
        <rFont val="Arial"/>
        <family val="2"/>
      </rPr>
      <t>EL PASO</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</si>
  <si>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</si>
  <si>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</si>
  <si>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</si>
  <si>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</si>
  <si>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</si>
  <si>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WILD WRLD</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</si>
  <si>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</si>
  <si>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</si>
  <si>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</si>
  <si>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</si>
  <si>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</si>
  <si>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</si>
  <si>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</si>
  <si>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</si>
  <si>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</si>
  <si>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</si>
  <si>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</si>
  <si>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</si>
  <si>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CLEVELAND</t>
    </r>
  </si>
  <si>
    <r>
      <rPr>
        <sz val="9"/>
        <color theme="1"/>
        <rFont val="Arial"/>
        <family val="2"/>
      </rPr>
      <t>Transfer</t>
    </r>
  </si>
  <si>
    <r>
      <rPr>
        <sz val="9"/>
        <color theme="1"/>
        <rFont val="Arial"/>
        <family val="2"/>
      </rPr>
      <t>EL PASO</t>
    </r>
  </si>
  <si>
    <r>
      <rPr>
        <sz val="9"/>
        <color theme="1"/>
        <rFont val="Arial"/>
        <family val="2"/>
      </rPr>
      <t>PUEBLO</t>
    </r>
  </si>
  <si>
    <r>
      <rPr>
        <sz val="9"/>
        <color theme="1"/>
        <rFont val="Arial"/>
        <family val="2"/>
      </rPr>
      <t>M33045</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</si>
  <si>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</si>
  <si>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</si>
  <si>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</si>
  <si>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</si>
  <si>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</si>
  <si>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GARDENCTY</t>
    </r>
  </si>
  <si>
    <r>
      <rPr>
        <sz val="9"/>
        <color theme="1"/>
        <rFont val="Arial"/>
        <family val="2"/>
      </rPr>
      <t>Transfer</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</si>
  <si>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</si>
  <si>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</si>
  <si>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</si>
  <si>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CLEVELAND</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</si>
  <si>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</si>
  <si>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</si>
  <si>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</si>
  <si>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</si>
  <si>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</si>
  <si>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</si>
  <si>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CLEVELAND</t>
    </r>
  </si>
  <si>
    <r>
      <rPr>
        <sz val="9"/>
        <color theme="1"/>
        <rFont val="Arial"/>
        <family val="2"/>
      </rPr>
      <t>M40803</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</si>
  <si>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</si>
  <si>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</si>
  <si>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</si>
  <si>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</si>
  <si>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</si>
  <si>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</si>
  <si>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BOWMANVIL</t>
    </r>
  </si>
  <si>
    <r>
      <rPr>
        <sz val="9"/>
        <color theme="1"/>
        <rFont val="Arial"/>
        <family val="2"/>
      </rPr>
      <t>L08006</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</si>
  <si>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</si>
  <si>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</si>
  <si>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</si>
  <si>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QUEBEC</t>
    </r>
  </si>
  <si>
    <r>
      <rPr>
        <sz val="9"/>
        <color theme="1"/>
        <rFont val="Arial"/>
        <family val="2"/>
      </rPr>
      <t>Transfer</t>
    </r>
  </si>
  <si>
    <r>
      <rPr>
        <sz val="9"/>
        <color theme="1"/>
        <rFont val="Arial"/>
        <family val="2"/>
      </rPr>
      <t>LANGLEY</t>
    </r>
  </si>
  <si>
    <r>
      <rPr>
        <sz val="9"/>
        <color theme="1"/>
        <rFont val="Arial"/>
        <family val="2"/>
      </rPr>
      <t>Transfer</t>
    </r>
  </si>
  <si>
    <r>
      <rPr>
        <sz val="9"/>
        <color theme="1"/>
        <rFont val="Arial"/>
        <family val="2"/>
      </rPr>
      <t>BOWMANVIL</t>
    </r>
  </si>
  <si>
    <r>
      <rPr>
        <sz val="9"/>
        <color theme="1"/>
        <rFont val="Arial"/>
        <family val="2"/>
      </rPr>
      <t>GO LTF</t>
    </r>
  </si>
  <si>
    <r>
      <rPr>
        <sz val="9"/>
        <color theme="1"/>
        <rFont val="Arial"/>
        <family val="2"/>
      </rPr>
      <t>BOWMANVIL</t>
    </r>
  </si>
  <si>
    <r>
      <rPr>
        <sz val="9"/>
        <color theme="1"/>
        <rFont val="Arial"/>
        <family val="2"/>
      </rPr>
      <t>MOODY</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</si>
  <si>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</si>
  <si>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</si>
  <si>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</si>
  <si>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</si>
  <si>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</si>
  <si>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</si>
  <si>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</si>
  <si>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</si>
  <si>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</si>
  <si>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</si>
  <si>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</si>
  <si>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</si>
  <si>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HOUSTON</t>
    </r>
  </si>
  <si>
    <r>
      <rPr>
        <sz val="9"/>
        <color theme="1"/>
        <rFont val="Arial"/>
        <family val="2"/>
      </rPr>
      <t>Transfer</t>
    </r>
  </si>
  <si>
    <r>
      <rPr>
        <sz val="9"/>
        <color theme="1"/>
        <rFont val="Arial"/>
        <family val="2"/>
      </rPr>
      <t>CLEVELAND</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</si>
  <si>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</si>
  <si>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</si>
  <si>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</si>
  <si>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</si>
  <si>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</si>
  <si>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</si>
  <si>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</si>
  <si>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</si>
  <si>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</si>
  <si>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</si>
  <si>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</si>
  <si>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OMAHA</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</si>
  <si>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</si>
  <si>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</si>
  <si>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</si>
  <si>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</si>
  <si>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</si>
  <si>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</si>
  <si>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</si>
  <si>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</si>
  <si>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OMAHA</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</si>
  <si>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</si>
  <si>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</si>
  <si>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</si>
  <si>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SANDIEGOZ</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</si>
  <si>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</si>
  <si>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</si>
  <si>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</si>
  <si>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</si>
  <si>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CLEVELAND</t>
    </r>
  </si>
  <si>
    <r>
      <rPr>
        <sz val="9"/>
        <color theme="1"/>
        <rFont val="Arial"/>
        <family val="2"/>
      </rPr>
      <t>M70104</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</si>
  <si>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</si>
  <si>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</si>
  <si>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</si>
  <si>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</si>
  <si>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</si>
  <si>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</si>
  <si>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</si>
  <si>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</si>
  <si>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</si>
  <si>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</si>
  <si>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</si>
  <si>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</si>
  <si>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</si>
  <si>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</si>
  <si>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</si>
  <si>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</si>
  <si>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</si>
  <si>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EVANSVLLE</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</si>
  <si>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</si>
  <si>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</si>
  <si>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</si>
  <si>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</si>
  <si>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Transfer</t>
    </r>
  </si>
  <si>
    <r>
      <rPr>
        <sz val="9"/>
        <color theme="1"/>
        <rFont val="Arial"/>
        <family val="2"/>
      </rPr>
      <t>DUKE PRIM</t>
    </r>
  </si>
  <si>
    <r>
      <rPr>
        <sz val="9"/>
        <color theme="1"/>
        <rFont val="Arial"/>
        <family val="2"/>
      </rPr>
      <t>Transfer</t>
    </r>
  </si>
  <si>
    <r>
      <rPr>
        <sz val="9"/>
        <color theme="1"/>
        <rFont val="Arial"/>
        <family val="2"/>
      </rPr>
      <t>EVANSVLLE</t>
    </r>
  </si>
  <si>
    <r>
      <rPr>
        <sz val="9"/>
        <color theme="1"/>
        <rFont val="Arial"/>
        <family val="2"/>
      </rPr>
      <t>ABQBIOPK</t>
    </r>
  </si>
  <si>
    <r>
      <rPr>
        <sz val="9"/>
        <color theme="1"/>
        <rFont val="Arial"/>
        <family val="2"/>
      </rPr>
      <t>M07001</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</si>
  <si>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</si>
  <si>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</si>
  <si>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</si>
  <si>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</si>
  <si>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Death</t>
    </r>
  </si>
  <si>
    <r>
      <rPr>
        <sz val="9"/>
        <color theme="1"/>
        <rFont val="Arial"/>
        <family val="2"/>
      </rPr>
      <t>ABQBIOPK</t>
    </r>
  </si>
  <si>
    <r>
      <rPr>
        <sz val="9"/>
        <color theme="1"/>
        <rFont val="Arial"/>
        <family val="2"/>
      </rPr>
      <t>PROSPECTP</t>
    </r>
  </si>
  <si>
    <r>
      <rPr>
        <sz val="9"/>
        <color theme="1"/>
        <rFont val="Arial"/>
        <family val="2"/>
      </rPr>
      <t>P09015</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</si>
  <si>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</si>
  <si>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</si>
  <si>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</si>
  <si>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</si>
  <si>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</si>
  <si>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PROSPECTP</t>
    </r>
  </si>
  <si>
    <r>
      <rPr>
        <sz val="9"/>
        <color theme="1"/>
        <rFont val="Arial"/>
        <family val="2"/>
      </rPr>
      <t>SANDIEGOZ</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</si>
  <si>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</si>
  <si>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</si>
  <si>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</si>
  <si>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</si>
  <si>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</si>
  <si>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</si>
  <si>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CLEVELAND</t>
    </r>
  </si>
  <si>
    <r>
      <rPr>
        <sz val="9"/>
        <color theme="1"/>
        <rFont val="Arial"/>
        <family val="2"/>
      </rPr>
      <t>M81010</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</si>
  <si>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</si>
  <si>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</si>
  <si>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</si>
  <si>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</si>
  <si>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Transfer</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</si>
  <si>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</si>
  <si>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</si>
  <si>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</si>
  <si>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OMAHA</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</si>
  <si>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</si>
  <si>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</si>
  <si>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</si>
  <si>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</si>
  <si>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</si>
  <si>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</si>
  <si>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</si>
  <si>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</si>
  <si>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CINCINNAT</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</si>
  <si>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</si>
  <si>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</si>
  <si>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</si>
  <si>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AKRON</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</si>
  <si>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</si>
  <si>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</si>
  <si>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</si>
  <si>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</si>
  <si>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MOODY</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</si>
  <si>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</si>
  <si>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</si>
  <si>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</si>
  <si>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</si>
  <si>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</si>
  <si>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</si>
  <si>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MOODY</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</si>
  <si>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</si>
  <si>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</si>
  <si>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</si>
  <si>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</si>
  <si>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</si>
  <si>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</si>
  <si>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OMAHA</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</si>
  <si>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</si>
  <si>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</si>
  <si>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</si>
  <si>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</si>
  <si>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</si>
  <si>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</si>
  <si>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</si>
  <si>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</si>
  <si>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</si>
  <si>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</si>
  <si>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</si>
  <si>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</si>
  <si>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</si>
  <si>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AKRON</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</si>
  <si>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</si>
  <si>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</si>
  <si>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</si>
  <si>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</si>
  <si>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</si>
  <si>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PROSPECTP</t>
    </r>
  </si>
  <si>
    <r>
      <rPr>
        <sz val="9"/>
        <color theme="1"/>
        <rFont val="Arial"/>
        <family val="2"/>
      </rPr>
      <t>Transfer</t>
    </r>
  </si>
  <si>
    <r>
      <rPr>
        <sz val="9"/>
        <color theme="1"/>
        <rFont val="Arial"/>
        <family val="2"/>
      </rPr>
      <t>AKRON</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</si>
  <si>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</si>
  <si>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</si>
  <si>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</si>
  <si>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</si>
  <si>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</si>
  <si>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</si>
  <si>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</si>
  <si>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</si>
  <si>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</si>
  <si>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</si>
  <si>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</si>
  <si>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PUEBLO</t>
    </r>
  </si>
  <si>
    <r>
      <rPr>
        <sz val="9"/>
        <color theme="1"/>
        <rFont val="Arial"/>
        <family val="2"/>
      </rPr>
      <t>M28004</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</si>
  <si>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</si>
  <si>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</si>
  <si>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</si>
  <si>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</si>
  <si>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</si>
  <si>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</si>
  <si>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SANDIEGOZ</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</si>
  <si>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</si>
  <si>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</si>
  <si>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</si>
  <si>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</si>
  <si>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</si>
  <si>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</si>
  <si>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</si>
  <si>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</si>
  <si>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AKRON</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</si>
  <si>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</si>
  <si>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</si>
  <si>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</si>
  <si>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</si>
  <si>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</si>
  <si>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DUKE PRIM</t>
    </r>
  </si>
  <si>
    <r>
      <rPr>
        <sz val="9"/>
        <color theme="1"/>
        <rFont val="Arial"/>
        <family val="2"/>
      </rPr>
      <t>Transfer</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</si>
  <si>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</si>
  <si>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</si>
  <si>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</si>
  <si>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OMAHA</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</si>
  <si>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</si>
  <si>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</si>
  <si>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</si>
  <si>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CLEVELAND</t>
    </r>
  </si>
  <si>
    <r>
      <rPr>
        <sz val="9"/>
        <color theme="1"/>
        <rFont val="Arial"/>
        <family val="2"/>
      </rPr>
      <t>Transfer</t>
    </r>
  </si>
  <si>
    <r>
      <rPr>
        <sz val="9"/>
        <color theme="1"/>
        <rFont val="Arial"/>
        <family val="2"/>
      </rPr>
      <t>MEMPHIS</t>
    </r>
  </si>
  <si>
    <r>
      <rPr>
        <sz val="9"/>
        <color theme="1"/>
        <rFont val="Arial"/>
        <family val="2"/>
      </rPr>
      <t>Transfer</t>
    </r>
  </si>
  <si>
    <r>
      <rPr>
        <sz val="9"/>
        <color theme="1"/>
        <rFont val="Arial"/>
        <family val="2"/>
      </rPr>
      <t>OMAHA</t>
    </r>
  </si>
  <si>
    <r>
      <rPr>
        <sz val="9"/>
        <color theme="1"/>
        <rFont val="Arial"/>
        <family val="2"/>
      </rPr>
      <t>Death</t>
    </r>
  </si>
  <si>
    <r>
      <rPr>
        <sz val="9"/>
        <color theme="1"/>
        <rFont val="Arial"/>
        <family val="2"/>
      </rPr>
      <t>OMAHA</t>
    </r>
  </si>
  <si>
    <r>
      <rPr>
        <sz val="9"/>
        <color theme="1"/>
        <rFont val="Arial"/>
        <family val="2"/>
      </rPr>
      <t>CLEVELAND</t>
    </r>
  </si>
  <si>
    <r>
      <rPr>
        <sz val="9"/>
        <color theme="1"/>
        <rFont val="Arial"/>
        <family val="2"/>
      </rPr>
      <t>M91135</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</si>
  <si>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</si>
  <si>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</si>
  <si>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</si>
  <si>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</si>
  <si>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</si>
  <si>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</si>
  <si>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MOODY</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</si>
  <si>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</si>
  <si>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</si>
  <si>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</si>
  <si>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</si>
  <si>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</si>
  <si>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</si>
  <si>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</si>
  <si>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</si>
  <si>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</si>
  <si>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</si>
  <si>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</si>
  <si>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</si>
  <si>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</si>
  <si>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ABQBIOPK</t>
    </r>
  </si>
  <si>
    <r>
      <rPr>
        <sz val="9"/>
        <color theme="1"/>
        <rFont val="Arial"/>
        <family val="2"/>
      </rPr>
      <t>M09022</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</si>
  <si>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</si>
  <si>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</si>
  <si>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</si>
  <si>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ABQBIOPK</t>
    </r>
  </si>
  <si>
    <r>
      <rPr>
        <sz val="9"/>
        <color theme="1"/>
        <rFont val="Arial"/>
        <family val="2"/>
      </rPr>
      <t>Death</t>
    </r>
  </si>
  <si>
    <r>
      <rPr>
        <sz val="9"/>
        <color theme="1"/>
        <rFont val="Arial"/>
        <family val="2"/>
      </rPr>
      <t>ABQBIOPK</t>
    </r>
  </si>
  <si>
    <r>
      <rPr>
        <sz val="9"/>
        <color theme="1"/>
        <rFont val="Arial"/>
        <family val="2"/>
      </rPr>
      <t>PUEBLO</t>
    </r>
  </si>
  <si>
    <r>
      <rPr>
        <sz val="9"/>
        <color theme="1"/>
        <rFont val="Arial"/>
        <family val="2"/>
      </rPr>
      <t>M39021</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</si>
  <si>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</si>
  <si>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</si>
  <si>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</si>
  <si>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</si>
  <si>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</si>
  <si>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</si>
  <si>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</si>
  <si>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PUEBLO</t>
    </r>
  </si>
  <si>
    <r>
      <rPr>
        <sz val="9"/>
        <color theme="1"/>
        <rFont val="Arial"/>
        <family val="2"/>
      </rPr>
      <t>CHICAGOLP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</si>
  <si>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</si>
  <si>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</si>
  <si>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</si>
  <si>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</si>
  <si>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</si>
  <si>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</si>
  <si>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CHICAGOLP</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</si>
  <si>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</si>
  <si>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</si>
  <si>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</si>
  <si>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</si>
  <si>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</si>
  <si>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</si>
  <si>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PHILADELP</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</si>
  <si>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</si>
  <si>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</si>
  <si>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</si>
  <si>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PHILADELP</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</si>
  <si>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</si>
  <si>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</si>
  <si>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</si>
  <si>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</si>
  <si>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</si>
  <si>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</si>
  <si>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</si>
  <si>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</si>
  <si>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</si>
  <si>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</si>
  <si>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</si>
  <si>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</si>
  <si>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</si>
  <si>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</si>
  <si>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</si>
  <si>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</si>
  <si>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</si>
  <si>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</si>
  <si>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CINCINNAT</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</si>
  <si>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</si>
  <si>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</si>
  <si>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</si>
  <si>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</si>
  <si>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</si>
  <si>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MEMPHIS</t>
    </r>
  </si>
  <si>
    <r>
      <rPr>
        <sz val="9"/>
        <color theme="1"/>
        <rFont val="Arial"/>
        <family val="2"/>
      </rPr>
      <t>Transfer</t>
    </r>
  </si>
  <si>
    <r>
      <rPr>
        <sz val="9"/>
        <color theme="1"/>
        <rFont val="Arial"/>
        <family val="2"/>
      </rPr>
      <t>CINCINNAT</t>
    </r>
  </si>
  <si>
    <r>
      <rPr>
        <sz val="9"/>
        <color theme="1"/>
        <rFont val="Arial"/>
        <family val="2"/>
      </rPr>
      <t>NY BRONX</t>
    </r>
  </si>
  <si>
    <r>
      <rPr>
        <sz val="9"/>
        <color theme="1"/>
        <rFont val="Arial"/>
        <family val="2"/>
      </rPr>
      <t>M14052</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</si>
  <si>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</si>
  <si>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</si>
  <si>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</si>
  <si>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</si>
  <si>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</si>
  <si>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</si>
  <si>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</si>
  <si>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NY BRONX</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</si>
  <si>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</si>
  <si>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</si>
  <si>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</si>
  <si>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</si>
  <si>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GARDENCTY</t>
    </r>
  </si>
  <si>
    <r>
      <rPr>
        <sz val="9"/>
        <color theme="1"/>
        <rFont val="Arial"/>
        <family val="2"/>
      </rPr>
      <t>Transfer</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</si>
  <si>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</si>
  <si>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</si>
  <si>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</si>
  <si>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CINCINNAT</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</si>
  <si>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</si>
  <si>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</si>
  <si>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</si>
  <si>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GARDENCTY</t>
    </r>
  </si>
  <si>
    <r>
      <rPr>
        <sz val="9"/>
        <color theme="1"/>
        <rFont val="Arial"/>
        <family val="2"/>
      </rPr>
      <t>Transfer</t>
    </r>
  </si>
  <si>
    <r>
      <rPr>
        <sz val="9"/>
        <color theme="1"/>
        <rFont val="Arial"/>
        <family val="2"/>
      </rPr>
      <t>CINCINNAT</t>
    </r>
  </si>
  <si>
    <r>
      <rPr>
        <sz val="9"/>
        <color theme="1"/>
        <rFont val="Arial"/>
        <family val="2"/>
      </rPr>
      <t>Death</t>
    </r>
  </si>
  <si>
    <r>
      <rPr>
        <sz val="9"/>
        <color theme="1"/>
        <rFont val="Arial"/>
        <family val="2"/>
      </rPr>
      <t>CINCINNAT</t>
    </r>
  </si>
  <si>
    <r>
      <rPr>
        <sz val="9"/>
        <color theme="1"/>
        <rFont val="Arial"/>
        <family val="2"/>
      </rPr>
      <t>CHICAGOBR</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</si>
  <si>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</si>
  <si>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</si>
  <si>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</si>
  <si>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GARDENCTY</t>
    </r>
  </si>
  <si>
    <r>
      <rPr>
        <sz val="9"/>
        <color theme="1"/>
        <rFont val="Arial"/>
        <family val="2"/>
      </rPr>
      <t>Transfer</t>
    </r>
  </si>
  <si>
    <r>
      <rPr>
        <sz val="9"/>
        <color theme="1"/>
        <rFont val="Arial"/>
        <family val="2"/>
      </rPr>
      <t>CHICAGOBR</t>
    </r>
  </si>
  <si>
    <r>
      <rPr>
        <sz val="9"/>
        <color theme="1"/>
        <rFont val="Arial"/>
        <family val="2"/>
      </rPr>
      <t>MINNESOTA</t>
    </r>
  </si>
  <si>
    <r>
      <rPr>
        <sz val="9"/>
        <color theme="1"/>
        <rFont val="Arial"/>
        <family val="2"/>
      </rPr>
      <t>UNK</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</si>
  <si>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</si>
  <si>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</si>
  <si>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</si>
  <si>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</si>
  <si>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</si>
  <si>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</si>
  <si>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MINNESOTA</t>
    </r>
  </si>
  <si>
    <r>
      <rPr>
        <sz val="9"/>
        <color theme="1"/>
        <rFont val="Arial"/>
        <family val="2"/>
      </rPr>
      <t>UNK</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</si>
  <si>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</si>
  <si>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</si>
  <si>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</si>
  <si>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</si>
  <si>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</si>
  <si>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</si>
  <si>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MINNESOTA</t>
    </r>
  </si>
  <si>
    <r>
      <rPr>
        <sz val="9"/>
        <color theme="1"/>
        <rFont val="Arial"/>
        <family val="2"/>
      </rPr>
      <t>UNK</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</si>
  <si>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</si>
  <si>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</si>
  <si>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</si>
  <si>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MINNESOTA</t>
    </r>
  </si>
  <si>
    <r>
      <rPr>
        <sz val="9"/>
        <color theme="1"/>
        <rFont val="Arial"/>
        <family val="2"/>
      </rPr>
      <t>Death</t>
    </r>
  </si>
  <si>
    <r>
      <rPr>
        <sz val="9"/>
        <color theme="1"/>
        <rFont val="Arial"/>
        <family val="2"/>
      </rPr>
      <t>MINNESOTA</t>
    </r>
  </si>
  <si>
    <r>
      <rPr>
        <sz val="9"/>
        <color theme="1"/>
        <rFont val="Arial"/>
        <family val="2"/>
      </rPr>
      <t>MOODY</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</si>
  <si>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</si>
  <si>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</si>
  <si>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</si>
  <si>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MOODY</t>
    </r>
  </si>
  <si>
    <r>
      <rPr>
        <sz val="9"/>
        <color theme="1"/>
        <rFont val="Arial"/>
        <family val="2"/>
      </rPr>
      <t>CHICAGOBR</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</si>
  <si>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</si>
  <si>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</si>
  <si>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</si>
  <si>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</si>
  <si>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</si>
  <si>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CHICAGOBR</t>
    </r>
  </si>
  <si>
    <r>
      <rPr>
        <sz val="9"/>
        <color theme="1"/>
        <rFont val="Arial"/>
        <family val="2"/>
      </rPr>
      <t>EL PASO</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</si>
  <si>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</si>
  <si>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</si>
  <si>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</si>
  <si>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</si>
  <si>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Transfer</t>
    </r>
  </si>
  <si>
    <r>
      <rPr>
        <sz val="9"/>
        <color theme="1"/>
        <rFont val="Arial"/>
        <family val="2"/>
      </rPr>
      <t>EL PASO</t>
    </r>
  </si>
  <si>
    <r>
      <rPr>
        <sz val="9"/>
        <color theme="1"/>
        <rFont val="Arial"/>
        <family val="2"/>
      </rPr>
      <t>PHILADELP</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</si>
  <si>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</si>
  <si>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</si>
  <si>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</si>
  <si>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</si>
  <si>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</si>
  <si>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</si>
  <si>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</si>
  <si>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</si>
  <si>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</si>
  <si>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</si>
  <si>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</si>
  <si>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</si>
  <si>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</si>
  <si>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</si>
  <si>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</si>
  <si>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</si>
  <si>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</si>
  <si>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LITTLEROC</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</si>
  <si>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</si>
  <si>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</si>
  <si>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</si>
  <si>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</si>
  <si>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</si>
  <si>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LITTLEROC</t>
    </r>
  </si>
  <si>
    <r>
      <rPr>
        <sz val="9"/>
        <color theme="1"/>
        <rFont val="Arial"/>
        <family val="2"/>
      </rPr>
      <t>BLOOMINGT</t>
    </r>
  </si>
  <si>
    <r>
      <rPr>
        <sz val="9"/>
        <color theme="1"/>
        <rFont val="Arial"/>
        <family val="2"/>
      </rPr>
      <t>M17001</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</si>
  <si>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</si>
  <si>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</si>
  <si>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</si>
  <si>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</si>
  <si>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Transfer</t>
    </r>
  </si>
  <si>
    <r>
      <rPr>
        <sz val="9"/>
        <color theme="1"/>
        <rFont val="Arial"/>
        <family val="2"/>
      </rPr>
      <t>BUSCH TAM</t>
    </r>
  </si>
  <si>
    <r>
      <rPr>
        <sz val="9"/>
        <color theme="1"/>
        <rFont val="Arial"/>
        <family val="2"/>
      </rPr>
      <t>Transfer</t>
    </r>
  </si>
  <si>
    <r>
      <rPr>
        <sz val="9"/>
        <color theme="1"/>
        <rFont val="Arial"/>
        <family val="2"/>
      </rPr>
      <t>BLOOMINGT</t>
    </r>
  </si>
  <si>
    <r>
      <rPr>
        <sz val="9"/>
        <color theme="1"/>
        <rFont val="Arial"/>
        <family val="2"/>
      </rPr>
      <t>Death</t>
    </r>
  </si>
  <si>
    <r>
      <rPr>
        <sz val="9"/>
        <color theme="1"/>
        <rFont val="Arial"/>
        <family val="2"/>
      </rPr>
      <t>BLOOMINGT</t>
    </r>
  </si>
  <si>
    <r>
      <rPr>
        <sz val="9"/>
        <color theme="1"/>
        <rFont val="Arial"/>
        <family val="2"/>
      </rPr>
      <t>NY BRONX</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</si>
  <si>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</si>
  <si>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</si>
  <si>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</si>
  <si>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</si>
  <si>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</si>
  <si>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</si>
  <si>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CHICAGOLP</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</si>
  <si>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</si>
  <si>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</si>
  <si>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</si>
  <si>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</si>
  <si>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</si>
  <si>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CHICAGOBR</t>
    </r>
  </si>
  <si>
    <r>
      <rPr>
        <sz val="9"/>
        <color theme="1"/>
        <rFont val="Arial"/>
        <family val="2"/>
      </rPr>
      <t>Transfer</t>
    </r>
  </si>
  <si>
    <r>
      <rPr>
        <sz val="9"/>
        <color theme="1"/>
        <rFont val="Arial"/>
        <family val="2"/>
      </rPr>
      <t>CHICAGOLP</t>
    </r>
  </si>
  <si>
    <r>
      <rPr>
        <sz val="9"/>
        <color theme="1"/>
        <rFont val="Arial"/>
        <family val="2"/>
      </rPr>
      <t>MOODY</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</si>
  <si>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</si>
  <si>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</si>
  <si>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</si>
  <si>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</si>
  <si>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COLUMBUS</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</si>
  <si>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</si>
  <si>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</si>
  <si>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</si>
  <si>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</si>
  <si>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</si>
  <si>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COLUMBUS</t>
    </r>
  </si>
  <si>
    <r>
      <rPr>
        <sz val="9"/>
        <color theme="1"/>
        <rFont val="Arial"/>
        <family val="2"/>
      </rPr>
      <t>NY BRONX</t>
    </r>
  </si>
  <si>
    <r>
      <rPr>
        <sz val="9"/>
        <color theme="1"/>
        <rFont val="Arial"/>
        <family val="2"/>
      </rPr>
      <t>M14053</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</si>
  <si>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</si>
  <si>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</si>
  <si>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</si>
  <si>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</si>
  <si>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</si>
  <si>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NY BRONX</t>
    </r>
  </si>
  <si>
    <r>
      <rPr>
        <sz val="9"/>
        <color theme="1"/>
        <rFont val="Arial"/>
        <family val="2"/>
      </rPr>
      <t>EVANSVLLE</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</si>
  <si>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</si>
  <si>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</si>
  <si>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</si>
  <si>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</si>
  <si>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</si>
  <si>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</si>
  <si>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</si>
  <si>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EVANSVLLE</t>
    </r>
  </si>
  <si>
    <r>
      <rPr>
        <sz val="9"/>
        <color theme="1"/>
        <rFont val="Arial"/>
        <family val="2"/>
      </rPr>
      <t>COLUMBUS</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</si>
  <si>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</si>
  <si>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</si>
  <si>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</si>
  <si>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GARDENCTY</t>
    </r>
  </si>
  <si>
    <r>
      <rPr>
        <sz val="9"/>
        <color theme="1"/>
        <rFont val="Arial"/>
        <family val="2"/>
      </rPr>
      <t>Transfer</t>
    </r>
  </si>
  <si>
    <r>
      <rPr>
        <sz val="9"/>
        <color theme="1"/>
        <rFont val="Arial"/>
        <family val="2"/>
      </rPr>
      <t>COLUMBUS</t>
    </r>
  </si>
  <si>
    <r>
      <rPr>
        <sz val="9"/>
        <color theme="1"/>
        <rFont val="Arial"/>
        <family val="2"/>
      </rPr>
      <t>NY BRONX</t>
    </r>
  </si>
  <si>
    <r>
      <rPr>
        <sz val="9"/>
        <color theme="1"/>
        <rFont val="Arial"/>
        <family val="2"/>
      </rPr>
      <t>M11179</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</si>
  <si>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</si>
  <si>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</si>
  <si>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</si>
  <si>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</si>
  <si>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</si>
  <si>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</si>
  <si>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NY BRONX</t>
    </r>
  </si>
  <si>
    <r>
      <rPr>
        <sz val="9"/>
        <color theme="1"/>
        <rFont val="Arial"/>
        <family val="2"/>
      </rPr>
      <t>M11180</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</si>
  <si>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</si>
  <si>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</si>
  <si>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</si>
  <si>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</si>
  <si>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</si>
  <si>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</si>
  <si>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ABQBIOPK</t>
    </r>
  </si>
  <si>
    <r>
      <rPr>
        <sz val="9"/>
        <color theme="1"/>
        <rFont val="Arial"/>
        <family val="2"/>
      </rPr>
      <t>M11026</t>
    </r>
  </si>
  <si>
    <r>
      <rPr>
        <sz val="9"/>
        <color theme="1"/>
        <rFont val="Arial"/>
        <family val="2"/>
      </rPr>
      <t>Male</t>
    </r>
  </si>
  <si>
    <r>
      <rPr>
        <sz val="9"/>
        <color theme="1"/>
        <rFont val="Arial"/>
        <family val="2"/>
      </rPr>
      <t>UND</t>
    </r>
  </si>
  <si>
    <r>
      <rPr>
        <sz val="9"/>
        <color theme="1"/>
        <rFont val="Arial"/>
        <family val="2"/>
      </rPr>
      <t>Captive Birth/Hatch</t>
    </r>
  </si>
  <si>
    <r>
      <rPr>
        <sz val="9"/>
        <color theme="1"/>
        <rFont val="Arial"/>
        <family val="2"/>
      </rPr>
      <t>Birth/Hatch</t>
    </r>
  </si>
  <si>
    <r>
      <rPr>
        <sz val="9"/>
        <color theme="1"/>
        <rFont val="Arial"/>
        <family val="2"/>
      </rPr>
      <t>ABQBIOPK</t>
    </r>
  </si>
  <si>
    <r>
      <rPr>
        <sz val="9"/>
        <color theme="1"/>
        <rFont val="Arial"/>
        <family val="2"/>
      </rPr>
      <t>Death</t>
    </r>
  </si>
  <si>
    <r>
      <rPr>
        <sz val="9"/>
        <color theme="1"/>
        <rFont val="Arial"/>
        <family val="2"/>
      </rPr>
      <t>ABQBIOPK</t>
    </r>
  </si>
  <si>
    <r>
      <rPr>
        <sz val="9"/>
        <color theme="1"/>
        <rFont val="Arial"/>
        <family val="2"/>
      </rPr>
      <t>CHICAGOLP</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</si>
  <si>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</si>
  <si>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</si>
  <si>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</si>
  <si>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</si>
  <si>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</si>
  <si>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CHICAGOLP</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</si>
  <si>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</si>
  <si>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</si>
  <si>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</si>
  <si>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</si>
  <si>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</si>
  <si>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</si>
  <si>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</si>
  <si>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</si>
  <si>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</si>
  <si>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</si>
  <si>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</si>
  <si>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GARDENCTY</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</si>
  <si>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</si>
  <si>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</si>
  <si>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</si>
  <si>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</si>
  <si>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</si>
  <si>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GARDENCTY</t>
    </r>
  </si>
  <si>
    <r>
      <rPr>
        <sz val="9"/>
        <color theme="1"/>
        <rFont val="Arial"/>
        <family val="2"/>
      </rPr>
      <t>Death</t>
    </r>
  </si>
  <si>
    <r>
      <rPr>
        <sz val="9"/>
        <color theme="1"/>
        <rFont val="Arial"/>
        <family val="2"/>
      </rPr>
      <t>GARDENCTY</t>
    </r>
  </si>
  <si>
    <r>
      <rPr>
        <sz val="9"/>
        <color theme="1"/>
        <rFont val="Arial"/>
        <family val="2"/>
      </rPr>
      <t>DUKE PRIM</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</si>
  <si>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</si>
  <si>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</si>
  <si>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</si>
  <si>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</si>
  <si>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</si>
  <si>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</si>
  <si>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MOODY</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</si>
  <si>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</si>
  <si>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</si>
  <si>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</si>
  <si>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</si>
  <si>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</si>
  <si>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MOODY</t>
    </r>
  </si>
  <si>
    <r>
      <rPr>
        <sz val="9"/>
        <color theme="1"/>
        <rFont val="Arial"/>
        <family val="2"/>
      </rPr>
      <t>PHILADELP</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</si>
  <si>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</si>
  <si>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</si>
  <si>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</si>
  <si>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</si>
  <si>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</si>
  <si>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</si>
  <si>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</si>
  <si>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</si>
  <si>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</si>
  <si>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</si>
  <si>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PHILADELP</t>
    </r>
  </si>
  <si>
    <r>
      <rPr>
        <sz val="9"/>
        <color theme="1"/>
        <rFont val="Arial"/>
        <family val="2"/>
      </rPr>
      <t>Death</t>
    </r>
  </si>
  <si>
    <r>
      <rPr>
        <sz val="9"/>
        <color theme="1"/>
        <rFont val="Arial"/>
        <family val="2"/>
      </rPr>
      <t>PHILADELP</t>
    </r>
  </si>
  <si>
    <r>
      <rPr>
        <sz val="9"/>
        <color theme="1"/>
        <rFont val="Arial"/>
        <family val="2"/>
      </rPr>
      <t>OMAHA</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</si>
  <si>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</si>
  <si>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</si>
  <si>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</si>
  <si>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AKRON</t>
    </r>
  </si>
  <si>
    <r>
      <rPr>
        <sz val="9"/>
        <color theme="1"/>
        <rFont val="Arial"/>
        <family val="2"/>
      </rPr>
      <t>Transfer</t>
    </r>
  </si>
  <si>
    <r>
      <rPr>
        <sz val="9"/>
        <color theme="1"/>
        <rFont val="Arial"/>
        <family val="2"/>
      </rPr>
      <t>OMAHA</t>
    </r>
  </si>
  <si>
    <r>
      <rPr>
        <sz val="9"/>
        <color theme="1"/>
        <rFont val="Arial"/>
        <family val="2"/>
      </rPr>
      <t>PUEBLO</t>
    </r>
  </si>
  <si>
    <r>
      <rPr>
        <sz val="9"/>
        <color theme="1"/>
        <rFont val="Arial"/>
        <family val="2"/>
      </rPr>
      <t>M39022</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</si>
  <si>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</si>
  <si>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</si>
  <si>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</si>
  <si>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</si>
  <si>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</si>
  <si>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ABQBIOPK</t>
    </r>
  </si>
  <si>
    <r>
      <rPr>
        <sz val="9"/>
        <color theme="1"/>
        <rFont val="Arial"/>
        <family val="2"/>
      </rPr>
      <t>Transfer</t>
    </r>
  </si>
  <si>
    <r>
      <rPr>
        <sz val="9"/>
        <color theme="1"/>
        <rFont val="Arial"/>
        <family val="2"/>
      </rPr>
      <t>SANDIEGOZ</t>
    </r>
  </si>
  <si>
    <r>
      <rPr>
        <sz val="9"/>
        <color theme="1"/>
        <rFont val="Arial"/>
        <family val="2"/>
      </rPr>
      <t>Transfer</t>
    </r>
  </si>
  <si>
    <r>
      <rPr>
        <sz val="9"/>
        <color theme="1"/>
        <rFont val="Arial"/>
        <family val="2"/>
      </rPr>
      <t>PUEBLO</t>
    </r>
  </si>
  <si>
    <r>
      <rPr>
        <sz val="9"/>
        <color theme="1"/>
        <rFont val="Arial"/>
        <family val="2"/>
      </rPr>
      <t>LITTLEROC</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</si>
  <si>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</si>
  <si>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</si>
  <si>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</si>
  <si>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</si>
  <si>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</si>
  <si>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LITTLEROC</t>
    </r>
  </si>
  <si>
    <r>
      <rPr>
        <sz val="9"/>
        <color theme="1"/>
        <rFont val="Arial"/>
        <family val="2"/>
      </rPr>
      <t>CLEVELAND</t>
    </r>
  </si>
  <si>
    <r>
      <rPr>
        <sz val="9"/>
        <color theme="1"/>
        <rFont val="Arial"/>
        <family val="2"/>
      </rPr>
      <t>UNK</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</si>
  <si>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</si>
  <si>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</si>
  <si>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</si>
  <si>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</si>
  <si>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</si>
  <si>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</si>
  <si>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CLEVELAND</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</si>
  <si>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</si>
  <si>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</si>
  <si>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</si>
  <si>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</si>
  <si>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</si>
  <si>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</si>
  <si>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CHICAGOBR</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</si>
  <si>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</si>
  <si>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</si>
  <si>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</si>
  <si>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</si>
  <si>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</si>
  <si>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</si>
  <si>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CHICAGOBR</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</si>
  <si>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</si>
  <si>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</si>
  <si>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</si>
  <si>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</si>
  <si>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</si>
  <si>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</si>
  <si>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COLUMBUS</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</si>
  <si>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</si>
  <si>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</si>
  <si>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</si>
  <si>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CLEVELAND</t>
    </r>
  </si>
  <si>
    <r>
      <rPr>
        <sz val="9"/>
        <color theme="1"/>
        <rFont val="Arial"/>
        <family val="2"/>
      </rPr>
      <t>Transfer</t>
    </r>
  </si>
  <si>
    <r>
      <rPr>
        <sz val="9"/>
        <color theme="1"/>
        <rFont val="Arial"/>
        <family val="2"/>
      </rPr>
      <t>COLUMBUS</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</si>
  <si>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</si>
  <si>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</si>
  <si>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</si>
  <si>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</si>
  <si>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</si>
  <si>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</si>
  <si>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</si>
  <si>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</si>
  <si>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</si>
  <si>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</si>
  <si>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</si>
  <si>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CLEVELAND</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</si>
  <si>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</si>
  <si>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</si>
  <si>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</si>
  <si>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</si>
  <si>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</si>
  <si>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</si>
  <si>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BLOOMINGT</t>
    </r>
  </si>
  <si>
    <r>
      <rPr>
        <sz val="9"/>
        <color theme="1"/>
        <rFont val="Arial"/>
        <family val="2"/>
      </rPr>
      <t>M17002</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</si>
  <si>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</si>
  <si>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</si>
  <si>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</si>
  <si>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</si>
  <si>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</si>
  <si>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BUSCH TAM</t>
    </r>
  </si>
  <si>
    <r>
      <rPr>
        <sz val="9"/>
        <color theme="1"/>
        <rFont val="Arial"/>
        <family val="2"/>
      </rPr>
      <t>Transfer</t>
    </r>
  </si>
  <si>
    <r>
      <rPr>
        <sz val="9"/>
        <color theme="1"/>
        <rFont val="Arial"/>
        <family val="2"/>
      </rPr>
      <t>BLOOMINGT</t>
    </r>
  </si>
  <si>
    <r>
      <rPr>
        <sz val="9"/>
        <color theme="1"/>
        <rFont val="Arial"/>
        <family val="2"/>
      </rPr>
      <t>COLUMBUS</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</si>
  <si>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</si>
  <si>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</si>
  <si>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</si>
  <si>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</si>
  <si>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Death</t>
    </r>
  </si>
  <si>
    <r>
      <rPr>
        <sz val="9"/>
        <color theme="1"/>
        <rFont val="Arial"/>
        <family val="2"/>
      </rPr>
      <t>COLUMBUS</t>
    </r>
  </si>
  <si>
    <r>
      <rPr>
        <sz val="9"/>
        <color theme="1"/>
        <rFont val="Arial"/>
        <family val="2"/>
      </rPr>
      <t>NY BRONX</t>
    </r>
  </si>
  <si>
    <r>
      <rPr>
        <sz val="9"/>
        <color theme="1"/>
        <rFont val="Arial"/>
        <family val="2"/>
      </rPr>
      <t>M15008</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</si>
  <si>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</si>
  <si>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</si>
  <si>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</si>
  <si>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</si>
  <si>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</si>
  <si>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</si>
  <si>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NY BRONX</t>
    </r>
  </si>
  <si>
    <r>
      <rPr>
        <sz val="9"/>
        <color theme="1"/>
        <rFont val="Arial"/>
        <family val="2"/>
      </rPr>
      <t>M15011</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</si>
  <si>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</si>
  <si>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</si>
  <si>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</si>
  <si>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</si>
  <si>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</si>
  <si>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</si>
  <si>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NY BRONX</t>
    </r>
  </si>
  <si>
    <r>
      <rPr>
        <sz val="9"/>
        <color theme="1"/>
        <rFont val="Arial"/>
        <family val="2"/>
      </rPr>
      <t>M15034</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</si>
  <si>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</si>
  <si>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</si>
  <si>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</si>
  <si>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</si>
  <si>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</si>
  <si>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</si>
  <si>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GARDENCTY</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</si>
  <si>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</si>
  <si>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</si>
  <si>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</si>
  <si>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</si>
  <si>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</si>
  <si>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GARDENCTY</t>
    </r>
  </si>
  <si>
    <r>
      <rPr>
        <sz val="9"/>
        <color theme="1"/>
        <rFont val="Arial"/>
        <family val="2"/>
      </rPr>
      <t>AKRON</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</si>
  <si>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</si>
  <si>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</si>
  <si>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</si>
  <si>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</si>
  <si>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</si>
  <si>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AKRON</t>
    </r>
  </si>
  <si>
    <r>
      <rPr>
        <sz val="9"/>
        <color theme="1"/>
        <rFont val="Arial"/>
        <family val="2"/>
      </rPr>
      <t>CHICAGOLP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</si>
  <si>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</si>
  <si>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</si>
  <si>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</si>
  <si>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</si>
  <si>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</si>
  <si>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</si>
  <si>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CHICAGOLP</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</si>
  <si>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</si>
  <si>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</si>
  <si>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</si>
  <si>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</si>
  <si>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</si>
  <si>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</si>
  <si>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EL PASO</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</si>
  <si>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</si>
  <si>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</si>
  <si>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</si>
  <si>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</si>
  <si>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Death</t>
    </r>
  </si>
  <si>
    <r>
      <rPr>
        <sz val="9"/>
        <color theme="1"/>
        <rFont val="Arial"/>
        <family val="2"/>
      </rPr>
      <t>EL PASO</t>
    </r>
  </si>
  <si>
    <r>
      <rPr>
        <sz val="9"/>
        <color theme="1"/>
        <rFont val="Arial"/>
        <family val="2"/>
      </rPr>
      <t>GARDENCTY</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</si>
  <si>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</si>
  <si>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</si>
  <si>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</si>
  <si>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EL PASO</t>
    </r>
  </si>
  <si>
    <r>
      <rPr>
        <sz val="9"/>
        <color theme="1"/>
        <rFont val="Arial"/>
        <family val="2"/>
      </rPr>
      <t>Transfer</t>
    </r>
  </si>
  <si>
    <r>
      <rPr>
        <sz val="9"/>
        <color theme="1"/>
        <rFont val="Arial"/>
        <family val="2"/>
      </rPr>
      <t>GARDENCTY</t>
    </r>
  </si>
  <si>
    <r>
      <rPr>
        <sz val="9"/>
        <color theme="1"/>
        <rFont val="Arial"/>
        <family val="2"/>
      </rPr>
      <t>EL PASO</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</si>
  <si>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</si>
  <si>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</si>
  <si>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</si>
  <si>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EL PASO</t>
    </r>
  </si>
  <si>
    <r>
      <rPr>
        <sz val="9"/>
        <color theme="1"/>
        <rFont val="Arial"/>
        <family val="2"/>
      </rPr>
      <t>Death</t>
    </r>
  </si>
  <si>
    <r>
      <rPr>
        <sz val="9"/>
        <color theme="1"/>
        <rFont val="Arial"/>
        <family val="2"/>
      </rPr>
      <t>EL PASO</t>
    </r>
  </si>
  <si>
    <r>
      <rPr>
        <sz val="9"/>
        <color theme="1"/>
        <rFont val="Arial"/>
        <family val="2"/>
      </rPr>
      <t>MEMPHIS</t>
    </r>
  </si>
  <si>
    <r>
      <rPr>
        <sz val="9"/>
        <color theme="1"/>
        <rFont val="Arial"/>
        <family val="2"/>
      </rPr>
      <t>19M042</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</si>
  <si>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</si>
  <si>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</si>
  <si>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</si>
  <si>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MOODY</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</si>
  <si>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</si>
  <si>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</si>
  <si>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</si>
  <si>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</si>
  <si>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</si>
  <si>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</si>
  <si>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</si>
  <si>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</si>
  <si>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</si>
  <si>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</si>
  <si>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</si>
  <si>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Transfer</t>
    </r>
  </si>
  <si>
    <r>
      <rPr>
        <sz val="9"/>
        <color theme="1"/>
        <rFont val="Arial"/>
        <family val="2"/>
      </rPr>
      <t>PUEBLO</t>
    </r>
  </si>
  <si>
    <r>
      <rPr>
        <sz val="9"/>
        <color theme="1"/>
        <rFont val="Arial"/>
        <family val="2"/>
      </rPr>
      <t>Transfer</t>
    </r>
  </si>
  <si>
    <r>
      <rPr>
        <sz val="9"/>
        <color theme="1"/>
        <rFont val="Arial"/>
        <family val="2"/>
      </rPr>
      <t>MEMPHIS</t>
    </r>
  </si>
  <si>
    <r>
      <rPr>
        <sz val="9"/>
        <color theme="1"/>
        <rFont val="Arial"/>
        <family val="2"/>
      </rPr>
      <t>PROSPECTP</t>
    </r>
  </si>
  <si>
    <r>
      <rPr>
        <sz val="9"/>
        <color theme="1"/>
        <rFont val="Arial"/>
        <family val="2"/>
      </rPr>
      <t>P18009</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</si>
  <si>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</si>
  <si>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</si>
  <si>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</si>
  <si>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</si>
  <si>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Transfer</t>
    </r>
  </si>
  <si>
    <r>
      <rPr>
        <sz val="9"/>
        <color theme="1"/>
        <rFont val="Arial"/>
        <family val="2"/>
      </rPr>
      <t>PROSPECTP</t>
    </r>
  </si>
  <si>
    <r>
      <rPr>
        <sz val="9"/>
        <color theme="1"/>
        <rFont val="Arial"/>
        <family val="2"/>
      </rPr>
      <t>CHICAGOBR</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</si>
  <si>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</si>
  <si>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</si>
  <si>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</si>
  <si>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</si>
  <si>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Death</t>
    </r>
  </si>
  <si>
    <r>
      <rPr>
        <sz val="9"/>
        <color theme="1"/>
        <rFont val="Arial"/>
        <family val="2"/>
      </rPr>
      <t>CHICAGOBR</t>
    </r>
  </si>
  <si>
    <r>
      <rPr>
        <sz val="9"/>
        <color theme="1"/>
        <rFont val="Arial"/>
        <family val="2"/>
      </rPr>
      <t>PHILADELP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</si>
  <si>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</si>
  <si>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</si>
  <si>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</si>
  <si>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</si>
  <si>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Transfer</t>
    </r>
  </si>
  <si>
    <r>
      <rPr>
        <sz val="9"/>
        <color theme="1"/>
        <rFont val="Arial"/>
        <family val="2"/>
      </rPr>
      <t>PHILADELP</t>
    </r>
  </si>
  <si>
    <r>
      <rPr>
        <sz val="9"/>
        <color theme="1"/>
        <rFont val="Arial"/>
        <family val="2"/>
      </rPr>
      <t>OMAHA</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</si>
  <si>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</si>
  <si>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</si>
  <si>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</si>
  <si>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DUKE PRIM</t>
    </r>
  </si>
  <si>
    <r>
      <rPr>
        <sz val="9"/>
        <color theme="1"/>
        <rFont val="Arial"/>
        <family val="2"/>
      </rPr>
      <t>Transfer</t>
    </r>
  </si>
  <si>
    <r>
      <rPr>
        <sz val="9"/>
        <color theme="1"/>
        <rFont val="Arial"/>
        <family val="2"/>
      </rPr>
      <t>OMAHA</t>
    </r>
  </si>
  <si>
    <r>
      <rPr>
        <sz val="9"/>
        <color theme="1"/>
        <rFont val="Arial"/>
        <family val="2"/>
      </rPr>
      <t>DUKE PRIM</t>
    </r>
  </si>
  <si>
    <r>
      <rPr>
        <sz val="9"/>
        <color theme="1"/>
        <rFont val="Arial"/>
        <family val="2"/>
      </rPr>
      <t>Female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</si>
  <si>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</si>
  <si>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</si>
  <si>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DUKE PRIM</t>
    </r>
  </si>
  <si>
    <r>
      <rPr>
        <sz val="9"/>
        <color theme="1"/>
        <rFont val="Arial"/>
        <family val="2"/>
      </rPr>
      <t>Death</t>
    </r>
  </si>
  <si>
    <r>
      <rPr>
        <sz val="9"/>
        <color theme="1"/>
        <rFont val="Arial"/>
        <family val="2"/>
      </rPr>
      <t>DUKE PRIM</t>
    </r>
  </si>
  <si>
    <r>
      <rPr>
        <sz val="9"/>
        <color theme="1"/>
        <rFont val="Arial"/>
        <family val="2"/>
      </rPr>
      <t>DULUTH</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</si>
  <si>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</si>
  <si>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</si>
  <si>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</si>
  <si>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</si>
  <si>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</si>
  <si>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DULUTH</t>
    </r>
  </si>
  <si>
    <r>
      <rPr>
        <sz val="9"/>
        <color theme="1"/>
        <rFont val="Arial"/>
        <family val="2"/>
      </rPr>
      <t>COLUMBUS</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</si>
  <si>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</si>
  <si>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</si>
  <si>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</si>
  <si>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</si>
  <si>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Death</t>
    </r>
  </si>
  <si>
    <r>
      <rPr>
        <sz val="9"/>
        <color theme="1"/>
        <rFont val="Arial"/>
        <family val="2"/>
      </rPr>
      <t>COLUMBUS</t>
    </r>
  </si>
  <si>
    <r>
      <rPr>
        <sz val="9"/>
        <color theme="1"/>
        <rFont val="Arial"/>
        <family val="2"/>
      </rPr>
      <t>CHICAGOLP</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</si>
  <si>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</si>
  <si>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</si>
  <si>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</si>
  <si>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</si>
  <si>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</si>
  <si>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</si>
  <si>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BLOOMINGT</t>
    </r>
  </si>
  <si>
    <r>
      <rPr>
        <sz val="9"/>
        <color theme="1"/>
        <rFont val="Arial"/>
        <family val="2"/>
      </rPr>
      <t>M19007</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</si>
  <si>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</si>
  <si>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</si>
  <si>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</si>
  <si>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LITTLEROC</t>
    </r>
  </si>
  <si>
    <r>
      <rPr>
        <sz val="9"/>
        <color theme="1"/>
        <rFont val="Arial"/>
        <family val="2"/>
      </rPr>
      <t>Transfer</t>
    </r>
  </si>
  <si>
    <r>
      <rPr>
        <sz val="9"/>
        <color theme="1"/>
        <rFont val="Arial"/>
        <family val="2"/>
      </rPr>
      <t>BLOOMINGT</t>
    </r>
  </si>
  <si>
    <r>
      <rPr>
        <sz val="9"/>
        <color theme="1"/>
        <rFont val="Arial"/>
        <family val="2"/>
      </rPr>
      <t>MEMPHIS</t>
    </r>
  </si>
  <si>
    <r>
      <rPr>
        <sz val="9"/>
        <color theme="1"/>
        <rFont val="Arial"/>
        <family val="2"/>
      </rPr>
      <t>10M021</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</si>
  <si>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</si>
  <si>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</si>
  <si>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</si>
  <si>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LITTLEROC</t>
    </r>
  </si>
  <si>
    <r>
      <rPr>
        <sz val="9"/>
        <color theme="1"/>
        <rFont val="Arial"/>
        <family val="2"/>
      </rPr>
      <t>Transfer</t>
    </r>
  </si>
  <si>
    <r>
      <rPr>
        <sz val="9"/>
        <color theme="1"/>
        <rFont val="Arial"/>
        <family val="2"/>
      </rPr>
      <t>MEMPHIS</t>
    </r>
  </si>
  <si>
    <r>
      <rPr>
        <sz val="9"/>
        <color theme="1"/>
        <rFont val="Arial"/>
        <family val="2"/>
      </rPr>
      <t>CHICAGOLP</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</si>
  <si>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</si>
  <si>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</si>
  <si>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</si>
  <si>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CHICAGOLP</t>
    </r>
  </si>
  <si>
    <r>
      <rPr>
        <sz val="9"/>
        <color theme="1"/>
        <rFont val="Arial"/>
        <family val="2"/>
      </rPr>
      <t>Death</t>
    </r>
  </si>
  <si>
    <r>
      <rPr>
        <sz val="9"/>
        <color theme="1"/>
        <rFont val="Arial"/>
        <family val="2"/>
      </rPr>
      <t>CHICAGOLP</t>
    </r>
  </si>
  <si>
    <r>
      <rPr>
        <sz val="9"/>
        <color theme="1"/>
        <rFont val="Arial"/>
        <family val="2"/>
      </rPr>
      <t>DULUTH</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</si>
  <si>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</si>
  <si>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</si>
  <si>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</si>
  <si>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CHICAGOLP</t>
    </r>
  </si>
  <si>
    <r>
      <rPr>
        <sz val="9"/>
        <color theme="1"/>
        <rFont val="Arial"/>
        <family val="2"/>
      </rPr>
      <t>Transfer</t>
    </r>
  </si>
  <si>
    <r>
      <rPr>
        <sz val="9"/>
        <color theme="1"/>
        <rFont val="Arial"/>
        <family val="2"/>
      </rPr>
      <t>DULUTH</t>
    </r>
  </si>
  <si>
    <r>
      <rPr>
        <sz val="9"/>
        <color theme="1"/>
        <rFont val="Arial"/>
        <family val="2"/>
      </rPr>
      <t>COLUMBUS</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</si>
  <si>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</si>
  <si>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</si>
  <si>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</si>
  <si>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</si>
  <si>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Death</t>
    </r>
  </si>
  <si>
    <r>
      <rPr>
        <sz val="9"/>
        <color theme="1"/>
        <rFont val="Arial"/>
        <family val="2"/>
      </rPr>
      <t>COLUMBUS</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</si>
  <si>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</si>
  <si>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</si>
  <si>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</si>
  <si>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</si>
  <si>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</si>
  <si>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</si>
  <si>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</si>
  <si>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</si>
  <si>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</si>
  <si>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</si>
  <si>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</si>
  <si>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COLUMBUS</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</si>
  <si>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</si>
  <si>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</si>
  <si>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</si>
  <si>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</si>
  <si>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Death</t>
    </r>
  </si>
  <si>
    <r>
      <rPr>
        <sz val="9"/>
        <color theme="1"/>
        <rFont val="Arial"/>
        <family val="2"/>
      </rPr>
      <t>COLUMBUS</t>
    </r>
  </si>
  <si>
    <r>
      <rPr>
        <sz val="9"/>
        <color theme="1"/>
        <rFont val="Arial"/>
        <family val="2"/>
      </rPr>
      <t>SANDIEGOZ</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</si>
  <si>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</si>
  <si>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</si>
  <si>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</si>
  <si>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SANDIEGOZ</t>
    </r>
  </si>
  <si>
    <r>
      <rPr>
        <sz val="9"/>
        <color theme="1"/>
        <rFont val="Arial"/>
        <family val="2"/>
      </rPr>
      <t>Death</t>
    </r>
  </si>
  <si>
    <r>
      <rPr>
        <sz val="9"/>
        <color theme="1"/>
        <rFont val="Arial"/>
        <family val="2"/>
      </rPr>
      <t>SANDIEGOZ</t>
    </r>
  </si>
  <si>
    <r>
      <rPr>
        <sz val="9"/>
        <color theme="1"/>
        <rFont val="Arial"/>
        <family val="2"/>
      </rPr>
      <t>CLEVELAND</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</si>
  <si>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</si>
  <si>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</si>
  <si>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</si>
  <si>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</si>
  <si>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</si>
  <si>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CLEVELAND</t>
    </r>
  </si>
  <si>
    <r>
      <rPr>
        <sz val="9"/>
        <color theme="1"/>
        <rFont val="Arial"/>
        <family val="2"/>
      </rPr>
      <t>CLEVELAND</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</si>
  <si>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</si>
  <si>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</si>
  <si>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</si>
  <si>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</si>
  <si>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Transfer</t>
    </r>
  </si>
  <si>
    <r>
      <rPr>
        <sz val="9"/>
        <color theme="1"/>
        <rFont val="Arial"/>
        <family val="2"/>
      </rPr>
      <t>CLEVELAND</t>
    </r>
  </si>
  <si>
    <r>
      <rPr>
        <sz val="9"/>
        <color theme="1"/>
        <rFont val="Arial"/>
        <family val="2"/>
      </rPr>
      <t>AKRON</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</si>
  <si>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</si>
  <si>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</si>
  <si>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</si>
  <si>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</si>
  <si>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</si>
  <si>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</si>
  <si>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MEMPHIS</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</si>
  <si>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</si>
  <si>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</si>
  <si>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</si>
  <si>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MEMPHIS</t>
    </r>
  </si>
  <si>
    <r>
      <rPr>
        <sz val="9"/>
        <color theme="1"/>
        <rFont val="Arial"/>
        <family val="2"/>
      </rPr>
      <t>Death</t>
    </r>
  </si>
  <si>
    <r>
      <rPr>
        <sz val="9"/>
        <color theme="1"/>
        <rFont val="Arial"/>
        <family val="2"/>
      </rPr>
      <t>MEMPHIS</t>
    </r>
  </si>
  <si>
    <r>
      <rPr>
        <sz val="9"/>
        <color theme="1"/>
        <rFont val="Arial"/>
        <family val="2"/>
      </rPr>
      <t>NY BRONX</t>
    </r>
  </si>
  <si>
    <r>
      <rPr>
        <sz val="9"/>
        <color theme="1"/>
        <rFont val="Arial"/>
        <family val="2"/>
      </rPr>
      <t>M10186</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</si>
  <si>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</si>
  <si>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</si>
  <si>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</si>
  <si>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</si>
  <si>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</si>
  <si>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</si>
  <si>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MEMPHIS</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</si>
  <si>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</si>
  <si>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</si>
  <si>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</si>
  <si>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MEMPHIS</t>
    </r>
  </si>
  <si>
    <r>
      <rPr>
        <sz val="9"/>
        <color theme="1"/>
        <rFont val="Arial"/>
        <family val="2"/>
      </rPr>
      <t>Death</t>
    </r>
  </si>
  <si>
    <r>
      <rPr>
        <sz val="9"/>
        <color theme="1"/>
        <rFont val="Arial"/>
        <family val="2"/>
      </rPr>
      <t>MEMPHIS</t>
    </r>
  </si>
  <si>
    <r>
      <rPr>
        <sz val="9"/>
        <color theme="1"/>
        <rFont val="Arial"/>
        <family val="2"/>
      </rPr>
      <t>AKRON</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</si>
  <si>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</si>
  <si>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</si>
  <si>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</si>
  <si>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</si>
  <si>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</si>
  <si>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</si>
  <si>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AKRON</t>
    </r>
  </si>
  <si>
    <r>
      <rPr>
        <sz val="9"/>
        <color theme="1"/>
        <rFont val="Arial"/>
        <family val="2"/>
      </rPr>
      <t>Male</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</si>
  <si>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</si>
  <si>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</si>
  <si>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</si>
  <si>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</si>
  <si>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</si>
  <si>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AKRON</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</si>
  <si>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</si>
  <si>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</si>
  <si>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</si>
  <si>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</si>
  <si>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</si>
  <si>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</si>
  <si>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AKRON</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</si>
  <si>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</si>
  <si>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</si>
  <si>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</si>
  <si>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</si>
  <si>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</si>
  <si>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</si>
  <si>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AKRON</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</si>
  <si>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</si>
  <si>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</si>
  <si>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</si>
  <si>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AKRON</t>
    </r>
  </si>
  <si>
    <r>
      <rPr>
        <sz val="9"/>
        <color theme="1"/>
        <rFont val="Arial"/>
        <family val="2"/>
      </rPr>
      <t>Death</t>
    </r>
  </si>
  <si>
    <r>
      <rPr>
        <sz val="9"/>
        <color theme="1"/>
        <rFont val="Arial"/>
        <family val="2"/>
      </rPr>
      <t>AKRON</t>
    </r>
  </si>
  <si>
    <r>
      <rPr>
        <sz val="9"/>
        <color theme="1"/>
        <rFont val="Arial"/>
        <family val="2"/>
      </rPr>
      <t>PUEBLO</t>
    </r>
  </si>
  <si>
    <r>
      <rPr>
        <sz val="9"/>
        <color theme="1"/>
        <rFont val="Arial"/>
        <family val="2"/>
      </rPr>
      <t>M27025</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</si>
  <si>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</si>
  <si>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</si>
  <si>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</si>
  <si>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</si>
  <si>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</si>
  <si>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</si>
  <si>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b/>
        <sz val="9"/>
        <color theme="1"/>
        <rFont val="Arial"/>
        <family val="2"/>
      </rPr>
      <t>Studboo k ID</t>
    </r>
  </si>
  <si>
    <r>
      <rPr>
        <b/>
        <sz val="9"/>
        <color theme="1"/>
        <rFont val="Arial"/>
        <family val="2"/>
      </rPr>
      <t>Current Location</t>
    </r>
  </si>
  <si>
    <r>
      <rPr>
        <b/>
        <sz val="9"/>
        <color theme="1"/>
        <rFont val="Arial"/>
        <family val="2"/>
      </rPr>
      <t>Current Local ID</t>
    </r>
  </si>
  <si>
    <r>
      <rPr>
        <b/>
        <sz val="9"/>
        <color theme="1"/>
        <rFont val="Arial"/>
        <family val="2"/>
      </rPr>
      <t>Sex Type</t>
    </r>
  </si>
  <si>
    <r>
      <rPr>
        <b/>
        <sz val="9"/>
        <color theme="1"/>
        <rFont val="Arial"/>
        <family val="2"/>
      </rPr>
      <t>Birth Date</t>
    </r>
  </si>
  <si>
    <r>
      <rPr>
        <b/>
        <sz val="9"/>
        <color theme="1"/>
        <rFont val="Arial"/>
        <family val="2"/>
      </rPr>
      <t>Sire</t>
    </r>
  </si>
  <si>
    <r>
      <rPr>
        <b/>
        <sz val="9"/>
        <color theme="1"/>
        <rFont val="Arial"/>
        <family val="2"/>
      </rPr>
      <t>Dam</t>
    </r>
  </si>
  <si>
    <r>
      <rPr>
        <b/>
        <sz val="9"/>
        <color theme="1"/>
        <rFont val="Arial"/>
        <family val="2"/>
      </rPr>
      <t>Birth Type</t>
    </r>
  </si>
  <si>
    <r>
      <rPr>
        <b/>
        <sz val="9"/>
        <color theme="1"/>
        <rFont val="Arial"/>
        <family val="2"/>
      </rPr>
      <t>Event Type</t>
    </r>
  </si>
  <si>
    <r>
      <rPr>
        <b/>
        <sz val="9"/>
        <color theme="1"/>
        <rFont val="Arial"/>
        <family val="2"/>
      </rPr>
      <t>Date</t>
    </r>
  </si>
  <si>
    <r>
      <rPr>
        <b/>
        <sz val="9"/>
        <color theme="1"/>
        <rFont val="Arial"/>
        <family val="2"/>
      </rPr>
      <t>Location</t>
    </r>
  </si>
  <si>
    <r>
      <rPr>
        <sz val="9"/>
        <color theme="1"/>
        <rFont val="Arial"/>
        <family val="2"/>
      </rPr>
      <t>PUEBLO</t>
    </r>
  </si>
  <si>
    <r>
      <rPr>
        <sz val="9"/>
        <color theme="1"/>
        <rFont val="Arial"/>
        <family val="2"/>
      </rPr>
      <t>M27024</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</si>
  <si>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</si>
  <si>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</si>
  <si>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</si>
  <si>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</si>
  <si>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</si>
  <si>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</si>
  <si>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PUEBLO</t>
    </r>
  </si>
  <si>
    <r>
      <rPr>
        <sz val="9"/>
        <color theme="1"/>
        <rFont val="Arial"/>
        <family val="2"/>
      </rPr>
      <t>M27023</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</si>
  <si>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</si>
  <si>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</si>
  <si>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</si>
  <si>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PUEBLO</t>
    </r>
  </si>
  <si>
    <r>
      <rPr>
        <sz val="9"/>
        <color theme="1"/>
        <rFont val="Arial"/>
        <family val="2"/>
      </rPr>
      <t>Death</t>
    </r>
  </si>
  <si>
    <r>
      <rPr>
        <sz val="9"/>
        <color theme="1"/>
        <rFont val="Arial"/>
        <family val="2"/>
      </rPr>
      <t>PUEBLO</t>
    </r>
  </si>
  <si>
    <r>
      <rPr>
        <sz val="9"/>
        <color theme="1"/>
        <rFont val="Arial"/>
        <family val="2"/>
      </rPr>
      <t>CLEVELAND</t>
    </r>
  </si>
  <si>
    <r>
      <rPr>
        <sz val="9"/>
        <color theme="1"/>
        <rFont val="Arial"/>
        <family val="2"/>
      </rPr>
      <t>M51212</t>
    </r>
  </si>
  <si>
    <r>
      <rPr>
        <sz val="9"/>
        <color theme="1"/>
        <rFont val="Arial"/>
        <family val="2"/>
      </rPr>
      <t>Undetermined</t>
    </r>
  </si>
  <si>
    <r>
      <rPr>
        <sz val="9"/>
        <color theme="1"/>
        <rFont val="Arial"/>
        <family val="2"/>
      </rPr>
      <t>Captive 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</si>
  <si>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</si>
  <si>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</si>
  <si>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</si>
  <si>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</si>
  <si>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CLEVELAND</t>
    </r>
  </si>
  <si>
    <r>
      <rPr>
        <sz val="9"/>
        <color theme="1"/>
        <rFont val="Arial"/>
        <family val="2"/>
      </rPr>
      <t>M51211</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</si>
  <si>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</si>
  <si>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</si>
  <si>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</si>
  <si>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CLEVELAND</t>
    </r>
  </si>
  <si>
    <r>
      <rPr>
        <sz val="9"/>
        <color theme="1"/>
        <rFont val="Arial"/>
        <family val="2"/>
      </rPr>
      <t>Death</t>
    </r>
  </si>
  <si>
    <r>
      <rPr>
        <sz val="9"/>
        <color theme="1"/>
        <rFont val="Arial"/>
        <family val="2"/>
      </rPr>
      <t>CLEVELAND</t>
    </r>
  </si>
  <si>
    <r>
      <rPr>
        <sz val="9"/>
        <color theme="1"/>
        <rFont val="Arial"/>
        <family val="2"/>
      </rPr>
      <t>MOODY</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</si>
  <si>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</si>
  <si>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</si>
  <si>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</si>
  <si>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</si>
  <si>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</si>
  <si>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</si>
  <si>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NY BRONX</t>
    </r>
  </si>
  <si>
    <r>
      <rPr>
        <sz val="9"/>
        <color theme="1"/>
        <rFont val="Arial"/>
        <family val="2"/>
      </rPr>
      <t>M20006</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</si>
  <si>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</si>
  <si>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</si>
  <si>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</si>
  <si>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</si>
  <si>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</si>
  <si>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</si>
  <si>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CHICAGOBR</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</si>
  <si>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</si>
  <si>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</si>
  <si>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</si>
  <si>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</si>
  <si>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CHICAGOBR</t>
    </r>
  </si>
  <si>
    <r>
      <rPr>
        <sz val="9"/>
        <color theme="1"/>
        <rFont val="Arial"/>
        <family val="2"/>
      </rPr>
      <t>Female</t>
    </r>
  </si>
  <si>
    <r>
      <rPr>
        <sz val="9"/>
        <color theme="1"/>
        <rFont val="Arial"/>
        <family val="2"/>
      </rPr>
      <t>Captive Birth/Hatch</t>
    </r>
  </si>
  <si>
    <r>
      <rPr>
        <sz val="9"/>
        <color theme="1"/>
        <rFont val="Arial"/>
        <family val="2"/>
      </rPr>
      <t>Birth/Hatch</t>
    </r>
  </si>
  <si>
    <r>
      <rPr>
        <sz val="9"/>
        <color theme="1"/>
        <rFont val="Arial"/>
        <family val="2"/>
      </rPr>
      <t>CHICAGOBR</t>
    </r>
  </si>
  <si>
    <r>
      <rPr>
        <sz val="9"/>
        <color theme="1"/>
        <rFont val="Arial"/>
        <family val="2"/>
      </rPr>
      <t>EVANSVLLE</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</si>
  <si>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</si>
  <si>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</si>
  <si>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</si>
  <si>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EVANSVLLE</t>
    </r>
  </si>
  <si>
    <r>
      <rPr>
        <sz val="9"/>
        <color theme="1"/>
        <rFont val="Arial"/>
        <family val="2"/>
      </rPr>
      <t>Death</t>
    </r>
  </si>
  <si>
    <r>
      <rPr>
        <sz val="9"/>
        <color theme="1"/>
        <rFont val="Arial"/>
        <family val="2"/>
      </rPr>
      <t>EVANSVLLE</t>
    </r>
  </si>
  <si>
    <r>
      <rPr>
        <sz val="9"/>
        <color theme="1"/>
        <rFont val="Arial"/>
        <family val="2"/>
      </rPr>
      <t>MOODY</t>
    </r>
  </si>
  <si>
    <r>
      <rPr>
        <sz val="9"/>
        <color theme="1"/>
        <rFont val="Arial"/>
        <family val="2"/>
      </rPr>
      <t>Male</t>
    </r>
  </si>
  <si>
    <r>
      <rPr>
        <sz val="9"/>
        <color theme="1"/>
        <rFont val="Arial"/>
        <family val="2"/>
      </rPr>
      <t>Captive Birth/Hatch</t>
    </r>
  </si>
  <si>
    <r>
      <rPr>
        <sz val="9"/>
        <color theme="1"/>
        <rFont val="Arial"/>
        <family val="2"/>
      </rPr>
      <t>Birth/Hatch</t>
    </r>
  </si>
  <si>
    <r>
      <rPr>
        <sz val="9"/>
        <color theme="1"/>
        <rFont val="Arial"/>
        <family val="2"/>
      </rPr>
      <t>MOODY</t>
    </r>
  </si>
  <si>
    <r>
      <rPr>
        <sz val="9"/>
        <color theme="1"/>
        <rFont val="Arial"/>
        <family val="2"/>
      </rPr>
      <t>Death</t>
    </r>
  </si>
  <si>
    <r>
      <rPr>
        <sz val="9"/>
        <color theme="1"/>
        <rFont val="Arial"/>
        <family val="2"/>
      </rPr>
      <t>MOODY</t>
    </r>
  </si>
  <si>
    <r>
      <rPr>
        <sz val="9"/>
        <color theme="1"/>
        <rFont val="Arial"/>
        <family val="2"/>
      </rPr>
      <t>COLUMBUS</t>
    </r>
  </si>
  <si>
    <r>
      <rPr>
        <sz val="9"/>
        <color theme="1"/>
        <rFont val="Arial"/>
        <family val="2"/>
      </rPr>
      <t>Undetermined</t>
    </r>
  </si>
  <si>
    <r>
      <rPr>
        <sz val="9"/>
        <color rgb="FF000000"/>
        <rFont val="Arial"/>
        <family val="2"/>
      </rPr>
      <t xml:space="preserve">Captive
</t>
    </r>
    <r>
      <rPr>
        <sz val="9"/>
        <color rgb="FF000000"/>
        <rFont val="Arial"/>
        <family val="2"/>
      </rPr>
      <t>Birth/Hatch</t>
    </r>
  </si>
  <si>
    <r>
      <rPr>
        <sz val="9"/>
        <color theme="1"/>
        <rFont val="Arial"/>
        <family val="2"/>
      </rPr>
      <t>Birth/Hatch</t>
    </r>
  </si>
  <si>
    <r>
      <rPr>
        <sz val="9"/>
        <color theme="1"/>
        <rFont val="Arial"/>
        <family val="2"/>
      </rPr>
      <t>COLUMBUS</t>
    </r>
  </si>
  <si>
    <r>
      <rPr>
        <sz val="9"/>
        <color theme="1"/>
        <rFont val="Arial"/>
        <family val="2"/>
      </rPr>
      <t>NY BRONX</t>
    </r>
  </si>
  <si>
    <r>
      <rPr>
        <sz val="9"/>
        <color theme="1"/>
        <rFont val="Arial"/>
        <family val="2"/>
      </rPr>
      <t>M21014</t>
    </r>
  </si>
  <si>
    <r>
      <rPr>
        <sz val="9"/>
        <color theme="1"/>
        <rFont val="Arial"/>
        <family val="2"/>
      </rPr>
      <t>Female</t>
    </r>
  </si>
  <si>
    <r>
      <rPr>
        <sz val="9"/>
        <color rgb="FF000000"/>
        <rFont val="Arial"/>
        <family val="2"/>
      </rPr>
      <t xml:space="preserve">~ from
</t>
    </r>
    <r>
      <rPr>
        <sz val="9"/>
        <color rgb="FF000000"/>
        <rFont val="Arial"/>
        <family val="2"/>
      </rPr>
      <t>11/Mar/2021 to 12/Mar/2021</t>
    </r>
  </si>
  <si>
    <r>
      <rPr>
        <sz val="9"/>
        <color theme="1"/>
        <rFont val="Arial"/>
        <family val="2"/>
      </rPr>
      <t>Captive Birth/Hatch</t>
    </r>
  </si>
  <si>
    <r>
      <rPr>
        <sz val="9"/>
        <color theme="1"/>
        <rFont val="Arial"/>
        <family val="2"/>
      </rPr>
      <t>Birth/Hatch</t>
    </r>
  </si>
  <si>
    <r>
      <rPr>
        <sz val="9"/>
        <color rgb="FF000000"/>
        <rFont val="Arial"/>
        <family val="2"/>
      </rPr>
      <t xml:space="preserve">~ from
</t>
    </r>
    <r>
      <rPr>
        <sz val="9"/>
        <color rgb="FF000000"/>
        <rFont val="Arial"/>
        <family val="2"/>
      </rPr>
      <t>11/Mar/2021 to 12/Mar/2021</t>
    </r>
  </si>
  <si>
    <r>
      <rPr>
        <sz val="9"/>
        <color theme="1"/>
        <rFont val="Arial"/>
        <family val="2"/>
      </rPr>
      <t>NY BRONX</t>
    </r>
  </si>
  <si>
    <r>
      <rPr>
        <sz val="9"/>
        <color theme="1"/>
        <rFont val="Arial"/>
        <family val="2"/>
      </rPr>
      <t>Death</t>
    </r>
  </si>
  <si>
    <r>
      <rPr>
        <sz val="9"/>
        <color theme="1"/>
        <rFont val="Arial"/>
        <family val="2"/>
      </rPr>
      <t>NY BRONX</t>
    </r>
  </si>
  <si>
    <r>
      <rPr>
        <sz val="9"/>
        <color theme="1"/>
        <rFont val="Arial"/>
        <family val="2"/>
      </rPr>
      <t>NY BRONX</t>
    </r>
  </si>
  <si>
    <r>
      <rPr>
        <sz val="9"/>
        <color theme="1"/>
        <rFont val="Arial"/>
        <family val="2"/>
      </rPr>
      <t>M21015</t>
    </r>
  </si>
  <si>
    <r>
      <rPr>
        <sz val="9"/>
        <color theme="1"/>
        <rFont val="Arial"/>
        <family val="2"/>
      </rPr>
      <t>Male</t>
    </r>
  </si>
  <si>
    <r>
      <rPr>
        <sz val="9"/>
        <color theme="1"/>
        <rFont val="Arial"/>
        <family val="2"/>
      </rPr>
      <t>~ from 11/Mar/2021 to 12/Mar/2021</t>
    </r>
  </si>
  <si>
    <r>
      <rPr>
        <sz val="9"/>
        <color theme="1"/>
        <rFont val="Arial"/>
        <family val="2"/>
      </rPr>
      <t>Captive Birth/Hatch</t>
    </r>
  </si>
  <si>
    <r>
      <rPr>
        <sz val="9"/>
        <color theme="1"/>
        <rFont val="Arial"/>
        <family val="2"/>
      </rPr>
      <t>Birth/Hatch</t>
    </r>
  </si>
  <si>
    <r>
      <rPr>
        <sz val="9"/>
        <color theme="1"/>
        <rFont val="Arial"/>
        <family val="2"/>
      </rPr>
      <t>~ from 11/Mar/2021 to 12/Mar/2021</t>
    </r>
  </si>
  <si>
    <r>
      <rPr>
        <sz val="9"/>
        <color theme="1"/>
        <rFont val="Arial"/>
        <family val="2"/>
      </rPr>
      <t>NY BRONX</t>
    </r>
  </si>
  <si>
    <r>
      <rPr>
        <b/>
        <sz val="12"/>
        <color rgb="FF000000"/>
        <rFont val="Arial"/>
        <family val="2"/>
      </rPr>
      <t xml:space="preserve">Living Population
</t>
    </r>
    <r>
      <rPr>
        <sz val="12"/>
        <color rgb="FF000000"/>
        <rFont val="Arial"/>
        <family val="2"/>
      </rPr>
      <t>21.21.1 (43) At 19 Institutions</t>
    </r>
  </si>
  <si>
    <r>
      <rPr>
        <b/>
        <sz val="12"/>
        <color rgb="FF000000"/>
        <rFont val="Arial"/>
        <family val="2"/>
      </rPr>
      <t xml:space="preserve">Historical Population
</t>
    </r>
    <r>
      <rPr>
        <sz val="12"/>
        <color rgb="FF000000"/>
        <rFont val="Arial"/>
        <family val="2"/>
      </rPr>
      <t>148.133.62 (343)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</si>
</sst>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00000"/>
  </numFmts>
  <fonts count="13" x14ac:knownFonts="1">
    <font>
      <sz val="10"/>
      <color rgb="FF000000"/>
      <name val="Times New Roman"/>
      <scheme val="minor"/>
    </font>
    <font>
      <b/>
      <sz val="9"/>
      <color theme="1"/>
      <name val="Arial"/>
      <family val="2"/>
    </font>
    <font>
      <b/>
      <sz val="9"/>
      <color rgb="FF000000"/>
      <name val="Arial"/>
      <family val="2"/>
    </font>
    <font>
      <sz val="10"/>
      <color theme="1"/>
      <name val="Times New Roman"/>
      <family val="1"/>
    </font>
    <font>
      <sz val="9"/>
      <color theme="1"/>
      <name val="Arial"/>
      <family val="2"/>
    </font>
    <font>
      <sz val="9"/>
      <color rgb="FF000000"/>
      <name val="Arial"/>
      <family val="2"/>
    </font>
    <font>
      <sz val="10"/>
      <color rgb="FF000000"/>
      <name val="Times New Roman"/>
      <family val="1"/>
    </font>
    <font>
      <b/>
      <sz val="10"/>
      <color theme="0"/>
      <name val="Arial"/>
      <family val="2"/>
    </font>
    <font>
      <sz val="10"/>
      <color theme="0"/>
      <name val="Times New Roman"/>
      <family val="1"/>
    </font>
    <font>
      <sz val="10"/>
      <color theme="1"/>
      <name val="Arial"/>
      <family val="2"/>
    </font>
    <font>
      <sz val="10"/>
      <name val="Times New Roman"/>
      <family val="1"/>
    </font>
    <font>
      <b/>
      <sz val="12"/>
      <color rgb="FF000000"/>
      <name val="Arial"/>
      <family val="2"/>
    </font>
    <font>
      <sz val="12"/>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DDDBDB"/>
        <bgColor rgb="FFDDDBDB"/>
      </patternFill>
    </fill>
  </fills>
  <borders count="9">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9">
    <xf numFmtId="0" fontId="0" fillId="0" borderId="0" xfId="0" applyAlignment="1">
      <alignment horizontal="left" vertical="top"/>
    </xf>
    <xf numFmtId="0" fontId="1" fillId="2" borderId="1" xfId="0" applyFont="1" applyFill="1" applyBorder="1" applyAlignment="1">
      <alignment horizontal="left" vertical="center" wrapText="1"/>
    </xf>
    <xf numFmtId="14" fontId="1" fillId="2" borderId="1" xfId="0" applyNumberFormat="1" applyFont="1" applyFill="1" applyBorder="1" applyAlignment="1">
      <alignment horizontal="left" vertical="center" wrapText="1"/>
    </xf>
    <xf numFmtId="1" fontId="1" fillId="2" borderId="1" xfId="0" applyNumberFormat="1" applyFont="1" applyFill="1" applyBorder="1" applyAlignment="1">
      <alignment horizontal="left" vertical="center" wrapText="1"/>
    </xf>
    <xf numFmtId="1" fontId="2" fillId="2" borderId="1" xfId="0" applyNumberFormat="1" applyFont="1" applyFill="1" applyBorder="1" applyAlignment="1">
      <alignment horizontal="left" vertical="top"/>
    </xf>
    <xf numFmtId="0" fontId="3" fillId="2" borderId="1" xfId="0" applyFont="1" applyFill="1" applyBorder="1" applyAlignment="1">
      <alignment horizontal="left" vertical="top"/>
    </xf>
    <xf numFmtId="0" fontId="4" fillId="2" borderId="1" xfId="0" applyFont="1" applyFill="1" applyBorder="1" applyAlignment="1">
      <alignment horizontal="left" vertical="center"/>
    </xf>
    <xf numFmtId="1" fontId="5" fillId="2" borderId="1" xfId="0" applyNumberFormat="1" applyFont="1" applyFill="1" applyBorder="1" applyAlignment="1">
      <alignment horizontal="left" vertical="center"/>
    </xf>
    <xf numFmtId="0" fontId="4" fillId="2" borderId="1" xfId="0" applyFont="1" applyFill="1" applyBorder="1" applyAlignment="1">
      <alignment horizontal="left" vertical="top"/>
    </xf>
    <xf numFmtId="14" fontId="4" fillId="2" borderId="1" xfId="0" applyNumberFormat="1" applyFont="1" applyFill="1" applyBorder="1" applyAlignment="1">
      <alignment horizontal="left" vertical="top"/>
    </xf>
    <xf numFmtId="1" fontId="3" fillId="2" borderId="1" xfId="0" applyNumberFormat="1" applyFont="1" applyFill="1" applyBorder="1" applyAlignment="1">
      <alignment horizontal="left" vertical="top"/>
    </xf>
    <xf numFmtId="164" fontId="5" fillId="2" borderId="1" xfId="0" applyNumberFormat="1" applyFont="1" applyFill="1" applyBorder="1" applyAlignment="1">
      <alignment horizontal="left" vertical="top"/>
    </xf>
    <xf numFmtId="0" fontId="5" fillId="2" borderId="1" xfId="0" applyFont="1" applyFill="1" applyBorder="1" applyAlignment="1">
      <alignment horizontal="left" vertical="top"/>
    </xf>
    <xf numFmtId="14" fontId="5" fillId="2" borderId="1" xfId="0" applyNumberFormat="1" applyFont="1" applyFill="1" applyBorder="1" applyAlignment="1">
      <alignment horizontal="left" vertical="center"/>
    </xf>
    <xf numFmtId="0" fontId="5" fillId="2" borderId="1" xfId="0" applyFont="1" applyFill="1" applyBorder="1" applyAlignment="1">
      <alignment horizontal="left" vertical="center"/>
    </xf>
    <xf numFmtId="164" fontId="5" fillId="2" borderId="1" xfId="0" applyNumberFormat="1" applyFont="1" applyFill="1" applyBorder="1" applyAlignment="1">
      <alignment horizontal="left" vertical="center"/>
    </xf>
    <xf numFmtId="15" fontId="4" fillId="2" borderId="1" xfId="0" applyNumberFormat="1" applyFont="1" applyFill="1" applyBorder="1" applyAlignment="1">
      <alignment horizontal="left" vertical="top"/>
    </xf>
    <xf numFmtId="0" fontId="4" fillId="2" borderId="1" xfId="0" quotePrefix="1" applyFont="1" applyFill="1" applyBorder="1" applyAlignment="1">
      <alignment horizontal="left" vertical="top"/>
    </xf>
    <xf numFmtId="0" fontId="6" fillId="2" borderId="1" xfId="0" applyFont="1" applyFill="1" applyBorder="1" applyAlignment="1">
      <alignment horizontal="left" vertical="center"/>
    </xf>
    <xf numFmtId="15" fontId="6" fillId="2" borderId="1" xfId="0" applyNumberFormat="1" applyFont="1" applyFill="1" applyBorder="1" applyAlignment="1">
      <alignment horizontal="left" vertical="top"/>
    </xf>
    <xf numFmtId="0" fontId="4" fillId="2" borderId="1" xfId="0" quotePrefix="1" applyFont="1" applyFill="1" applyBorder="1" applyAlignment="1">
      <alignment horizontal="left" vertical="center"/>
    </xf>
    <xf numFmtId="0" fontId="6" fillId="2" borderId="1" xfId="0" applyFont="1" applyFill="1" applyBorder="1" applyAlignment="1">
      <alignment horizontal="left" vertical="top"/>
    </xf>
    <xf numFmtId="165" fontId="5" fillId="2" borderId="1" xfId="0" applyNumberFormat="1" applyFont="1" applyFill="1" applyBorder="1" applyAlignment="1">
      <alignment horizontal="left" vertical="center"/>
    </xf>
    <xf numFmtId="14" fontId="6" fillId="2" borderId="1" xfId="0" applyNumberFormat="1" applyFont="1" applyFill="1" applyBorder="1" applyAlignment="1">
      <alignment horizontal="left" vertical="top"/>
    </xf>
    <xf numFmtId="0" fontId="3" fillId="0" borderId="0" xfId="0" applyFont="1" applyAlignment="1">
      <alignment horizontal="left" vertical="top"/>
    </xf>
    <xf numFmtId="1" fontId="2" fillId="2" borderId="1" xfId="0" applyNumberFormat="1" applyFont="1" applyFill="1" applyBorder="1" applyAlignment="1">
      <alignment horizontal="left" vertical="center"/>
    </xf>
    <xf numFmtId="0" fontId="4" fillId="2" borderId="1" xfId="0" applyFont="1" applyFill="1" applyBorder="1" applyAlignment="1">
      <alignment horizontal="left"/>
    </xf>
    <xf numFmtId="1" fontId="5" fillId="2" borderId="1" xfId="0" applyNumberFormat="1" applyFont="1" applyFill="1" applyBorder="1" applyAlignment="1">
      <alignment horizontal="left"/>
    </xf>
    <xf numFmtId="1" fontId="5" fillId="2" borderId="1" xfId="0" applyNumberFormat="1" applyFont="1" applyFill="1" applyBorder="1" applyAlignment="1">
      <alignment horizontal="left" vertical="top"/>
    </xf>
    <xf numFmtId="0" fontId="6" fillId="2" borderId="1" xfId="0" applyFont="1" applyFill="1" applyBorder="1" applyAlignment="1">
      <alignment horizontal="left"/>
    </xf>
    <xf numFmtId="14" fontId="6" fillId="0" borderId="0" xfId="0" applyNumberFormat="1" applyFont="1" applyAlignment="1">
      <alignment horizontal="left" vertical="top"/>
    </xf>
    <xf numFmtId="1" fontId="3" fillId="0" borderId="0" xfId="0" applyNumberFormat="1" applyFont="1" applyAlignment="1">
      <alignment horizontal="left" vertical="top"/>
    </xf>
    <xf numFmtId="1" fontId="6" fillId="0" borderId="0" xfId="0" applyNumberFormat="1" applyFont="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left" vertical="top"/>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3" xfId="0" applyFont="1" applyBorder="1" applyAlignment="1">
      <alignment horizontal="left" vertical="top" wrapText="1"/>
    </xf>
    <xf numFmtId="0" fontId="6" fillId="0" borderId="0" xfId="0" applyFont="1" applyAlignment="1">
      <alignment horizontal="left" vertical="top"/>
    </xf>
    <xf numFmtId="0" fontId="9"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3" xfId="0" applyFont="1" applyBorder="1" applyAlignment="1">
      <alignment horizontal="left" vertical="center" wrapText="1"/>
    </xf>
    <xf numFmtId="0" fontId="9" fillId="0" borderId="4" xfId="0" applyFont="1" applyBorder="1" applyAlignment="1">
      <alignment horizontal="left" vertical="top" wrapText="1"/>
    </xf>
    <xf numFmtId="0" fontId="9" fillId="0" borderId="4" xfId="0" applyFont="1" applyBorder="1" applyAlignment="1">
      <alignment horizontal="left" vertical="center" wrapText="1"/>
    </xf>
    <xf numFmtId="0" fontId="9" fillId="0" borderId="4" xfId="0" applyFont="1" applyBorder="1" applyAlignment="1">
      <alignment horizontal="left" vertical="top"/>
    </xf>
    <xf numFmtId="0" fontId="9" fillId="0" borderId="3" xfId="0" applyFont="1" applyBorder="1" applyAlignment="1">
      <alignment horizontal="left" wrapText="1"/>
    </xf>
    <xf numFmtId="0" fontId="6" fillId="0" borderId="3" xfId="0" applyFont="1" applyBorder="1" applyAlignment="1">
      <alignment horizontal="left" wrapText="1"/>
    </xf>
    <xf numFmtId="0" fontId="9" fillId="0" borderId="4" xfId="0" applyFont="1" applyBorder="1" applyAlignment="1">
      <alignment horizontal="left" wrapText="1"/>
    </xf>
    <xf numFmtId="0" fontId="9" fillId="0" borderId="4" xfId="0" applyFont="1" applyBorder="1" applyAlignment="1">
      <alignment horizontal="left" vertical="center"/>
    </xf>
    <xf numFmtId="0" fontId="6" fillId="0" borderId="0" xfId="0" applyFont="1" applyAlignment="1">
      <alignment horizontal="left" vertical="center" wrapText="1"/>
    </xf>
    <xf numFmtId="0" fontId="6" fillId="3" borderId="5" xfId="0" applyFont="1" applyFill="1" applyBorder="1" applyAlignment="1">
      <alignment horizontal="left" vertical="top" wrapText="1"/>
    </xf>
    <xf numFmtId="0" fontId="1" fillId="3" borderId="5" xfId="0" applyFont="1" applyFill="1" applyBorder="1" applyAlignment="1">
      <alignment horizontal="left" vertical="center" wrapText="1"/>
    </xf>
    <xf numFmtId="1" fontId="5" fillId="0" borderId="5" xfId="0" applyNumberFormat="1" applyFont="1" applyBorder="1" applyAlignment="1">
      <alignment horizontal="left" vertical="center" shrinkToFit="1"/>
    </xf>
    <xf numFmtId="0" fontId="4" fillId="0" borderId="5" xfId="0" applyFont="1" applyBorder="1" applyAlignment="1">
      <alignment horizontal="left" vertical="center" wrapText="1"/>
    </xf>
    <xf numFmtId="0" fontId="4" fillId="0" borderId="5" xfId="0" applyFont="1" applyBorder="1" applyAlignment="1">
      <alignment horizontal="left" vertical="top" wrapText="1"/>
    </xf>
    <xf numFmtId="0" fontId="6" fillId="0" borderId="0" xfId="0" applyFont="1" applyAlignment="1">
      <alignment horizontal="left" wrapText="1"/>
    </xf>
    <xf numFmtId="0" fontId="4" fillId="0" borderId="5" xfId="0" applyFont="1" applyBorder="1" applyAlignment="1">
      <alignment horizontal="left" wrapText="1"/>
    </xf>
    <xf numFmtId="1" fontId="5" fillId="0" borderId="5" xfId="0" applyNumberFormat="1" applyFont="1" applyBorder="1" applyAlignment="1">
      <alignment horizontal="left" shrinkToFit="1"/>
    </xf>
    <xf numFmtId="0" fontId="1" fillId="3" borderId="5" xfId="0" applyFont="1" applyFill="1" applyBorder="1" applyAlignment="1">
      <alignment horizontal="left" vertical="top" wrapText="1"/>
    </xf>
    <xf numFmtId="1" fontId="2" fillId="0" borderId="5" xfId="0" applyNumberFormat="1" applyFont="1" applyBorder="1" applyAlignment="1">
      <alignment horizontal="left" vertical="top" shrinkToFit="1"/>
    </xf>
    <xf numFmtId="1" fontId="2" fillId="0" borderId="5" xfId="0" applyNumberFormat="1" applyFont="1" applyBorder="1" applyAlignment="1">
      <alignment horizontal="left" vertical="center" shrinkToFit="1"/>
    </xf>
    <xf numFmtId="0" fontId="6" fillId="0" borderId="7" xfId="0" applyFont="1" applyBorder="1" applyAlignment="1">
      <alignment horizontal="left" vertical="center" wrapText="1"/>
    </xf>
    <xf numFmtId="164" fontId="5" fillId="0" borderId="3" xfId="0" applyNumberFormat="1" applyFont="1" applyBorder="1" applyAlignment="1">
      <alignment horizontal="left" vertical="center" shrinkToFit="1"/>
    </xf>
    <xf numFmtId="0" fontId="10" fillId="0" borderId="2" xfId="0" applyFont="1" applyBorder="1" applyAlignment="1">
      <alignment horizontal="left" vertical="top"/>
    </xf>
    <xf numFmtId="1" fontId="5" fillId="0" borderId="3" xfId="0" applyNumberFormat="1" applyFont="1" applyBorder="1" applyAlignment="1">
      <alignment horizontal="left" vertical="center" shrinkToFit="1"/>
    </xf>
    <xf numFmtId="0" fontId="4" fillId="0" borderId="3" xfId="0" applyFont="1" applyBorder="1" applyAlignment="1">
      <alignment horizontal="left" vertical="center" wrapText="1"/>
    </xf>
    <xf numFmtId="0" fontId="6" fillId="0" borderId="3" xfId="0" applyFont="1" applyBorder="1" applyAlignment="1">
      <alignment horizontal="left" wrapText="1"/>
    </xf>
    <xf numFmtId="0" fontId="10" fillId="0" borderId="4" xfId="0" applyFont="1" applyBorder="1" applyAlignment="1">
      <alignment horizontal="left" vertical="top"/>
    </xf>
    <xf numFmtId="0" fontId="4" fillId="0" borderId="3" xfId="0" applyFont="1" applyBorder="1" applyAlignment="1">
      <alignment horizontal="left" vertical="top" wrapText="1"/>
    </xf>
    <xf numFmtId="164" fontId="5" fillId="0" borderId="3" xfId="0" applyNumberFormat="1" applyFont="1" applyBorder="1" applyAlignment="1">
      <alignment horizontal="left" vertical="top" shrinkToFit="1"/>
    </xf>
    <xf numFmtId="0" fontId="1" fillId="3" borderId="3" xfId="0" applyFont="1" applyFill="1" applyBorder="1" applyAlignment="1">
      <alignment horizontal="left" vertical="top" wrapText="1"/>
    </xf>
    <xf numFmtId="0" fontId="6" fillId="0" borderId="3" xfId="0" applyFont="1" applyBorder="1" applyAlignment="1">
      <alignment horizontal="left" vertical="top" wrapText="1"/>
    </xf>
    <xf numFmtId="165" fontId="5" fillId="0" borderId="3" xfId="0" applyNumberFormat="1" applyFont="1" applyBorder="1" applyAlignment="1">
      <alignment horizontal="left" vertical="center" shrinkToFit="1"/>
    </xf>
    <xf numFmtId="0" fontId="6" fillId="0" borderId="3" xfId="0" applyFont="1" applyBorder="1" applyAlignment="1">
      <alignment horizontal="left" vertical="center" wrapText="1"/>
    </xf>
    <xf numFmtId="1" fontId="5" fillId="0" borderId="3" xfId="0" applyNumberFormat="1" applyFont="1" applyBorder="1" applyAlignment="1">
      <alignment horizontal="left" vertical="top" shrinkToFit="1"/>
    </xf>
    <xf numFmtId="0" fontId="4" fillId="0" borderId="3" xfId="0" applyFont="1" applyBorder="1" applyAlignment="1">
      <alignment horizontal="left" wrapText="1"/>
    </xf>
    <xf numFmtId="0" fontId="6" fillId="0" borderId="6" xfId="0" applyFont="1" applyBorder="1" applyAlignment="1">
      <alignment horizontal="left" wrapText="1"/>
    </xf>
    <xf numFmtId="0" fontId="10" fillId="0" borderId="7" xfId="0" applyFont="1" applyBorder="1" applyAlignment="1">
      <alignment horizontal="left" vertical="top"/>
    </xf>
    <xf numFmtId="0" fontId="10" fillId="0" borderId="8" xfId="0" applyFont="1" applyBorder="1" applyAlignment="1">
      <alignment horizontal="left" vertical="top"/>
    </xf>
    <xf numFmtId="1" fontId="5" fillId="0" borderId="3" xfId="0" applyNumberFormat="1" applyFont="1" applyBorder="1" applyAlignment="1">
      <alignment horizontal="left" shrinkToFit="1"/>
    </xf>
    <xf numFmtId="0" fontId="1" fillId="3" borderId="3" xfId="0" applyFont="1" applyFill="1" applyBorder="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top"/>
    </xf>
    <xf numFmtId="1" fontId="2" fillId="0" borderId="3" xfId="0" applyNumberFormat="1" applyFont="1" applyBorder="1" applyAlignment="1">
      <alignment horizontal="left" vertical="top" shrinkToFit="1"/>
    </xf>
    <xf numFmtId="0" fontId="6" fillId="0" borderId="6" xfId="0" applyFont="1" applyBorder="1" applyAlignment="1">
      <alignment horizontal="left" vertical="center" wrapText="1"/>
    </xf>
    <xf numFmtId="0" fontId="6" fillId="3" borderId="3" xfId="0" applyFont="1" applyFill="1" applyBorder="1" applyAlignment="1">
      <alignment horizontal="left" vertical="top" wrapText="1"/>
    </xf>
    <xf numFmtId="1" fontId="2" fillId="0" borderId="3" xfId="0" applyNumberFormat="1" applyFont="1" applyBorder="1" applyAlignment="1">
      <alignment horizontal="left" vertical="center" shrinkToFit="1"/>
    </xf>
  </cellXfs>
  <cellStyles count="1">
    <cellStyle name="Normal" xfId="0" builtinId="0"/>
  </cellStyles>
  <dxfs count="3">
    <dxf>
      <fill>
        <patternFill patternType="solid">
          <fgColor rgb="FFDBE5F1"/>
          <bgColor rgb="FFDBE5F1"/>
        </patternFill>
      </fill>
    </dxf>
    <dxf>
      <fill>
        <patternFill patternType="solid">
          <fgColor rgb="FFB8CCE4"/>
          <bgColor rgb="FFB8CCE4"/>
        </patternFill>
      </fill>
    </dxf>
    <dxf>
      <fill>
        <patternFill patternType="solid">
          <fgColor theme="1"/>
          <bgColor theme="1"/>
        </patternFill>
      </fill>
    </dxf>
  </dxfs>
  <tableStyles count="1">
    <tableStyle name="Institution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47625</xdr:colOff>
      <xdr:row>192</xdr:row>
      <xdr:rowOff>114300</xdr:rowOff>
    </xdr:from>
    <xdr:ext cx="400050" cy="57150"/>
    <xdr:sp macro="" textlink="">
      <xdr:nvSpPr>
        <xdr:cNvPr id="3" name="Shape 3">
          <a:extLst>
            <a:ext uri="{FF2B5EF4-FFF2-40B4-BE49-F238E27FC236}">
              <a16:creationId xmlns:a16="http://schemas.microsoft.com/office/drawing/2014/main" id="{00000000-0008-0000-0000-000003000000}"/>
            </a:ext>
          </a:extLst>
        </xdr:cNvPr>
        <xdr:cNvSpPr/>
      </xdr:nvSpPr>
      <xdr:spPr>
        <a:xfrm>
          <a:off x="5150738" y="3756188"/>
          <a:ext cx="390525" cy="47625"/>
        </a:xfrm>
        <a:custGeom>
          <a:avLst/>
          <a:gdLst/>
          <a:ahLst/>
          <a:cxnLst/>
          <a:rect l="l" t="t" r="r" b="b"/>
          <a:pathLst>
            <a:path w="382270" h="120000" extrusionOk="0">
              <a:moveTo>
                <a:pt x="0" y="0"/>
              </a:moveTo>
              <a:lnTo>
                <a:pt x="381647" y="0"/>
              </a:lnTo>
            </a:path>
          </a:pathLst>
        </a:custGeom>
        <a:noFill/>
        <a:ln w="9525" cap="flat" cmpd="sng">
          <a:solidFill>
            <a:srgbClr val="000000"/>
          </a:solidFill>
          <a:prstDash val="solid"/>
          <a:round/>
          <a:headEnd type="none" w="sm" len="sm"/>
          <a:tailEnd type="none" w="sm" len="sm"/>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47625</xdr:colOff>
      <xdr:row>464</xdr:row>
      <xdr:rowOff>219075</xdr:rowOff>
    </xdr:from>
    <xdr:ext cx="400050" cy="57150"/>
    <xdr:sp macro="" textlink="">
      <xdr:nvSpPr>
        <xdr:cNvPr id="3" name="Shape 3">
          <a:extLst>
            <a:ext uri="{FF2B5EF4-FFF2-40B4-BE49-F238E27FC236}">
              <a16:creationId xmlns:a16="http://schemas.microsoft.com/office/drawing/2014/main" id="{00000000-0008-0000-0700-000003000000}"/>
            </a:ext>
          </a:extLst>
        </xdr:cNvPr>
        <xdr:cNvSpPr/>
      </xdr:nvSpPr>
      <xdr:spPr>
        <a:xfrm>
          <a:off x="5150738" y="3756188"/>
          <a:ext cx="390525" cy="47625"/>
        </a:xfrm>
        <a:custGeom>
          <a:avLst/>
          <a:gdLst/>
          <a:ahLst/>
          <a:cxnLst/>
          <a:rect l="l" t="t" r="r" b="b"/>
          <a:pathLst>
            <a:path w="382270" h="120000" extrusionOk="0">
              <a:moveTo>
                <a:pt x="0" y="0"/>
              </a:moveTo>
              <a:lnTo>
                <a:pt x="381647" y="0"/>
              </a:lnTo>
            </a:path>
          </a:pathLst>
        </a:custGeom>
        <a:noFill/>
        <a:ln w="9525" cap="flat" cmpd="sng">
          <a:solidFill>
            <a:srgbClr val="000000"/>
          </a:solidFill>
          <a:prstDash val="solid"/>
          <a:round/>
          <a:headEnd type="none" w="sm" len="sm"/>
          <a:tailEnd type="none" w="sm" len="sm"/>
        </a:ln>
      </xdr:spPr>
    </xdr:sp>
    <xdr:clientData fLocksWithSheet="0"/>
  </xdr:oneCellAnchor>
  <xdr:oneCellAnchor>
    <xdr:from>
      <xdr:col>3</xdr:col>
      <xdr:colOff>47625</xdr:colOff>
      <xdr:row>649</xdr:row>
      <xdr:rowOff>114300</xdr:rowOff>
    </xdr:from>
    <xdr:ext cx="400050" cy="57150"/>
    <xdr:sp macro="" textlink="">
      <xdr:nvSpPr>
        <xdr:cNvPr id="2" name="Shape 3">
          <a:extLst>
            <a:ext uri="{FF2B5EF4-FFF2-40B4-BE49-F238E27FC236}">
              <a16:creationId xmlns:a16="http://schemas.microsoft.com/office/drawing/2014/main" id="{00000000-0008-0000-0700-000002000000}"/>
            </a:ext>
          </a:extLst>
        </xdr:cNvPr>
        <xdr:cNvSpPr/>
      </xdr:nvSpPr>
      <xdr:spPr>
        <a:xfrm>
          <a:off x="5150738" y="3756188"/>
          <a:ext cx="390525" cy="47625"/>
        </a:xfrm>
        <a:custGeom>
          <a:avLst/>
          <a:gdLst/>
          <a:ahLst/>
          <a:cxnLst/>
          <a:rect l="l" t="t" r="r" b="b"/>
          <a:pathLst>
            <a:path w="382270" h="120000" extrusionOk="0">
              <a:moveTo>
                <a:pt x="0" y="0"/>
              </a:moveTo>
              <a:lnTo>
                <a:pt x="381647" y="0"/>
              </a:lnTo>
            </a:path>
          </a:pathLst>
        </a:custGeom>
        <a:noFill/>
        <a:ln w="9525" cap="flat" cmpd="sng">
          <a:solidFill>
            <a:srgbClr val="000000"/>
          </a:solidFill>
          <a:prstDash val="solid"/>
          <a:round/>
          <a:headEnd type="none" w="sm" len="sm"/>
          <a:tailEnd type="none" w="sm" len="sm"/>
        </a:ln>
      </xdr:spPr>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E70">
  <tableColumns count="31">
    <tableColumn id="1" xr3:uid="{00000000-0010-0000-0000-000001000000}" name="Institution Name"/>
    <tableColumn id="2" xr3:uid="{00000000-0010-0000-0000-000002000000}" name="Mnemonic"/>
    <tableColumn id="3" xr3:uid="{00000000-0010-0000-0000-000003000000}" name="Country"/>
    <tableColumn id="4" xr3:uid="{00000000-0010-0000-0000-000004000000}" name="N"/>
    <tableColumn id="5" xr3:uid="{00000000-0010-0000-0000-000005000000}" name="M"/>
    <tableColumn id="6" xr3:uid="{00000000-0010-0000-0000-000006000000}" name="F"/>
    <tableColumn id="7" xr3:uid="{00000000-0010-0000-0000-000007000000}" name="U"/>
    <tableColumn id="8" xr3:uid="{00000000-0010-0000-0000-000008000000}" name="Historic N"/>
    <tableColumn id="9" xr3:uid="{00000000-0010-0000-0000-000009000000}" name="Historic Males"/>
    <tableColumn id="10" xr3:uid="{00000000-0010-0000-0000-00000A000000}" name="Historic Females"/>
    <tableColumn id="11" xr3:uid="{00000000-0010-0000-0000-00000B000000}" name="Historic Unknowns"/>
    <tableColumn id="12" xr3:uid="{00000000-0010-0000-0000-00000C000000}" name="Current"/>
    <tableColumn id="13" xr3:uid="{00000000-0010-0000-0000-00000D000000}" name="WAZA"/>
    <tableColumn id="14" xr3:uid="{00000000-0010-0000-0000-00000E000000}" name="AZA"/>
    <tableColumn id="15" xr3:uid="{00000000-0010-0000-0000-00000F000000}" name="EAZA"/>
    <tableColumn id="16" xr3:uid="{00000000-0010-0000-0000-000010000000}" name="ZAAUS"/>
    <tableColumn id="17" xr3:uid="{00000000-0010-0000-0000-000011000000}" name="AMMPA"/>
    <tableColumn id="18" xr3:uid="{00000000-0010-0000-0000-000012000000}" name="C2S2"/>
    <tableColumn id="19" xr3:uid="{00000000-0010-0000-0000-000013000000}" name="FAZA"/>
    <tableColumn id="20" xr3:uid="{00000000-0010-0000-0000-000014000000}" name="CAZA"/>
    <tableColumn id="21" xr3:uid="{00000000-0010-0000-0000-000015000000}" name="TAZASSOC"/>
    <tableColumn id="22" xr3:uid="{00000000-0010-0000-0000-000016000000}" name="SEAZA"/>
    <tableColumn id="23" xr3:uid="{00000000-0010-0000-0000-000017000000}" name="ZPO"/>
    <tableColumn id="24" xr3:uid="{00000000-0010-0000-0000-000018000000}" name="VDZ"/>
    <tableColumn id="25" xr3:uid="{00000000-0010-0000-0000-000019000000}" name="WPC"/>
    <tableColumn id="26" xr3:uid="{00000000-0010-0000-0000-00001A000000}" name="AAZK"/>
    <tableColumn id="27" xr3:uid="{00000000-0010-0000-0000-00001B000000}" name="RUZA"/>
    <tableColumn id="28" xr3:uid="{00000000-0010-0000-0000-00001C000000}" name="EARAZA"/>
    <tableColumn id="29" xr3:uid="{00000000-0010-0000-0000-00001D000000}" name="BIAZA"/>
    <tableColumn id="30" xr3:uid="{00000000-0010-0000-0000-00001E000000}" name="PDZA"/>
    <tableColumn id="31" xr3:uid="{00000000-0010-0000-0000-00001F000000}" name="SAZA"/>
  </tableColumns>
  <tableStyleInfo name="Institu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982"/>
  <sheetViews>
    <sheetView tabSelected="1" workbookViewId="0">
      <pane xSplit="9" ySplit="1" topLeftCell="L2" activePane="bottomRight" state="frozen"/>
      <selection pane="topRight" activeCell="J1" sqref="J1"/>
      <selection pane="bottomLeft" activeCell="A2" sqref="A2"/>
      <selection pane="bottomRight" activeCell="E46" sqref="E46"/>
    </sheetView>
  </sheetViews>
  <sheetFormatPr baseColWidth="10" defaultColWidth="14.3984375" defaultRowHeight="15" customHeight="1" x14ac:dyDescent="0.15"/>
  <cols>
    <col min="1" max="1" width="10.3984375" customWidth="1"/>
    <col min="2" max="3" width="8.796875" customWidth="1"/>
    <col min="4" max="4" width="12.3984375" customWidth="1"/>
    <col min="5" max="6" width="12.59765625" customWidth="1"/>
    <col min="7" max="8" width="17.59765625" hidden="1" customWidth="1"/>
    <col min="9" max="9" width="17.59765625" customWidth="1"/>
    <col min="10" max="11" width="17.59765625" hidden="1" customWidth="1"/>
    <col min="12" max="12" width="12.59765625" customWidth="1"/>
    <col min="13" max="13" width="8" customWidth="1"/>
    <col min="14" max="14" width="8.19921875" customWidth="1"/>
    <col min="15" max="15" width="12.59765625" customWidth="1"/>
    <col min="16" max="18" width="11.796875" customWidth="1"/>
    <col min="19" max="19" width="8" customWidth="1"/>
    <col min="20" max="20" width="9.19921875" customWidth="1"/>
    <col min="21" max="21" width="8" customWidth="1"/>
    <col min="22" max="22" width="27.19921875" customWidth="1"/>
    <col min="23" max="23" width="21" customWidth="1"/>
    <col min="24" max="24" width="16.3984375" customWidth="1"/>
    <col min="25" max="25" width="13.19921875" customWidth="1"/>
    <col min="26" max="26" width="15.3984375" customWidth="1"/>
    <col min="27" max="27" width="11.796875" customWidth="1"/>
    <col min="28" max="28" width="13.19921875" customWidth="1"/>
    <col min="29" max="29" width="11.19921875" customWidth="1"/>
    <col min="30" max="30" width="30" customWidth="1"/>
    <col min="31" max="31" width="19.796875" customWidth="1"/>
    <col min="32" max="32" width="12.3984375" customWidth="1"/>
    <col min="33" max="33" width="13.59765625" customWidth="1"/>
    <col min="34" max="37" width="12.59765625" customWidth="1"/>
    <col min="38" max="38" width="11.796875" customWidth="1"/>
    <col min="39" max="39" width="12.59765625" customWidth="1"/>
    <col min="40" max="40" width="15.19921875" customWidth="1"/>
    <col min="41" max="41" width="22" customWidth="1"/>
    <col min="42" max="47" width="13.19921875" customWidth="1"/>
    <col min="48" max="51" width="21.19921875" customWidth="1"/>
    <col min="52" max="53" width="13.19921875" customWidth="1"/>
    <col min="54" max="57" width="21.19921875" customWidth="1"/>
    <col min="58" max="59" width="13.19921875" customWidth="1"/>
    <col min="60" max="63" width="21.19921875" customWidth="1"/>
    <col min="64" max="79" width="13.19921875" customWidth="1"/>
  </cols>
  <sheetData>
    <row r="1" spans="1:79" ht="12.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1" t="s">
        <v>16</v>
      </c>
      <c r="R1" s="1" t="s">
        <v>17</v>
      </c>
      <c r="S1" s="3" t="s">
        <v>18</v>
      </c>
      <c r="T1" s="3" t="s">
        <v>19</v>
      </c>
      <c r="U1" s="3"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ht="12.75" customHeight="1" x14ac:dyDescent="0.15">
      <c r="A2" s="4">
        <v>1040</v>
      </c>
      <c r="B2" s="5" t="s">
        <v>79</v>
      </c>
      <c r="C2" s="5" t="s">
        <v>79</v>
      </c>
      <c r="D2" s="6" t="s">
        <v>80</v>
      </c>
      <c r="E2" s="7">
        <v>101746</v>
      </c>
      <c r="F2" s="6" t="s">
        <v>81</v>
      </c>
      <c r="G2" s="8"/>
      <c r="H2" s="8"/>
      <c r="I2" s="8"/>
      <c r="J2" s="8"/>
      <c r="K2" s="8"/>
      <c r="L2" s="8" t="s">
        <v>82</v>
      </c>
      <c r="M2" s="7">
        <v>1013</v>
      </c>
      <c r="N2" s="7">
        <v>1001</v>
      </c>
      <c r="O2" s="9">
        <v>31413</v>
      </c>
      <c r="P2" s="10">
        <f t="shared" ref="P2:P199" ca="1" si="0">IF(AND(CELL("type", AG2)="v", CELL("type", O2)="v"), YEARFRAC(AG2,O2), "NA")</f>
        <v>16.627777777777776</v>
      </c>
      <c r="Q2" s="5">
        <f t="shared" ref="Q2:Q199" ca="1" si="1">IF(AND(CELL("type", AG2)="v", CELL("type", O2)="v"), DATEDIF(O2,AG2, "m"), "NA")</f>
        <v>199</v>
      </c>
      <c r="R2" s="5">
        <f t="shared" ref="R2:R199" ca="1" si="2">IF(AND(CELL("type", AG2)="v", CELL("type", O2)="v"), DATEDIF(O2,AG2, "d"), "NA")</f>
        <v>6072</v>
      </c>
      <c r="S2" s="7">
        <f t="shared" ref="S2:S199" ca="1" si="3">IF(CELL("type", O2)="v", YEAR(O2), "NA")</f>
        <v>1986</v>
      </c>
      <c r="T2" s="7">
        <f t="shared" ref="T2:T199" ca="1" si="4">IF(CELL("type", O2)="v", MONTH(O2), "NA")</f>
        <v>1</v>
      </c>
      <c r="U2" s="7">
        <f t="shared" ref="U2:U199" ca="1" si="5">IF(CELL("type", O2)="v", DAY(O2), "NA")</f>
        <v>1</v>
      </c>
      <c r="V2" s="6" t="s">
        <v>83</v>
      </c>
      <c r="W2" s="8" t="s">
        <v>84</v>
      </c>
      <c r="X2" s="8"/>
      <c r="Y2" s="5">
        <f t="shared" ref="Y2:Y164" ca="1" si="6">COUNT(AP2,AV2,BB2,BH2,BM2,BS4,BX4)</f>
        <v>2</v>
      </c>
      <c r="Z2" s="11">
        <v>32427</v>
      </c>
      <c r="AA2" s="12">
        <f t="shared" ref="AA2:AA199" ca="1" si="7">IF(CELL("type", Z2)="v", YEAR(Z2), "NA")</f>
        <v>1988</v>
      </c>
      <c r="AB2" s="12">
        <f t="shared" ref="AB2:AB199" ca="1" si="8">IF(CELL("type", Z2)="v", MONTH(Z2), "NA")</f>
        <v>10</v>
      </c>
      <c r="AC2" s="12">
        <f t="shared" ref="AC2:AC199" ca="1" si="9">IF(CELL("type", Z2)="v", DAY(Z2), "NA")</f>
        <v>11</v>
      </c>
      <c r="AD2" s="8" t="s">
        <v>85</v>
      </c>
      <c r="AE2" s="5"/>
      <c r="AF2" s="8"/>
      <c r="AG2" s="11">
        <v>37485</v>
      </c>
      <c r="AH2" s="12">
        <f t="shared" ref="AH2:AH199" ca="1" si="10">IF(CELL("type", AG2)="v", YEAR(AG2), "NA")</f>
        <v>2002</v>
      </c>
      <c r="AI2" s="12">
        <f t="shared" ref="AI2:AI199" ca="1" si="11">IF(CELL("type", AG2)="v", MONTH(AG2), "NA")</f>
        <v>8</v>
      </c>
      <c r="AJ2" s="12">
        <f t="shared" ref="AJ2:AJ199" ca="1" si="12">IF(CELL("type", AG2)="v", DAY(AG2), "NA")</f>
        <v>17</v>
      </c>
      <c r="AK2" s="8" t="s">
        <v>86</v>
      </c>
      <c r="AL2" s="8"/>
      <c r="AM2" s="5"/>
      <c r="AN2" s="5"/>
      <c r="AO2" s="5"/>
      <c r="AP2" s="12" t="str">
        <f t="shared" ref="AP2:AP199" ca="1" si="13">IF(CELL("type", AO2)="v", YEAR(AO2), "NA")</f>
        <v>NA</v>
      </c>
      <c r="AQ2" s="12" t="str">
        <f t="shared" ref="AQ2:AQ199" ca="1" si="14">IF(CELL("type", AO2)="v", MONTH(AO2), "NA")</f>
        <v>NA</v>
      </c>
      <c r="AR2" s="12" t="str">
        <f t="shared" ref="AR2:AR199" ca="1" si="15">IF(CELL("type", AO2)="v", DAY(AO2), "NA")</f>
        <v>NA</v>
      </c>
      <c r="AS2" s="5"/>
      <c r="AT2" s="5"/>
      <c r="AU2" s="5"/>
      <c r="AV2" s="12" t="str">
        <f t="shared" ref="AV2:AV199" ca="1" si="16">IF(CELL("type", AU2)="v", YEAR(AU2), "NA")</f>
        <v>NA</v>
      </c>
      <c r="AW2" s="12" t="str">
        <f t="shared" ref="AW2:AW199" ca="1" si="17">IF(CELL("type", AU2)="v", MONTH(AU2), "NA")</f>
        <v>NA</v>
      </c>
      <c r="AX2" s="12" t="str">
        <f t="shared" ref="AX2:AX199" ca="1" si="18">IF(CELL("type", AU2)="v", DAY(AU2), "NA")</f>
        <v>NA</v>
      </c>
      <c r="AY2" s="5"/>
      <c r="AZ2" s="5"/>
      <c r="BA2" s="6"/>
      <c r="BB2" s="12" t="str">
        <f t="shared" ref="BB2:BB199" ca="1" si="19">IF(CELL("type", BA2)="v", YEAR(BA2), "NA")</f>
        <v>NA</v>
      </c>
      <c r="BC2" s="12" t="str">
        <f t="shared" ref="BC2:BC199" ca="1" si="20">IF(CELL("type", BA2)="v", MONTH(BA2), "NA")</f>
        <v>NA</v>
      </c>
      <c r="BD2" s="12" t="str">
        <f t="shared" ref="BD2:BD199" ca="1" si="21">IF(CELL("type", BA2)="v", DAY(BA2), "NA")</f>
        <v>NA</v>
      </c>
      <c r="BE2" s="5"/>
      <c r="BF2" s="5"/>
      <c r="BG2" s="5"/>
      <c r="BH2" s="12" t="str">
        <f t="shared" ref="BH2:BH199" ca="1" si="22">IF(CELL("type", BG2)="v", YEAR(BG2), "NA")</f>
        <v>NA</v>
      </c>
      <c r="BI2" s="12" t="str">
        <f t="shared" ref="BI2:BI199" ca="1" si="23">IF(CELL("type", BG2)="v", MONTH(BG2), "NA")</f>
        <v>NA</v>
      </c>
      <c r="BJ2" s="12" t="str">
        <f t="shared" ref="BJ2:BJ199" ca="1" si="24">IF(CELL("type", BG2)="v", DAY(BG2), "NA")</f>
        <v>NA</v>
      </c>
      <c r="BK2" s="5"/>
      <c r="BL2" s="5"/>
      <c r="BM2" s="12" t="str">
        <f t="shared" ref="BM2:BM199" ca="1" si="25">IF(CELL("type", BL2)="v", YEAR(BL2), "NA")</f>
        <v>NA</v>
      </c>
      <c r="BN2" s="12" t="str">
        <f t="shared" ref="BN2:BN199" ca="1" si="26">IF(CELL("type", BL2)="v", MONTH(BL2), "NA")</f>
        <v>NA</v>
      </c>
      <c r="BO2" s="12" t="str">
        <f t="shared" ref="BO2:BO199" ca="1" si="27">IF(CELL("type", BL2)="v", DAY(BL2), "NA")</f>
        <v>NA</v>
      </c>
      <c r="BP2" s="5"/>
      <c r="BQ2" s="5"/>
      <c r="BR2" s="5"/>
      <c r="BS2" s="12" t="str">
        <f t="shared" ref="BS2:BS199" ca="1" si="28">IF(CELL("type", BR2)="v", YEAR(BR2), "NA")</f>
        <v>NA</v>
      </c>
      <c r="BT2" s="12" t="str">
        <f t="shared" ref="BT2:BT199" ca="1" si="29">IF(CELL("type", BR2)="v", MONTH(BR2), "NA")</f>
        <v>NA</v>
      </c>
      <c r="BU2" s="12" t="str">
        <f t="shared" ref="BU2:BU199" ca="1" si="30">IF(CELL("type", BR2)="v", DAY(BR2), "NA")</f>
        <v>NA</v>
      </c>
      <c r="BV2" s="5"/>
      <c r="BW2" s="5"/>
      <c r="BX2" s="12" t="str">
        <f t="shared" ref="BX2:BX199" ca="1" si="31">IF(CELL("type", BW2)="v", YEAR(BW2), "NA")</f>
        <v>NA</v>
      </c>
      <c r="BY2" s="12" t="str">
        <f t="shared" ref="BY2:BY199" ca="1" si="32">IF(CELL("type", BW2)="v", MONTH(BW2), "NA")</f>
        <v>NA</v>
      </c>
      <c r="BZ2" s="12" t="str">
        <f t="shared" ref="BZ2:BZ199" ca="1" si="33">IF(CELL("type", BW2)="v", DAY(BW2), "NA")</f>
        <v>NA</v>
      </c>
      <c r="CA2" s="5"/>
    </row>
    <row r="3" spans="1:79" ht="12.75" customHeight="1" x14ac:dyDescent="0.15">
      <c r="A3" s="4">
        <v>1041</v>
      </c>
      <c r="B3" s="5" t="s">
        <v>79</v>
      </c>
      <c r="C3" s="5" t="s">
        <v>79</v>
      </c>
      <c r="D3" s="6" t="s">
        <v>87</v>
      </c>
      <c r="E3" s="7">
        <v>101745</v>
      </c>
      <c r="F3" s="6" t="s">
        <v>88</v>
      </c>
      <c r="G3" s="8"/>
      <c r="H3" s="8"/>
      <c r="I3" s="8"/>
      <c r="J3" s="8"/>
      <c r="K3" s="8"/>
      <c r="L3" s="8" t="s">
        <v>82</v>
      </c>
      <c r="M3" s="7">
        <v>1029</v>
      </c>
      <c r="N3" s="7">
        <v>1000</v>
      </c>
      <c r="O3" s="9">
        <v>31747</v>
      </c>
      <c r="P3" s="10">
        <f t="shared" ca="1" si="0"/>
        <v>14.35</v>
      </c>
      <c r="Q3" s="5">
        <f t="shared" ca="1" si="1"/>
        <v>172</v>
      </c>
      <c r="R3" s="5">
        <f t="shared" ca="1" si="2"/>
        <v>5241</v>
      </c>
      <c r="S3" s="7">
        <f t="shared" ca="1" si="3"/>
        <v>1986</v>
      </c>
      <c r="T3" s="7">
        <f t="shared" ca="1" si="4"/>
        <v>12</v>
      </c>
      <c r="U3" s="7">
        <f t="shared" ca="1" si="5"/>
        <v>1</v>
      </c>
      <c r="V3" s="6" t="s">
        <v>89</v>
      </c>
      <c r="W3" s="8" t="s">
        <v>84</v>
      </c>
      <c r="X3" s="8"/>
      <c r="Y3" s="5">
        <f t="shared" ca="1" si="6"/>
        <v>2</v>
      </c>
      <c r="Z3" s="11">
        <v>32427</v>
      </c>
      <c r="AA3" s="12">
        <f t="shared" ca="1" si="7"/>
        <v>1988</v>
      </c>
      <c r="AB3" s="12">
        <f t="shared" ca="1" si="8"/>
        <v>10</v>
      </c>
      <c r="AC3" s="12">
        <f t="shared" ca="1" si="9"/>
        <v>11</v>
      </c>
      <c r="AD3" s="8" t="s">
        <v>90</v>
      </c>
      <c r="AE3" s="5"/>
      <c r="AF3" s="8"/>
      <c r="AG3" s="11">
        <v>36988</v>
      </c>
      <c r="AH3" s="12">
        <f t="shared" ca="1" si="10"/>
        <v>2001</v>
      </c>
      <c r="AI3" s="12">
        <f t="shared" ca="1" si="11"/>
        <v>4</v>
      </c>
      <c r="AJ3" s="12">
        <f t="shared" ca="1" si="12"/>
        <v>7</v>
      </c>
      <c r="AK3" s="8" t="s">
        <v>91</v>
      </c>
      <c r="AL3" s="8"/>
      <c r="AM3" s="5"/>
      <c r="AN3" s="5"/>
      <c r="AO3" s="5"/>
      <c r="AP3" s="12" t="str">
        <f t="shared" ca="1" si="13"/>
        <v>NA</v>
      </c>
      <c r="AQ3" s="12" t="str">
        <f t="shared" ca="1" si="14"/>
        <v>NA</v>
      </c>
      <c r="AR3" s="12" t="str">
        <f t="shared" ca="1" si="15"/>
        <v>NA</v>
      </c>
      <c r="AS3" s="5"/>
      <c r="AT3" s="5"/>
      <c r="AU3" s="5"/>
      <c r="AV3" s="12" t="str">
        <f t="shared" ca="1" si="16"/>
        <v>NA</v>
      </c>
      <c r="AW3" s="12" t="str">
        <f t="shared" ca="1" si="17"/>
        <v>NA</v>
      </c>
      <c r="AX3" s="12" t="str">
        <f t="shared" ca="1" si="18"/>
        <v>NA</v>
      </c>
      <c r="AY3" s="5"/>
      <c r="AZ3" s="5"/>
      <c r="BA3" s="6"/>
      <c r="BB3" s="12" t="str">
        <f t="shared" ca="1" si="19"/>
        <v>NA</v>
      </c>
      <c r="BC3" s="12" t="str">
        <f t="shared" ca="1" si="20"/>
        <v>NA</v>
      </c>
      <c r="BD3" s="12" t="str">
        <f t="shared" ca="1" si="21"/>
        <v>NA</v>
      </c>
      <c r="BE3" s="5"/>
      <c r="BF3" s="5"/>
      <c r="BG3" s="5"/>
      <c r="BH3" s="12" t="str">
        <f t="shared" ca="1" si="22"/>
        <v>NA</v>
      </c>
      <c r="BI3" s="12" t="str">
        <f t="shared" ca="1" si="23"/>
        <v>NA</v>
      </c>
      <c r="BJ3" s="12" t="str">
        <f t="shared" ca="1" si="24"/>
        <v>NA</v>
      </c>
      <c r="BK3" s="5"/>
      <c r="BL3" s="5"/>
      <c r="BM3" s="12" t="str">
        <f t="shared" ca="1" si="25"/>
        <v>NA</v>
      </c>
      <c r="BN3" s="12" t="str">
        <f t="shared" ca="1" si="26"/>
        <v>NA</v>
      </c>
      <c r="BO3" s="12" t="str">
        <f t="shared" ca="1" si="27"/>
        <v>NA</v>
      </c>
      <c r="BP3" s="5"/>
      <c r="BQ3" s="5"/>
      <c r="BR3" s="5"/>
      <c r="BS3" s="12" t="str">
        <f t="shared" ca="1" si="28"/>
        <v>NA</v>
      </c>
      <c r="BT3" s="12" t="str">
        <f t="shared" ca="1" si="29"/>
        <v>NA</v>
      </c>
      <c r="BU3" s="12" t="str">
        <f t="shared" ca="1" si="30"/>
        <v>NA</v>
      </c>
      <c r="BV3" s="5"/>
      <c r="BW3" s="5"/>
      <c r="BX3" s="12" t="str">
        <f t="shared" ca="1" si="31"/>
        <v>NA</v>
      </c>
      <c r="BY3" s="12" t="str">
        <f t="shared" ca="1" si="32"/>
        <v>NA</v>
      </c>
      <c r="BZ3" s="12" t="str">
        <f t="shared" ca="1" si="33"/>
        <v>NA</v>
      </c>
      <c r="CA3" s="5"/>
    </row>
    <row r="4" spans="1:79" ht="12.75" customHeight="1" x14ac:dyDescent="0.15">
      <c r="A4" s="4">
        <v>1045</v>
      </c>
      <c r="B4" s="5" t="s">
        <v>79</v>
      </c>
      <c r="C4" s="5" t="s">
        <v>79</v>
      </c>
      <c r="D4" s="6" t="s">
        <v>92</v>
      </c>
      <c r="E4" s="7">
        <v>11671</v>
      </c>
      <c r="F4" s="6" t="s">
        <v>93</v>
      </c>
      <c r="G4" s="8"/>
      <c r="H4" s="8"/>
      <c r="I4" s="8"/>
      <c r="J4" s="8"/>
      <c r="K4" s="8"/>
      <c r="L4" s="8" t="s">
        <v>82</v>
      </c>
      <c r="M4" s="6" t="s">
        <v>94</v>
      </c>
      <c r="N4" s="7">
        <v>1034</v>
      </c>
      <c r="O4" s="13">
        <v>31822</v>
      </c>
      <c r="P4" s="10">
        <f t="shared" ca="1" si="0"/>
        <v>21.93888888888889</v>
      </c>
      <c r="Q4" s="5">
        <f t="shared" ca="1" si="1"/>
        <v>263</v>
      </c>
      <c r="R4" s="5">
        <f t="shared" ca="1" si="2"/>
        <v>8013</v>
      </c>
      <c r="S4" s="7">
        <f t="shared" ca="1" si="3"/>
        <v>1987</v>
      </c>
      <c r="T4" s="7">
        <f t="shared" ca="1" si="4"/>
        <v>2</v>
      </c>
      <c r="U4" s="7">
        <f t="shared" ca="1" si="5"/>
        <v>14</v>
      </c>
      <c r="V4" s="6" t="s">
        <v>95</v>
      </c>
      <c r="W4" s="14" t="s">
        <v>96</v>
      </c>
      <c r="X4" s="15"/>
      <c r="Y4" s="5">
        <f t="shared" ca="1" si="6"/>
        <v>5</v>
      </c>
      <c r="Z4" s="5"/>
      <c r="AA4" s="12" t="str">
        <f t="shared" ca="1" si="7"/>
        <v>NA</v>
      </c>
      <c r="AB4" s="12" t="str">
        <f t="shared" ca="1" si="8"/>
        <v>NA</v>
      </c>
      <c r="AC4" s="12" t="str">
        <f t="shared" ca="1" si="9"/>
        <v>NA</v>
      </c>
      <c r="AD4" s="5"/>
      <c r="AE4" s="8"/>
      <c r="AF4" s="5"/>
      <c r="AG4" s="11">
        <v>39835</v>
      </c>
      <c r="AH4" s="12">
        <f t="shared" ca="1" si="10"/>
        <v>2009</v>
      </c>
      <c r="AI4" s="12">
        <f t="shared" ca="1" si="11"/>
        <v>1</v>
      </c>
      <c r="AJ4" s="12">
        <f t="shared" ca="1" si="12"/>
        <v>22</v>
      </c>
      <c r="AK4" s="8" t="s">
        <v>97</v>
      </c>
      <c r="AL4" s="8"/>
      <c r="AM4" s="5"/>
      <c r="AN4" s="5"/>
      <c r="AO4" s="11">
        <v>31850</v>
      </c>
      <c r="AP4" s="12">
        <f t="shared" ca="1" si="13"/>
        <v>1987</v>
      </c>
      <c r="AQ4" s="12">
        <f t="shared" ca="1" si="14"/>
        <v>3</v>
      </c>
      <c r="AR4" s="12">
        <f t="shared" ca="1" si="15"/>
        <v>14</v>
      </c>
      <c r="AS4" s="8" t="s">
        <v>98</v>
      </c>
      <c r="AT4" s="8"/>
      <c r="AU4" s="11">
        <v>31881</v>
      </c>
      <c r="AV4" s="12">
        <f t="shared" ca="1" si="16"/>
        <v>1987</v>
      </c>
      <c r="AW4" s="12">
        <f t="shared" ca="1" si="17"/>
        <v>4</v>
      </c>
      <c r="AX4" s="12">
        <f t="shared" ca="1" si="18"/>
        <v>14</v>
      </c>
      <c r="AY4" s="8" t="s">
        <v>99</v>
      </c>
      <c r="AZ4" s="8"/>
      <c r="BA4" s="11">
        <v>32365</v>
      </c>
      <c r="BB4" s="12">
        <f t="shared" ca="1" si="19"/>
        <v>1988</v>
      </c>
      <c r="BC4" s="12">
        <f t="shared" ca="1" si="20"/>
        <v>8</v>
      </c>
      <c r="BD4" s="12">
        <f t="shared" ca="1" si="21"/>
        <v>10</v>
      </c>
      <c r="BE4" s="8" t="s">
        <v>100</v>
      </c>
      <c r="BF4" s="8"/>
      <c r="BG4" s="11">
        <v>32429</v>
      </c>
      <c r="BH4" s="12">
        <f t="shared" ca="1" si="22"/>
        <v>1988</v>
      </c>
      <c r="BI4" s="12">
        <f t="shared" ca="1" si="23"/>
        <v>10</v>
      </c>
      <c r="BJ4" s="12">
        <f t="shared" ca="1" si="24"/>
        <v>13</v>
      </c>
      <c r="BK4" s="8" t="s">
        <v>101</v>
      </c>
      <c r="BL4" s="11">
        <v>32735</v>
      </c>
      <c r="BM4" s="12">
        <f t="shared" ca="1" si="25"/>
        <v>1989</v>
      </c>
      <c r="BN4" s="12">
        <f t="shared" ca="1" si="26"/>
        <v>8</v>
      </c>
      <c r="BO4" s="12">
        <f t="shared" ca="1" si="27"/>
        <v>15</v>
      </c>
      <c r="BP4" s="8" t="s">
        <v>102</v>
      </c>
      <c r="BQ4" s="8"/>
      <c r="BR4" s="11">
        <v>33716</v>
      </c>
      <c r="BS4" s="12">
        <f t="shared" ca="1" si="28"/>
        <v>1992</v>
      </c>
      <c r="BT4" s="12">
        <f t="shared" ca="1" si="29"/>
        <v>4</v>
      </c>
      <c r="BU4" s="12">
        <f t="shared" ca="1" si="30"/>
        <v>22</v>
      </c>
      <c r="BV4" s="8" t="s">
        <v>103</v>
      </c>
      <c r="BW4" s="11">
        <v>38300</v>
      </c>
      <c r="BX4" s="12">
        <f t="shared" ca="1" si="31"/>
        <v>2004</v>
      </c>
      <c r="BY4" s="12">
        <f t="shared" ca="1" si="32"/>
        <v>11</v>
      </c>
      <c r="BZ4" s="12">
        <f t="shared" ca="1" si="33"/>
        <v>9</v>
      </c>
      <c r="CA4" s="8" t="s">
        <v>104</v>
      </c>
    </row>
    <row r="5" spans="1:79" ht="12.75" customHeight="1" x14ac:dyDescent="0.15">
      <c r="A5" s="4">
        <v>1046</v>
      </c>
      <c r="B5" s="5" t="s">
        <v>79</v>
      </c>
      <c r="C5" s="5" t="s">
        <v>79</v>
      </c>
      <c r="D5" s="6" t="s">
        <v>105</v>
      </c>
      <c r="E5" s="7">
        <v>11672</v>
      </c>
      <c r="F5" s="6" t="s">
        <v>106</v>
      </c>
      <c r="G5" s="8"/>
      <c r="H5" s="8"/>
      <c r="I5" s="8"/>
      <c r="J5" s="8"/>
      <c r="K5" s="8"/>
      <c r="L5" s="8" t="s">
        <v>82</v>
      </c>
      <c r="M5" s="6" t="s">
        <v>107</v>
      </c>
      <c r="N5" s="7">
        <v>1035</v>
      </c>
      <c r="O5" s="13">
        <v>31822</v>
      </c>
      <c r="P5" s="10">
        <f t="shared" ca="1" si="0"/>
        <v>19.494444444444444</v>
      </c>
      <c r="Q5" s="5">
        <f t="shared" ca="1" si="1"/>
        <v>233</v>
      </c>
      <c r="R5" s="5">
        <f t="shared" ca="1" si="2"/>
        <v>7119</v>
      </c>
      <c r="S5" s="7">
        <f t="shared" ca="1" si="3"/>
        <v>1987</v>
      </c>
      <c r="T5" s="7">
        <f t="shared" ca="1" si="4"/>
        <v>2</v>
      </c>
      <c r="U5" s="7">
        <f t="shared" ca="1" si="5"/>
        <v>14</v>
      </c>
      <c r="V5" s="6" t="s">
        <v>108</v>
      </c>
      <c r="W5" s="14" t="s">
        <v>96</v>
      </c>
      <c r="X5" s="15"/>
      <c r="Y5" s="5">
        <f t="shared" ca="1" si="6"/>
        <v>5</v>
      </c>
      <c r="Z5" s="6"/>
      <c r="AA5" s="12" t="str">
        <f t="shared" ca="1" si="7"/>
        <v>NA</v>
      </c>
      <c r="AB5" s="12" t="str">
        <f t="shared" ca="1" si="8"/>
        <v>NA</v>
      </c>
      <c r="AC5" s="12" t="str">
        <f t="shared" ca="1" si="9"/>
        <v>NA</v>
      </c>
      <c r="AD5" s="6"/>
      <c r="AE5" s="8"/>
      <c r="AF5" s="6"/>
      <c r="AG5" s="11">
        <v>38941</v>
      </c>
      <c r="AH5" s="12">
        <f t="shared" ca="1" si="10"/>
        <v>2006</v>
      </c>
      <c r="AI5" s="12">
        <f t="shared" ca="1" si="11"/>
        <v>8</v>
      </c>
      <c r="AJ5" s="12">
        <f t="shared" ca="1" si="12"/>
        <v>12</v>
      </c>
      <c r="AK5" s="8" t="s">
        <v>109</v>
      </c>
      <c r="AL5" s="8"/>
      <c r="AM5" s="5"/>
      <c r="AN5" s="5"/>
      <c r="AO5" s="11">
        <v>31850</v>
      </c>
      <c r="AP5" s="12">
        <f t="shared" ca="1" si="13"/>
        <v>1987</v>
      </c>
      <c r="AQ5" s="12">
        <f t="shared" ca="1" si="14"/>
        <v>3</v>
      </c>
      <c r="AR5" s="12">
        <f t="shared" ca="1" si="15"/>
        <v>14</v>
      </c>
      <c r="AS5" s="8" t="s">
        <v>110</v>
      </c>
      <c r="AT5" s="8"/>
      <c r="AU5" s="11">
        <v>31881</v>
      </c>
      <c r="AV5" s="12">
        <f t="shared" ca="1" si="16"/>
        <v>1987</v>
      </c>
      <c r="AW5" s="12">
        <f t="shared" ca="1" si="17"/>
        <v>4</v>
      </c>
      <c r="AX5" s="12">
        <f t="shared" ca="1" si="18"/>
        <v>14</v>
      </c>
      <c r="AY5" s="8" t="s">
        <v>111</v>
      </c>
      <c r="AZ5" s="8"/>
      <c r="BA5" s="11">
        <v>32365</v>
      </c>
      <c r="BB5" s="12">
        <f t="shared" ca="1" si="19"/>
        <v>1988</v>
      </c>
      <c r="BC5" s="12">
        <f t="shared" ca="1" si="20"/>
        <v>8</v>
      </c>
      <c r="BD5" s="12">
        <f t="shared" ca="1" si="21"/>
        <v>10</v>
      </c>
      <c r="BE5" s="8" t="s">
        <v>112</v>
      </c>
      <c r="BF5" s="8"/>
      <c r="BG5" s="11">
        <v>32429</v>
      </c>
      <c r="BH5" s="12">
        <f t="shared" ca="1" si="22"/>
        <v>1988</v>
      </c>
      <c r="BI5" s="12">
        <f t="shared" ca="1" si="23"/>
        <v>10</v>
      </c>
      <c r="BJ5" s="12">
        <f t="shared" ca="1" si="24"/>
        <v>13</v>
      </c>
      <c r="BK5" s="8" t="s">
        <v>113</v>
      </c>
      <c r="BL5" s="11">
        <v>32735</v>
      </c>
      <c r="BM5" s="12">
        <f t="shared" ca="1" si="25"/>
        <v>1989</v>
      </c>
      <c r="BN5" s="12">
        <f t="shared" ca="1" si="26"/>
        <v>8</v>
      </c>
      <c r="BO5" s="12">
        <f t="shared" ca="1" si="27"/>
        <v>15</v>
      </c>
      <c r="BP5" s="8" t="s">
        <v>114</v>
      </c>
      <c r="BQ5" s="8"/>
      <c r="BR5" s="11">
        <v>33716</v>
      </c>
      <c r="BS5" s="12">
        <f t="shared" ca="1" si="28"/>
        <v>1992</v>
      </c>
      <c r="BT5" s="12">
        <f t="shared" ca="1" si="29"/>
        <v>4</v>
      </c>
      <c r="BU5" s="12">
        <f t="shared" ca="1" si="30"/>
        <v>22</v>
      </c>
      <c r="BV5" s="8" t="s">
        <v>115</v>
      </c>
      <c r="BW5" s="11">
        <v>38300</v>
      </c>
      <c r="BX5" s="12">
        <f t="shared" ca="1" si="31"/>
        <v>2004</v>
      </c>
      <c r="BY5" s="12">
        <f t="shared" ca="1" si="32"/>
        <v>11</v>
      </c>
      <c r="BZ5" s="12">
        <f t="shared" ca="1" si="33"/>
        <v>9</v>
      </c>
      <c r="CA5" s="8" t="s">
        <v>116</v>
      </c>
    </row>
    <row r="6" spans="1:79" ht="12.75" customHeight="1" x14ac:dyDescent="0.15">
      <c r="A6" s="4">
        <v>1047</v>
      </c>
      <c r="B6" s="5" t="s">
        <v>79</v>
      </c>
      <c r="C6" s="5" t="s">
        <v>79</v>
      </c>
      <c r="D6" s="6" t="s">
        <v>117</v>
      </c>
      <c r="E6" s="7">
        <v>1933</v>
      </c>
      <c r="F6" s="6" t="s">
        <v>118</v>
      </c>
      <c r="G6" s="8"/>
      <c r="H6" s="8"/>
      <c r="I6" s="8"/>
      <c r="J6" s="8"/>
      <c r="K6" s="8"/>
      <c r="L6" s="8" t="s">
        <v>82</v>
      </c>
      <c r="M6" s="6" t="s">
        <v>119</v>
      </c>
      <c r="N6" s="7">
        <v>1008</v>
      </c>
      <c r="O6" s="13">
        <v>31825</v>
      </c>
      <c r="P6" s="10">
        <f t="shared" ca="1" si="0"/>
        <v>11.477777777777778</v>
      </c>
      <c r="Q6" s="5">
        <f t="shared" ca="1" si="1"/>
        <v>137</v>
      </c>
      <c r="R6" s="5">
        <f t="shared" ca="1" si="2"/>
        <v>4191</v>
      </c>
      <c r="S6" s="7">
        <f t="shared" ca="1" si="3"/>
        <v>1987</v>
      </c>
      <c r="T6" s="7">
        <f t="shared" ca="1" si="4"/>
        <v>2</v>
      </c>
      <c r="U6" s="7">
        <f t="shared" ca="1" si="5"/>
        <v>17</v>
      </c>
      <c r="V6" s="6" t="s">
        <v>120</v>
      </c>
      <c r="W6" s="14" t="s">
        <v>96</v>
      </c>
      <c r="X6" s="15"/>
      <c r="Y6" s="5">
        <f t="shared" ca="1" si="6"/>
        <v>1</v>
      </c>
      <c r="Z6" s="6"/>
      <c r="AA6" s="12" t="str">
        <f t="shared" ca="1" si="7"/>
        <v>NA</v>
      </c>
      <c r="AB6" s="12" t="str">
        <f t="shared" ca="1" si="8"/>
        <v>NA</v>
      </c>
      <c r="AC6" s="12" t="str">
        <f t="shared" ca="1" si="9"/>
        <v>NA</v>
      </c>
      <c r="AD6" s="6"/>
      <c r="AE6" s="5"/>
      <c r="AF6" s="6"/>
      <c r="AG6" s="11">
        <v>36016</v>
      </c>
      <c r="AH6" s="12">
        <f t="shared" ca="1" si="10"/>
        <v>1998</v>
      </c>
      <c r="AI6" s="12">
        <f t="shared" ca="1" si="11"/>
        <v>8</v>
      </c>
      <c r="AJ6" s="12">
        <f t="shared" ca="1" si="12"/>
        <v>9</v>
      </c>
      <c r="AK6" s="8" t="s">
        <v>121</v>
      </c>
      <c r="AL6" s="8"/>
      <c r="AM6" s="5"/>
      <c r="AN6" s="5"/>
      <c r="AO6" s="11">
        <v>31872</v>
      </c>
      <c r="AP6" s="12">
        <f t="shared" ca="1" si="13"/>
        <v>1987</v>
      </c>
      <c r="AQ6" s="12">
        <f t="shared" ca="1" si="14"/>
        <v>4</v>
      </c>
      <c r="AR6" s="12">
        <f t="shared" ca="1" si="15"/>
        <v>5</v>
      </c>
      <c r="AS6" s="8" t="s">
        <v>122</v>
      </c>
      <c r="AT6" s="8"/>
      <c r="AU6" s="5"/>
      <c r="AV6" s="12" t="str">
        <f t="shared" ca="1" si="16"/>
        <v>NA</v>
      </c>
      <c r="AW6" s="12" t="str">
        <f t="shared" ca="1" si="17"/>
        <v>NA</v>
      </c>
      <c r="AX6" s="12" t="str">
        <f t="shared" ca="1" si="18"/>
        <v>NA</v>
      </c>
      <c r="AY6" s="5"/>
      <c r="AZ6" s="5"/>
      <c r="BA6" s="6"/>
      <c r="BB6" s="12" t="str">
        <f t="shared" ca="1" si="19"/>
        <v>NA</v>
      </c>
      <c r="BC6" s="12" t="str">
        <f t="shared" ca="1" si="20"/>
        <v>NA</v>
      </c>
      <c r="BD6" s="12" t="str">
        <f t="shared" ca="1" si="21"/>
        <v>NA</v>
      </c>
      <c r="BE6" s="5"/>
      <c r="BF6" s="5"/>
      <c r="BG6" s="5"/>
      <c r="BH6" s="12" t="str">
        <f t="shared" ca="1" si="22"/>
        <v>NA</v>
      </c>
      <c r="BI6" s="12" t="str">
        <f t="shared" ca="1" si="23"/>
        <v>NA</v>
      </c>
      <c r="BJ6" s="12" t="str">
        <f t="shared" ca="1" si="24"/>
        <v>NA</v>
      </c>
      <c r="BK6" s="5"/>
      <c r="BL6" s="5"/>
      <c r="BM6" s="12" t="str">
        <f t="shared" ca="1" si="25"/>
        <v>NA</v>
      </c>
      <c r="BN6" s="12" t="str">
        <f t="shared" ca="1" si="26"/>
        <v>NA</v>
      </c>
      <c r="BO6" s="12" t="str">
        <f t="shared" ca="1" si="27"/>
        <v>NA</v>
      </c>
      <c r="BP6" s="5"/>
      <c r="BQ6" s="5"/>
      <c r="BR6" s="5"/>
      <c r="BS6" s="12" t="str">
        <f t="shared" ca="1" si="28"/>
        <v>NA</v>
      </c>
      <c r="BT6" s="12" t="str">
        <f t="shared" ca="1" si="29"/>
        <v>NA</v>
      </c>
      <c r="BU6" s="12" t="str">
        <f t="shared" ca="1" si="30"/>
        <v>NA</v>
      </c>
      <c r="BV6" s="5"/>
      <c r="BW6" s="5"/>
      <c r="BX6" s="12" t="str">
        <f t="shared" ca="1" si="31"/>
        <v>NA</v>
      </c>
      <c r="BY6" s="12" t="str">
        <f t="shared" ca="1" si="32"/>
        <v>NA</v>
      </c>
      <c r="BZ6" s="12" t="str">
        <f t="shared" ca="1" si="33"/>
        <v>NA</v>
      </c>
      <c r="CA6" s="5"/>
    </row>
    <row r="7" spans="1:79" ht="12.75" customHeight="1" x14ac:dyDescent="0.15">
      <c r="A7" s="4">
        <v>1048</v>
      </c>
      <c r="B7" s="5" t="s">
        <v>79</v>
      </c>
      <c r="C7" s="5" t="s">
        <v>79</v>
      </c>
      <c r="D7" s="6" t="s">
        <v>123</v>
      </c>
      <c r="E7" s="7">
        <v>1938</v>
      </c>
      <c r="F7" s="6" t="s">
        <v>124</v>
      </c>
      <c r="G7" s="8"/>
      <c r="H7" s="8"/>
      <c r="I7" s="8"/>
      <c r="J7" s="8"/>
      <c r="K7" s="8"/>
      <c r="L7" s="8" t="s">
        <v>82</v>
      </c>
      <c r="M7" s="7">
        <v>1012</v>
      </c>
      <c r="N7" s="7">
        <v>1008</v>
      </c>
      <c r="O7" s="13">
        <v>32143</v>
      </c>
      <c r="P7" s="10">
        <f t="shared" ca="1" si="0"/>
        <v>2.7222222222222223</v>
      </c>
      <c r="Q7" s="5">
        <f t="shared" ca="1" si="1"/>
        <v>32</v>
      </c>
      <c r="R7" s="5">
        <f t="shared" ca="1" si="2"/>
        <v>994</v>
      </c>
      <c r="S7" s="7">
        <f t="shared" ca="1" si="3"/>
        <v>1988</v>
      </c>
      <c r="T7" s="7">
        <f t="shared" ca="1" si="4"/>
        <v>1</v>
      </c>
      <c r="U7" s="7">
        <f t="shared" ca="1" si="5"/>
        <v>1</v>
      </c>
      <c r="V7" s="6" t="s">
        <v>125</v>
      </c>
      <c r="W7" s="14" t="s">
        <v>96</v>
      </c>
      <c r="X7" s="15"/>
      <c r="Y7" s="5">
        <f t="shared" ca="1" si="6"/>
        <v>0</v>
      </c>
      <c r="Z7" s="6"/>
      <c r="AA7" s="12" t="str">
        <f t="shared" ca="1" si="7"/>
        <v>NA</v>
      </c>
      <c r="AB7" s="12" t="str">
        <f t="shared" ca="1" si="8"/>
        <v>NA</v>
      </c>
      <c r="AC7" s="12" t="str">
        <f t="shared" ca="1" si="9"/>
        <v>NA</v>
      </c>
      <c r="AD7" s="6"/>
      <c r="AE7" s="5"/>
      <c r="AF7" s="6"/>
      <c r="AG7" s="11">
        <v>33137</v>
      </c>
      <c r="AH7" s="12">
        <f t="shared" ca="1" si="10"/>
        <v>1990</v>
      </c>
      <c r="AI7" s="12">
        <f t="shared" ca="1" si="11"/>
        <v>9</v>
      </c>
      <c r="AJ7" s="12">
        <f t="shared" ca="1" si="12"/>
        <v>21</v>
      </c>
      <c r="AK7" s="8" t="s">
        <v>126</v>
      </c>
      <c r="AL7" s="8"/>
      <c r="AM7" s="5"/>
      <c r="AN7" s="5"/>
      <c r="AO7" s="5"/>
      <c r="AP7" s="12" t="str">
        <f t="shared" ca="1" si="13"/>
        <v>NA</v>
      </c>
      <c r="AQ7" s="12" t="str">
        <f t="shared" ca="1" si="14"/>
        <v>NA</v>
      </c>
      <c r="AR7" s="12" t="str">
        <f t="shared" ca="1" si="15"/>
        <v>NA</v>
      </c>
      <c r="AS7" s="5"/>
      <c r="AT7" s="5"/>
      <c r="AU7" s="5"/>
      <c r="AV7" s="12" t="str">
        <f t="shared" ca="1" si="16"/>
        <v>NA</v>
      </c>
      <c r="AW7" s="12" t="str">
        <f t="shared" ca="1" si="17"/>
        <v>NA</v>
      </c>
      <c r="AX7" s="12" t="str">
        <f t="shared" ca="1" si="18"/>
        <v>NA</v>
      </c>
      <c r="AY7" s="5"/>
      <c r="AZ7" s="5"/>
      <c r="BA7" s="6"/>
      <c r="BB7" s="12" t="str">
        <f t="shared" ca="1" si="19"/>
        <v>NA</v>
      </c>
      <c r="BC7" s="12" t="str">
        <f t="shared" ca="1" si="20"/>
        <v>NA</v>
      </c>
      <c r="BD7" s="12" t="str">
        <f t="shared" ca="1" si="21"/>
        <v>NA</v>
      </c>
      <c r="BE7" s="5"/>
      <c r="BF7" s="5"/>
      <c r="BG7" s="5"/>
      <c r="BH7" s="12" t="str">
        <f t="shared" ca="1" si="22"/>
        <v>NA</v>
      </c>
      <c r="BI7" s="12" t="str">
        <f t="shared" ca="1" si="23"/>
        <v>NA</v>
      </c>
      <c r="BJ7" s="12" t="str">
        <f t="shared" ca="1" si="24"/>
        <v>NA</v>
      </c>
      <c r="BK7" s="5"/>
      <c r="BL7" s="5"/>
      <c r="BM7" s="12" t="str">
        <f t="shared" ca="1" si="25"/>
        <v>NA</v>
      </c>
      <c r="BN7" s="12" t="str">
        <f t="shared" ca="1" si="26"/>
        <v>NA</v>
      </c>
      <c r="BO7" s="12" t="str">
        <f t="shared" ca="1" si="27"/>
        <v>NA</v>
      </c>
      <c r="BP7" s="5"/>
      <c r="BQ7" s="5"/>
      <c r="BR7" s="5"/>
      <c r="BS7" s="12" t="str">
        <f t="shared" ca="1" si="28"/>
        <v>NA</v>
      </c>
      <c r="BT7" s="12" t="str">
        <f t="shared" ca="1" si="29"/>
        <v>NA</v>
      </c>
      <c r="BU7" s="12" t="str">
        <f t="shared" ca="1" si="30"/>
        <v>NA</v>
      </c>
      <c r="BV7" s="5"/>
      <c r="BW7" s="5"/>
      <c r="BX7" s="12" t="str">
        <f t="shared" ca="1" si="31"/>
        <v>NA</v>
      </c>
      <c r="BY7" s="12" t="str">
        <f t="shared" ca="1" si="32"/>
        <v>NA</v>
      </c>
      <c r="BZ7" s="12" t="str">
        <f t="shared" ca="1" si="33"/>
        <v>NA</v>
      </c>
      <c r="CA7" s="5"/>
    </row>
    <row r="8" spans="1:79" ht="12.75" customHeight="1" x14ac:dyDescent="0.15">
      <c r="A8" s="4">
        <v>1049</v>
      </c>
      <c r="B8" s="5" t="s">
        <v>79</v>
      </c>
      <c r="C8" s="5" t="s">
        <v>79</v>
      </c>
      <c r="D8" s="6" t="s">
        <v>127</v>
      </c>
      <c r="E8" s="7">
        <v>1939</v>
      </c>
      <c r="F8" s="6" t="s">
        <v>128</v>
      </c>
      <c r="G8" s="8"/>
      <c r="H8" s="8"/>
      <c r="I8" s="8"/>
      <c r="J8" s="8"/>
      <c r="K8" s="8"/>
      <c r="L8" s="8" t="s">
        <v>82</v>
      </c>
      <c r="M8" s="7">
        <v>1012</v>
      </c>
      <c r="N8" s="7">
        <v>1008</v>
      </c>
      <c r="O8" s="13">
        <v>32143</v>
      </c>
      <c r="P8" s="10">
        <f t="shared" ca="1" si="0"/>
        <v>0</v>
      </c>
      <c r="Q8" s="5">
        <f t="shared" ca="1" si="1"/>
        <v>0</v>
      </c>
      <c r="R8" s="5">
        <f t="shared" ca="1" si="2"/>
        <v>0</v>
      </c>
      <c r="S8" s="7">
        <f t="shared" ca="1" si="3"/>
        <v>1988</v>
      </c>
      <c r="T8" s="7">
        <f t="shared" ca="1" si="4"/>
        <v>1</v>
      </c>
      <c r="U8" s="7">
        <f t="shared" ca="1" si="5"/>
        <v>1</v>
      </c>
      <c r="V8" s="6" t="s">
        <v>129</v>
      </c>
      <c r="W8" s="14" t="s">
        <v>96</v>
      </c>
      <c r="X8" s="15"/>
      <c r="Y8" s="5">
        <f t="shared" ca="1" si="6"/>
        <v>0</v>
      </c>
      <c r="Z8" s="6"/>
      <c r="AA8" s="12" t="str">
        <f t="shared" ca="1" si="7"/>
        <v>NA</v>
      </c>
      <c r="AB8" s="12" t="str">
        <f t="shared" ca="1" si="8"/>
        <v>NA</v>
      </c>
      <c r="AC8" s="12" t="str">
        <f t="shared" ca="1" si="9"/>
        <v>NA</v>
      </c>
      <c r="AD8" s="6"/>
      <c r="AE8" s="5"/>
      <c r="AF8" s="6"/>
      <c r="AG8" s="11">
        <v>32143</v>
      </c>
      <c r="AH8" s="12">
        <f t="shared" ca="1" si="10"/>
        <v>1988</v>
      </c>
      <c r="AI8" s="12">
        <f t="shared" ca="1" si="11"/>
        <v>1</v>
      </c>
      <c r="AJ8" s="12">
        <f t="shared" ca="1" si="12"/>
        <v>1</v>
      </c>
      <c r="AK8" s="8" t="s">
        <v>130</v>
      </c>
      <c r="AL8" s="8"/>
      <c r="AM8" s="5"/>
      <c r="AN8" s="5"/>
      <c r="AO8" s="5"/>
      <c r="AP8" s="12" t="str">
        <f t="shared" ca="1" si="13"/>
        <v>NA</v>
      </c>
      <c r="AQ8" s="12" t="str">
        <f t="shared" ca="1" si="14"/>
        <v>NA</v>
      </c>
      <c r="AR8" s="12" t="str">
        <f t="shared" ca="1" si="15"/>
        <v>NA</v>
      </c>
      <c r="AS8" s="5"/>
      <c r="AT8" s="5"/>
      <c r="AU8" s="5"/>
      <c r="AV8" s="12" t="str">
        <f t="shared" ca="1" si="16"/>
        <v>NA</v>
      </c>
      <c r="AW8" s="12" t="str">
        <f t="shared" ca="1" si="17"/>
        <v>NA</v>
      </c>
      <c r="AX8" s="12" t="str">
        <f t="shared" ca="1" si="18"/>
        <v>NA</v>
      </c>
      <c r="AY8" s="5"/>
      <c r="AZ8" s="5"/>
      <c r="BA8" s="6"/>
      <c r="BB8" s="12" t="str">
        <f t="shared" ca="1" si="19"/>
        <v>NA</v>
      </c>
      <c r="BC8" s="12" t="str">
        <f t="shared" ca="1" si="20"/>
        <v>NA</v>
      </c>
      <c r="BD8" s="12" t="str">
        <f t="shared" ca="1" si="21"/>
        <v>NA</v>
      </c>
      <c r="BE8" s="5"/>
      <c r="BF8" s="5"/>
      <c r="BG8" s="5"/>
      <c r="BH8" s="12" t="str">
        <f t="shared" ca="1" si="22"/>
        <v>NA</v>
      </c>
      <c r="BI8" s="12" t="str">
        <f t="shared" ca="1" si="23"/>
        <v>NA</v>
      </c>
      <c r="BJ8" s="12" t="str">
        <f t="shared" ca="1" si="24"/>
        <v>NA</v>
      </c>
      <c r="BK8" s="5"/>
      <c r="BL8" s="5"/>
      <c r="BM8" s="12" t="str">
        <f t="shared" ca="1" si="25"/>
        <v>NA</v>
      </c>
      <c r="BN8" s="12" t="str">
        <f t="shared" ca="1" si="26"/>
        <v>NA</v>
      </c>
      <c r="BO8" s="12" t="str">
        <f t="shared" ca="1" si="27"/>
        <v>NA</v>
      </c>
      <c r="BP8" s="5"/>
      <c r="BQ8" s="5"/>
      <c r="BR8" s="5"/>
      <c r="BS8" s="12" t="str">
        <f t="shared" ca="1" si="28"/>
        <v>NA</v>
      </c>
      <c r="BT8" s="12" t="str">
        <f t="shared" ca="1" si="29"/>
        <v>NA</v>
      </c>
      <c r="BU8" s="12" t="str">
        <f t="shared" ca="1" si="30"/>
        <v>NA</v>
      </c>
      <c r="BV8" s="5"/>
      <c r="BW8" s="5"/>
      <c r="BX8" s="12" t="str">
        <f t="shared" ca="1" si="31"/>
        <v>NA</v>
      </c>
      <c r="BY8" s="12" t="str">
        <f t="shared" ca="1" si="32"/>
        <v>NA</v>
      </c>
      <c r="BZ8" s="12" t="str">
        <f t="shared" ca="1" si="33"/>
        <v>NA</v>
      </c>
      <c r="CA8" s="5"/>
    </row>
    <row r="9" spans="1:79" ht="12.75" customHeight="1" x14ac:dyDescent="0.15">
      <c r="A9" s="4">
        <v>1050</v>
      </c>
      <c r="B9" s="5" t="s">
        <v>79</v>
      </c>
      <c r="C9" s="5" t="s">
        <v>79</v>
      </c>
      <c r="D9" s="6" t="s">
        <v>131</v>
      </c>
      <c r="E9" s="7">
        <v>588006</v>
      </c>
      <c r="F9" s="6" t="s">
        <v>132</v>
      </c>
      <c r="G9" s="8"/>
      <c r="H9" s="8"/>
      <c r="I9" s="8"/>
      <c r="J9" s="8"/>
      <c r="K9" s="8"/>
      <c r="L9" s="8" t="s">
        <v>82</v>
      </c>
      <c r="M9" s="7">
        <v>1016</v>
      </c>
      <c r="N9" s="7">
        <v>1019</v>
      </c>
      <c r="O9" s="13">
        <v>32154</v>
      </c>
      <c r="P9" s="10">
        <f t="shared" ca="1" si="0"/>
        <v>5.5555555555555552E-2</v>
      </c>
      <c r="Q9" s="5">
        <f t="shared" ca="1" si="1"/>
        <v>0</v>
      </c>
      <c r="R9" s="5">
        <f t="shared" ca="1" si="2"/>
        <v>21</v>
      </c>
      <c r="S9" s="7">
        <f t="shared" ca="1" si="3"/>
        <v>1988</v>
      </c>
      <c r="T9" s="7">
        <f t="shared" ca="1" si="4"/>
        <v>1</v>
      </c>
      <c r="U9" s="7">
        <f t="shared" ca="1" si="5"/>
        <v>12</v>
      </c>
      <c r="V9" s="6" t="s">
        <v>133</v>
      </c>
      <c r="W9" s="14" t="s">
        <v>96</v>
      </c>
      <c r="X9" s="15"/>
      <c r="Y9" s="5">
        <f t="shared" ca="1" si="6"/>
        <v>0</v>
      </c>
      <c r="Z9" s="6"/>
      <c r="AA9" s="12" t="str">
        <f t="shared" ca="1" si="7"/>
        <v>NA</v>
      </c>
      <c r="AB9" s="12" t="str">
        <f t="shared" ca="1" si="8"/>
        <v>NA</v>
      </c>
      <c r="AC9" s="12" t="str">
        <f t="shared" ca="1" si="9"/>
        <v>NA</v>
      </c>
      <c r="AD9" s="6"/>
      <c r="AE9" s="5"/>
      <c r="AF9" s="6"/>
      <c r="AG9" s="11">
        <v>32175</v>
      </c>
      <c r="AH9" s="12">
        <f t="shared" ca="1" si="10"/>
        <v>1988</v>
      </c>
      <c r="AI9" s="12">
        <f t="shared" ca="1" si="11"/>
        <v>2</v>
      </c>
      <c r="AJ9" s="12">
        <f t="shared" ca="1" si="12"/>
        <v>2</v>
      </c>
      <c r="AK9" s="8" t="s">
        <v>134</v>
      </c>
      <c r="AL9" s="8"/>
      <c r="AM9" s="5"/>
      <c r="AN9" s="5"/>
      <c r="AO9" s="5"/>
      <c r="AP9" s="12" t="str">
        <f t="shared" ca="1" si="13"/>
        <v>NA</v>
      </c>
      <c r="AQ9" s="12" t="str">
        <f t="shared" ca="1" si="14"/>
        <v>NA</v>
      </c>
      <c r="AR9" s="12" t="str">
        <f t="shared" ca="1" si="15"/>
        <v>NA</v>
      </c>
      <c r="AS9" s="5"/>
      <c r="AT9" s="5"/>
      <c r="AU9" s="5"/>
      <c r="AV9" s="12" t="str">
        <f t="shared" ca="1" si="16"/>
        <v>NA</v>
      </c>
      <c r="AW9" s="12" t="str">
        <f t="shared" ca="1" si="17"/>
        <v>NA</v>
      </c>
      <c r="AX9" s="12" t="str">
        <f t="shared" ca="1" si="18"/>
        <v>NA</v>
      </c>
      <c r="AY9" s="5"/>
      <c r="AZ9" s="5"/>
      <c r="BA9" s="6"/>
      <c r="BB9" s="12" t="str">
        <f t="shared" ca="1" si="19"/>
        <v>NA</v>
      </c>
      <c r="BC9" s="12" t="str">
        <f t="shared" ca="1" si="20"/>
        <v>NA</v>
      </c>
      <c r="BD9" s="12" t="str">
        <f t="shared" ca="1" si="21"/>
        <v>NA</v>
      </c>
      <c r="BE9" s="5"/>
      <c r="BF9" s="5"/>
      <c r="BG9" s="5"/>
      <c r="BH9" s="12" t="str">
        <f t="shared" ca="1" si="22"/>
        <v>NA</v>
      </c>
      <c r="BI9" s="12" t="str">
        <f t="shared" ca="1" si="23"/>
        <v>NA</v>
      </c>
      <c r="BJ9" s="12" t="str">
        <f t="shared" ca="1" si="24"/>
        <v>NA</v>
      </c>
      <c r="BK9" s="5"/>
      <c r="BL9" s="5"/>
      <c r="BM9" s="12" t="str">
        <f t="shared" ca="1" si="25"/>
        <v>NA</v>
      </c>
      <c r="BN9" s="12" t="str">
        <f t="shared" ca="1" si="26"/>
        <v>NA</v>
      </c>
      <c r="BO9" s="12" t="str">
        <f t="shared" ca="1" si="27"/>
        <v>NA</v>
      </c>
      <c r="BP9" s="5"/>
      <c r="BQ9" s="5"/>
      <c r="BR9" s="5"/>
      <c r="BS9" s="12" t="str">
        <f t="shared" ca="1" si="28"/>
        <v>NA</v>
      </c>
      <c r="BT9" s="12" t="str">
        <f t="shared" ca="1" si="29"/>
        <v>NA</v>
      </c>
      <c r="BU9" s="12" t="str">
        <f t="shared" ca="1" si="30"/>
        <v>NA</v>
      </c>
      <c r="BV9" s="5"/>
      <c r="BW9" s="5"/>
      <c r="BX9" s="12" t="str">
        <f t="shared" ca="1" si="31"/>
        <v>NA</v>
      </c>
      <c r="BY9" s="12" t="str">
        <f t="shared" ca="1" si="32"/>
        <v>NA</v>
      </c>
      <c r="BZ9" s="12" t="str">
        <f t="shared" ca="1" si="33"/>
        <v>NA</v>
      </c>
      <c r="CA9" s="5"/>
    </row>
    <row r="10" spans="1:79" ht="12.75" customHeight="1" x14ac:dyDescent="0.15">
      <c r="A10" s="4">
        <v>1051</v>
      </c>
      <c r="B10" s="5" t="s">
        <v>79</v>
      </c>
      <c r="C10" s="5" t="s">
        <v>79</v>
      </c>
      <c r="D10" s="6" t="s">
        <v>135</v>
      </c>
      <c r="E10" s="7">
        <v>890322</v>
      </c>
      <c r="F10" s="6" t="s">
        <v>136</v>
      </c>
      <c r="G10" s="8"/>
      <c r="H10" s="8"/>
      <c r="I10" s="8"/>
      <c r="J10" s="8"/>
      <c r="K10" s="8"/>
      <c r="L10" s="8" t="s">
        <v>82</v>
      </c>
      <c r="M10" s="7">
        <v>1026</v>
      </c>
      <c r="N10" s="7">
        <v>1034</v>
      </c>
      <c r="O10" s="13">
        <v>32202</v>
      </c>
      <c r="P10" s="10">
        <f t="shared" ca="1" si="0"/>
        <v>8.9722222222222214</v>
      </c>
      <c r="Q10" s="5">
        <f t="shared" ca="1" si="1"/>
        <v>107</v>
      </c>
      <c r="R10" s="5">
        <f t="shared" ca="1" si="2"/>
        <v>3279</v>
      </c>
      <c r="S10" s="7">
        <f t="shared" ca="1" si="3"/>
        <v>1988</v>
      </c>
      <c r="T10" s="7">
        <f t="shared" ca="1" si="4"/>
        <v>2</v>
      </c>
      <c r="U10" s="7">
        <f t="shared" ca="1" si="5"/>
        <v>29</v>
      </c>
      <c r="V10" s="6" t="s">
        <v>137</v>
      </c>
      <c r="W10" s="14" t="s">
        <v>96</v>
      </c>
      <c r="X10" s="15"/>
      <c r="Y10" s="5">
        <f t="shared" ca="1" si="6"/>
        <v>1</v>
      </c>
      <c r="Z10" s="6"/>
      <c r="AA10" s="12" t="str">
        <f t="shared" ca="1" si="7"/>
        <v>NA</v>
      </c>
      <c r="AB10" s="12" t="str">
        <f t="shared" ca="1" si="8"/>
        <v>NA</v>
      </c>
      <c r="AC10" s="12" t="str">
        <f t="shared" ca="1" si="9"/>
        <v>NA</v>
      </c>
      <c r="AD10" s="6"/>
      <c r="AE10" s="5"/>
      <c r="AF10" s="6"/>
      <c r="AG10" s="11">
        <v>35481</v>
      </c>
      <c r="AH10" s="12">
        <f t="shared" ca="1" si="10"/>
        <v>1997</v>
      </c>
      <c r="AI10" s="12">
        <f t="shared" ca="1" si="11"/>
        <v>2</v>
      </c>
      <c r="AJ10" s="12">
        <f t="shared" ca="1" si="12"/>
        <v>20</v>
      </c>
      <c r="AK10" s="8" t="s">
        <v>138</v>
      </c>
      <c r="AL10" s="8"/>
      <c r="AM10" s="5"/>
      <c r="AN10" s="5"/>
      <c r="AO10" s="11">
        <v>32771</v>
      </c>
      <c r="AP10" s="12">
        <f t="shared" ca="1" si="13"/>
        <v>1989</v>
      </c>
      <c r="AQ10" s="12">
        <f t="shared" ca="1" si="14"/>
        <v>9</v>
      </c>
      <c r="AR10" s="12">
        <f t="shared" ca="1" si="15"/>
        <v>20</v>
      </c>
      <c r="AS10" s="8" t="s">
        <v>139</v>
      </c>
      <c r="AT10" s="8"/>
      <c r="AU10" s="5"/>
      <c r="AV10" s="12" t="str">
        <f t="shared" ca="1" si="16"/>
        <v>NA</v>
      </c>
      <c r="AW10" s="12" t="str">
        <f t="shared" ca="1" si="17"/>
        <v>NA</v>
      </c>
      <c r="AX10" s="12" t="str">
        <f t="shared" ca="1" si="18"/>
        <v>NA</v>
      </c>
      <c r="AY10" s="5"/>
      <c r="AZ10" s="5"/>
      <c r="BA10" s="6"/>
      <c r="BB10" s="12" t="str">
        <f t="shared" ca="1" si="19"/>
        <v>NA</v>
      </c>
      <c r="BC10" s="12" t="str">
        <f t="shared" ca="1" si="20"/>
        <v>NA</v>
      </c>
      <c r="BD10" s="12" t="str">
        <f t="shared" ca="1" si="21"/>
        <v>NA</v>
      </c>
      <c r="BE10" s="5"/>
      <c r="BF10" s="5"/>
      <c r="BG10" s="5"/>
      <c r="BH10" s="12" t="str">
        <f t="shared" ca="1" si="22"/>
        <v>NA</v>
      </c>
      <c r="BI10" s="12" t="str">
        <f t="shared" ca="1" si="23"/>
        <v>NA</v>
      </c>
      <c r="BJ10" s="12" t="str">
        <f t="shared" ca="1" si="24"/>
        <v>NA</v>
      </c>
      <c r="BK10" s="5"/>
      <c r="BL10" s="5"/>
      <c r="BM10" s="12" t="str">
        <f t="shared" ca="1" si="25"/>
        <v>NA</v>
      </c>
      <c r="BN10" s="12" t="str">
        <f t="shared" ca="1" si="26"/>
        <v>NA</v>
      </c>
      <c r="BO10" s="12" t="str">
        <f t="shared" ca="1" si="27"/>
        <v>NA</v>
      </c>
      <c r="BP10" s="5"/>
      <c r="BQ10" s="5"/>
      <c r="BR10" s="5"/>
      <c r="BS10" s="12" t="str">
        <f t="shared" ca="1" si="28"/>
        <v>NA</v>
      </c>
      <c r="BT10" s="12" t="str">
        <f t="shared" ca="1" si="29"/>
        <v>NA</v>
      </c>
      <c r="BU10" s="12" t="str">
        <f t="shared" ca="1" si="30"/>
        <v>NA</v>
      </c>
      <c r="BV10" s="5"/>
      <c r="BW10" s="5"/>
      <c r="BX10" s="12" t="str">
        <f t="shared" ca="1" si="31"/>
        <v>NA</v>
      </c>
      <c r="BY10" s="12" t="str">
        <f t="shared" ca="1" si="32"/>
        <v>NA</v>
      </c>
      <c r="BZ10" s="12" t="str">
        <f t="shared" ca="1" si="33"/>
        <v>NA</v>
      </c>
      <c r="CA10" s="5"/>
    </row>
    <row r="11" spans="1:79" ht="12.75" customHeight="1" x14ac:dyDescent="0.15">
      <c r="A11" s="4">
        <v>1052</v>
      </c>
      <c r="B11" s="5" t="s">
        <v>79</v>
      </c>
      <c r="C11" s="5" t="s">
        <v>79</v>
      </c>
      <c r="D11" s="6" t="s">
        <v>140</v>
      </c>
      <c r="E11" s="6" t="s">
        <v>141</v>
      </c>
      <c r="F11" s="6" t="s">
        <v>142</v>
      </c>
      <c r="G11" s="8"/>
      <c r="H11" s="8"/>
      <c r="I11" s="8"/>
      <c r="J11" s="8"/>
      <c r="K11" s="8"/>
      <c r="L11" s="8" t="s">
        <v>82</v>
      </c>
      <c r="M11" s="7">
        <v>1032</v>
      </c>
      <c r="N11" s="7">
        <v>1036</v>
      </c>
      <c r="O11" s="13">
        <v>32237</v>
      </c>
      <c r="P11" s="10">
        <f t="shared" ca="1" si="0"/>
        <v>2.7777777777777779E-3</v>
      </c>
      <c r="Q11" s="5">
        <f t="shared" ca="1" si="1"/>
        <v>0</v>
      </c>
      <c r="R11" s="5">
        <f t="shared" ca="1" si="2"/>
        <v>1</v>
      </c>
      <c r="S11" s="7">
        <f t="shared" ca="1" si="3"/>
        <v>1988</v>
      </c>
      <c r="T11" s="7">
        <f t="shared" ca="1" si="4"/>
        <v>4</v>
      </c>
      <c r="U11" s="7">
        <f t="shared" ca="1" si="5"/>
        <v>4</v>
      </c>
      <c r="V11" s="6" t="s">
        <v>143</v>
      </c>
      <c r="W11" s="14" t="s">
        <v>96</v>
      </c>
      <c r="X11" s="15"/>
      <c r="Y11" s="5">
        <f t="shared" ca="1" si="6"/>
        <v>0</v>
      </c>
      <c r="Z11" s="6"/>
      <c r="AA11" s="12" t="str">
        <f t="shared" ca="1" si="7"/>
        <v>NA</v>
      </c>
      <c r="AB11" s="12" t="str">
        <f t="shared" ca="1" si="8"/>
        <v>NA</v>
      </c>
      <c r="AC11" s="12" t="str">
        <f t="shared" ca="1" si="9"/>
        <v>NA</v>
      </c>
      <c r="AD11" s="6"/>
      <c r="AE11" s="5"/>
      <c r="AF11" s="6"/>
      <c r="AG11" s="11">
        <v>32238</v>
      </c>
      <c r="AH11" s="12">
        <f t="shared" ca="1" si="10"/>
        <v>1988</v>
      </c>
      <c r="AI11" s="12">
        <f t="shared" ca="1" si="11"/>
        <v>4</v>
      </c>
      <c r="AJ11" s="12">
        <f t="shared" ca="1" si="12"/>
        <v>5</v>
      </c>
      <c r="AK11" s="8" t="s">
        <v>144</v>
      </c>
      <c r="AL11" s="8"/>
      <c r="AM11" s="5"/>
      <c r="AN11" s="5"/>
      <c r="AO11" s="5"/>
      <c r="AP11" s="12" t="str">
        <f t="shared" ca="1" si="13"/>
        <v>NA</v>
      </c>
      <c r="AQ11" s="12" t="str">
        <f t="shared" ca="1" si="14"/>
        <v>NA</v>
      </c>
      <c r="AR11" s="12" t="str">
        <f t="shared" ca="1" si="15"/>
        <v>NA</v>
      </c>
      <c r="AS11" s="5"/>
      <c r="AT11" s="5"/>
      <c r="AU11" s="5"/>
      <c r="AV11" s="12" t="str">
        <f t="shared" ca="1" si="16"/>
        <v>NA</v>
      </c>
      <c r="AW11" s="12" t="str">
        <f t="shared" ca="1" si="17"/>
        <v>NA</v>
      </c>
      <c r="AX11" s="12" t="str">
        <f t="shared" ca="1" si="18"/>
        <v>NA</v>
      </c>
      <c r="AY11" s="5"/>
      <c r="AZ11" s="5"/>
      <c r="BA11" s="6"/>
      <c r="BB11" s="12" t="str">
        <f t="shared" ca="1" si="19"/>
        <v>NA</v>
      </c>
      <c r="BC11" s="12" t="str">
        <f t="shared" ca="1" si="20"/>
        <v>NA</v>
      </c>
      <c r="BD11" s="12" t="str">
        <f t="shared" ca="1" si="21"/>
        <v>NA</v>
      </c>
      <c r="BE11" s="5"/>
      <c r="BF11" s="5"/>
      <c r="BG11" s="5"/>
      <c r="BH11" s="12" t="str">
        <f t="shared" ca="1" si="22"/>
        <v>NA</v>
      </c>
      <c r="BI11" s="12" t="str">
        <f t="shared" ca="1" si="23"/>
        <v>NA</v>
      </c>
      <c r="BJ11" s="12" t="str">
        <f t="shared" ca="1" si="24"/>
        <v>NA</v>
      </c>
      <c r="BK11" s="5"/>
      <c r="BL11" s="5"/>
      <c r="BM11" s="12" t="str">
        <f t="shared" ca="1" si="25"/>
        <v>NA</v>
      </c>
      <c r="BN11" s="12" t="str">
        <f t="shared" ca="1" si="26"/>
        <v>NA</v>
      </c>
      <c r="BO11" s="12" t="str">
        <f t="shared" ca="1" si="27"/>
        <v>NA</v>
      </c>
      <c r="BP11" s="5"/>
      <c r="BQ11" s="5"/>
      <c r="BR11" s="5"/>
      <c r="BS11" s="12" t="str">
        <f t="shared" ca="1" si="28"/>
        <v>NA</v>
      </c>
      <c r="BT11" s="12" t="str">
        <f t="shared" ca="1" si="29"/>
        <v>NA</v>
      </c>
      <c r="BU11" s="12" t="str">
        <f t="shared" ca="1" si="30"/>
        <v>NA</v>
      </c>
      <c r="BV11" s="5"/>
      <c r="BW11" s="5"/>
      <c r="BX11" s="12" t="str">
        <f t="shared" ca="1" si="31"/>
        <v>NA</v>
      </c>
      <c r="BY11" s="12" t="str">
        <f t="shared" ca="1" si="32"/>
        <v>NA</v>
      </c>
      <c r="BZ11" s="12" t="str">
        <f t="shared" ca="1" si="33"/>
        <v>NA</v>
      </c>
      <c r="CA11" s="5"/>
    </row>
    <row r="12" spans="1:79" ht="12.75" customHeight="1" x14ac:dyDescent="0.15">
      <c r="A12" s="4">
        <v>1053</v>
      </c>
      <c r="B12" s="5" t="s">
        <v>79</v>
      </c>
      <c r="C12" s="5" t="s">
        <v>79</v>
      </c>
      <c r="D12" s="6" t="s">
        <v>145</v>
      </c>
      <c r="E12" s="6" t="s">
        <v>146</v>
      </c>
      <c r="F12" s="6" t="s">
        <v>147</v>
      </c>
      <c r="G12" s="8"/>
      <c r="H12" s="8"/>
      <c r="I12" s="8"/>
      <c r="J12" s="8"/>
      <c r="K12" s="8"/>
      <c r="L12" s="8" t="s">
        <v>82</v>
      </c>
      <c r="M12" s="7">
        <v>1015</v>
      </c>
      <c r="N12" s="7">
        <v>1014</v>
      </c>
      <c r="O12" s="13">
        <v>32243</v>
      </c>
      <c r="P12" s="10">
        <f t="shared" ca="1" si="0"/>
        <v>3.9611111111111112</v>
      </c>
      <c r="Q12" s="5">
        <f t="shared" ca="1" si="1"/>
        <v>47</v>
      </c>
      <c r="R12" s="5">
        <f t="shared" ca="1" si="2"/>
        <v>1446</v>
      </c>
      <c r="S12" s="7">
        <f t="shared" ca="1" si="3"/>
        <v>1988</v>
      </c>
      <c r="T12" s="7">
        <f t="shared" ca="1" si="4"/>
        <v>4</v>
      </c>
      <c r="U12" s="7">
        <f t="shared" ca="1" si="5"/>
        <v>10</v>
      </c>
      <c r="V12" s="6" t="s">
        <v>148</v>
      </c>
      <c r="W12" s="14" t="s">
        <v>96</v>
      </c>
      <c r="X12" s="15"/>
      <c r="Y12" s="5">
        <f t="shared" ca="1" si="6"/>
        <v>0</v>
      </c>
      <c r="Z12" s="6"/>
      <c r="AA12" s="12" t="str">
        <f t="shared" ca="1" si="7"/>
        <v>NA</v>
      </c>
      <c r="AB12" s="12" t="str">
        <f t="shared" ca="1" si="8"/>
        <v>NA</v>
      </c>
      <c r="AC12" s="12" t="str">
        <f t="shared" ca="1" si="9"/>
        <v>NA</v>
      </c>
      <c r="AD12" s="6"/>
      <c r="AE12" s="5"/>
      <c r="AF12" s="6"/>
      <c r="AG12" s="11">
        <v>33689</v>
      </c>
      <c r="AH12" s="12">
        <f t="shared" ca="1" si="10"/>
        <v>1992</v>
      </c>
      <c r="AI12" s="12">
        <f t="shared" ca="1" si="11"/>
        <v>3</v>
      </c>
      <c r="AJ12" s="12">
        <f t="shared" ca="1" si="12"/>
        <v>26</v>
      </c>
      <c r="AK12" s="8" t="s">
        <v>149</v>
      </c>
      <c r="AL12" s="8"/>
      <c r="AM12" s="5"/>
      <c r="AN12" s="5"/>
      <c r="AO12" s="5"/>
      <c r="AP12" s="12" t="str">
        <f t="shared" ca="1" si="13"/>
        <v>NA</v>
      </c>
      <c r="AQ12" s="12" t="str">
        <f t="shared" ca="1" si="14"/>
        <v>NA</v>
      </c>
      <c r="AR12" s="12" t="str">
        <f t="shared" ca="1" si="15"/>
        <v>NA</v>
      </c>
      <c r="AS12" s="5"/>
      <c r="AT12" s="5"/>
      <c r="AU12" s="5"/>
      <c r="AV12" s="12" t="str">
        <f t="shared" ca="1" si="16"/>
        <v>NA</v>
      </c>
      <c r="AW12" s="12" t="str">
        <f t="shared" ca="1" si="17"/>
        <v>NA</v>
      </c>
      <c r="AX12" s="12" t="str">
        <f t="shared" ca="1" si="18"/>
        <v>NA</v>
      </c>
      <c r="AY12" s="5"/>
      <c r="AZ12" s="5"/>
      <c r="BA12" s="6"/>
      <c r="BB12" s="12" t="str">
        <f t="shared" ca="1" si="19"/>
        <v>NA</v>
      </c>
      <c r="BC12" s="12" t="str">
        <f t="shared" ca="1" si="20"/>
        <v>NA</v>
      </c>
      <c r="BD12" s="12" t="str">
        <f t="shared" ca="1" si="21"/>
        <v>NA</v>
      </c>
      <c r="BE12" s="5"/>
      <c r="BF12" s="5"/>
      <c r="BG12" s="5"/>
      <c r="BH12" s="12" t="str">
        <f t="shared" ca="1" si="22"/>
        <v>NA</v>
      </c>
      <c r="BI12" s="12" t="str">
        <f t="shared" ca="1" si="23"/>
        <v>NA</v>
      </c>
      <c r="BJ12" s="12" t="str">
        <f t="shared" ca="1" si="24"/>
        <v>NA</v>
      </c>
      <c r="BK12" s="5"/>
      <c r="BL12" s="5"/>
      <c r="BM12" s="12" t="str">
        <f t="shared" ca="1" si="25"/>
        <v>NA</v>
      </c>
      <c r="BN12" s="12" t="str">
        <f t="shared" ca="1" si="26"/>
        <v>NA</v>
      </c>
      <c r="BO12" s="12" t="str">
        <f t="shared" ca="1" si="27"/>
        <v>NA</v>
      </c>
      <c r="BP12" s="5"/>
      <c r="BQ12" s="5"/>
      <c r="BR12" s="5"/>
      <c r="BS12" s="12" t="str">
        <f t="shared" ca="1" si="28"/>
        <v>NA</v>
      </c>
      <c r="BT12" s="12" t="str">
        <f t="shared" ca="1" si="29"/>
        <v>NA</v>
      </c>
      <c r="BU12" s="12" t="str">
        <f t="shared" ca="1" si="30"/>
        <v>NA</v>
      </c>
      <c r="BV12" s="5"/>
      <c r="BW12" s="5"/>
      <c r="BX12" s="12" t="str">
        <f t="shared" ca="1" si="31"/>
        <v>NA</v>
      </c>
      <c r="BY12" s="12" t="str">
        <f t="shared" ca="1" si="32"/>
        <v>NA</v>
      </c>
      <c r="BZ12" s="12" t="str">
        <f t="shared" ca="1" si="33"/>
        <v>NA</v>
      </c>
      <c r="CA12" s="5"/>
    </row>
    <row r="13" spans="1:79" ht="12.75" customHeight="1" x14ac:dyDescent="0.15">
      <c r="A13" s="4">
        <v>1054</v>
      </c>
      <c r="B13" s="5" t="s">
        <v>79</v>
      </c>
      <c r="C13" s="5" t="s">
        <v>79</v>
      </c>
      <c r="D13" s="6" t="s">
        <v>150</v>
      </c>
      <c r="E13" s="7">
        <v>880377</v>
      </c>
      <c r="F13" s="6" t="s">
        <v>151</v>
      </c>
      <c r="G13" s="8"/>
      <c r="H13" s="8"/>
      <c r="I13" s="8"/>
      <c r="J13" s="8"/>
      <c r="K13" s="8"/>
      <c r="L13" s="8" t="s">
        <v>82</v>
      </c>
      <c r="M13" s="7">
        <v>1030</v>
      </c>
      <c r="N13" s="7">
        <v>1024</v>
      </c>
      <c r="O13" s="13">
        <v>32440</v>
      </c>
      <c r="P13" s="10">
        <f t="shared" ca="1" si="0"/>
        <v>13.361111111111111</v>
      </c>
      <c r="Q13" s="5">
        <f t="shared" ca="1" si="1"/>
        <v>160</v>
      </c>
      <c r="R13" s="5">
        <f t="shared" ca="1" si="2"/>
        <v>4879</v>
      </c>
      <c r="S13" s="7">
        <f t="shared" ca="1" si="3"/>
        <v>1988</v>
      </c>
      <c r="T13" s="7">
        <f t="shared" ca="1" si="4"/>
        <v>10</v>
      </c>
      <c r="U13" s="7">
        <f t="shared" ca="1" si="5"/>
        <v>24</v>
      </c>
      <c r="V13" s="6" t="s">
        <v>152</v>
      </c>
      <c r="W13" s="14" t="s">
        <v>96</v>
      </c>
      <c r="X13" s="15"/>
      <c r="Y13" s="5">
        <f t="shared" ca="1" si="6"/>
        <v>0</v>
      </c>
      <c r="Z13" s="6"/>
      <c r="AA13" s="12" t="str">
        <f t="shared" ca="1" si="7"/>
        <v>NA</v>
      </c>
      <c r="AB13" s="12" t="str">
        <f t="shared" ca="1" si="8"/>
        <v>NA</v>
      </c>
      <c r="AC13" s="12" t="str">
        <f t="shared" ca="1" si="9"/>
        <v>NA</v>
      </c>
      <c r="AD13" s="6"/>
      <c r="AE13" s="5"/>
      <c r="AF13" s="6"/>
      <c r="AG13" s="11">
        <v>37319</v>
      </c>
      <c r="AH13" s="12">
        <f t="shared" ca="1" si="10"/>
        <v>2002</v>
      </c>
      <c r="AI13" s="12">
        <f t="shared" ca="1" si="11"/>
        <v>3</v>
      </c>
      <c r="AJ13" s="12">
        <f t="shared" ca="1" si="12"/>
        <v>4</v>
      </c>
      <c r="AK13" s="8" t="s">
        <v>153</v>
      </c>
      <c r="AL13" s="8"/>
      <c r="AM13" s="5"/>
      <c r="AN13" s="5"/>
      <c r="AO13" s="5"/>
      <c r="AP13" s="12" t="str">
        <f t="shared" ca="1" si="13"/>
        <v>NA</v>
      </c>
      <c r="AQ13" s="12" t="str">
        <f t="shared" ca="1" si="14"/>
        <v>NA</v>
      </c>
      <c r="AR13" s="12" t="str">
        <f t="shared" ca="1" si="15"/>
        <v>NA</v>
      </c>
      <c r="AS13" s="5"/>
      <c r="AT13" s="5"/>
      <c r="AU13" s="5"/>
      <c r="AV13" s="12" t="str">
        <f t="shared" ca="1" si="16"/>
        <v>NA</v>
      </c>
      <c r="AW13" s="12" t="str">
        <f t="shared" ca="1" si="17"/>
        <v>NA</v>
      </c>
      <c r="AX13" s="12" t="str">
        <f t="shared" ca="1" si="18"/>
        <v>NA</v>
      </c>
      <c r="AY13" s="5"/>
      <c r="AZ13" s="5"/>
      <c r="BA13" s="6"/>
      <c r="BB13" s="12" t="str">
        <f t="shared" ca="1" si="19"/>
        <v>NA</v>
      </c>
      <c r="BC13" s="12" t="str">
        <f t="shared" ca="1" si="20"/>
        <v>NA</v>
      </c>
      <c r="BD13" s="12" t="str">
        <f t="shared" ca="1" si="21"/>
        <v>NA</v>
      </c>
      <c r="BE13" s="5"/>
      <c r="BF13" s="5"/>
      <c r="BG13" s="5"/>
      <c r="BH13" s="12" t="str">
        <f t="shared" ca="1" si="22"/>
        <v>NA</v>
      </c>
      <c r="BI13" s="12" t="str">
        <f t="shared" ca="1" si="23"/>
        <v>NA</v>
      </c>
      <c r="BJ13" s="12" t="str">
        <f t="shared" ca="1" si="24"/>
        <v>NA</v>
      </c>
      <c r="BK13" s="5"/>
      <c r="BL13" s="5"/>
      <c r="BM13" s="12" t="str">
        <f t="shared" ca="1" si="25"/>
        <v>NA</v>
      </c>
      <c r="BN13" s="12" t="str">
        <f t="shared" ca="1" si="26"/>
        <v>NA</v>
      </c>
      <c r="BO13" s="12" t="str">
        <f t="shared" ca="1" si="27"/>
        <v>NA</v>
      </c>
      <c r="BP13" s="5"/>
      <c r="BQ13" s="5"/>
      <c r="BR13" s="5"/>
      <c r="BS13" s="12" t="str">
        <f t="shared" ca="1" si="28"/>
        <v>NA</v>
      </c>
      <c r="BT13" s="12" t="str">
        <f t="shared" ca="1" si="29"/>
        <v>NA</v>
      </c>
      <c r="BU13" s="12" t="str">
        <f t="shared" ca="1" si="30"/>
        <v>NA</v>
      </c>
      <c r="BV13" s="5"/>
      <c r="BW13" s="5"/>
      <c r="BX13" s="12" t="str">
        <f t="shared" ca="1" si="31"/>
        <v>NA</v>
      </c>
      <c r="BY13" s="12" t="str">
        <f t="shared" ca="1" si="32"/>
        <v>NA</v>
      </c>
      <c r="BZ13" s="12" t="str">
        <f t="shared" ca="1" si="33"/>
        <v>NA</v>
      </c>
      <c r="CA13" s="5"/>
    </row>
    <row r="14" spans="1:79" ht="12.75" customHeight="1" x14ac:dyDescent="0.15">
      <c r="A14" s="4">
        <v>1055</v>
      </c>
      <c r="B14" s="5" t="s">
        <v>79</v>
      </c>
      <c r="C14" s="5" t="s">
        <v>79</v>
      </c>
      <c r="D14" s="6" t="s">
        <v>154</v>
      </c>
      <c r="E14" s="7">
        <v>6138</v>
      </c>
      <c r="F14" s="6" t="s">
        <v>155</v>
      </c>
      <c r="G14" s="8"/>
      <c r="H14" s="8"/>
      <c r="I14" s="8"/>
      <c r="J14" s="8"/>
      <c r="K14" s="8"/>
      <c r="L14" s="8" t="s">
        <v>82</v>
      </c>
      <c r="M14" s="7">
        <v>1012</v>
      </c>
      <c r="N14" s="7">
        <v>1008</v>
      </c>
      <c r="O14" s="13">
        <v>32464</v>
      </c>
      <c r="P14" s="10">
        <f t="shared" ca="1" si="0"/>
        <v>4.3666666666666663</v>
      </c>
      <c r="Q14" s="5">
        <f t="shared" ca="1" si="1"/>
        <v>52</v>
      </c>
      <c r="R14" s="5">
        <f t="shared" ca="1" si="2"/>
        <v>1593</v>
      </c>
      <c r="S14" s="7">
        <f t="shared" ca="1" si="3"/>
        <v>1988</v>
      </c>
      <c r="T14" s="7">
        <f t="shared" ca="1" si="4"/>
        <v>11</v>
      </c>
      <c r="U14" s="7">
        <f t="shared" ca="1" si="5"/>
        <v>17</v>
      </c>
      <c r="V14" s="6" t="s">
        <v>156</v>
      </c>
      <c r="W14" s="14" t="s">
        <v>96</v>
      </c>
      <c r="X14" s="15"/>
      <c r="Y14" s="5">
        <f t="shared" ca="1" si="6"/>
        <v>1</v>
      </c>
      <c r="Z14" s="6"/>
      <c r="AA14" s="12" t="str">
        <f t="shared" ca="1" si="7"/>
        <v>NA</v>
      </c>
      <c r="AB14" s="12" t="str">
        <f t="shared" ca="1" si="8"/>
        <v>NA</v>
      </c>
      <c r="AC14" s="12" t="str">
        <f t="shared" ca="1" si="9"/>
        <v>NA</v>
      </c>
      <c r="AD14" s="6"/>
      <c r="AE14" s="5"/>
      <c r="AF14" s="6"/>
      <c r="AG14" s="11">
        <v>34057</v>
      </c>
      <c r="AH14" s="12">
        <f t="shared" ca="1" si="10"/>
        <v>1993</v>
      </c>
      <c r="AI14" s="12">
        <f t="shared" ca="1" si="11"/>
        <v>3</v>
      </c>
      <c r="AJ14" s="12">
        <f t="shared" ca="1" si="12"/>
        <v>29</v>
      </c>
      <c r="AK14" s="8" t="s">
        <v>157</v>
      </c>
      <c r="AL14" s="8"/>
      <c r="AM14" s="5"/>
      <c r="AN14" s="5"/>
      <c r="AO14" s="11">
        <v>33448</v>
      </c>
      <c r="AP14" s="12">
        <f t="shared" ca="1" si="13"/>
        <v>1991</v>
      </c>
      <c r="AQ14" s="12">
        <f t="shared" ca="1" si="14"/>
        <v>7</v>
      </c>
      <c r="AR14" s="12">
        <f t="shared" ca="1" si="15"/>
        <v>29</v>
      </c>
      <c r="AS14" s="8" t="s">
        <v>158</v>
      </c>
      <c r="AT14" s="8"/>
      <c r="AU14" s="5"/>
      <c r="AV14" s="12" t="str">
        <f t="shared" ca="1" si="16"/>
        <v>NA</v>
      </c>
      <c r="AW14" s="12" t="str">
        <f t="shared" ca="1" si="17"/>
        <v>NA</v>
      </c>
      <c r="AX14" s="12" t="str">
        <f t="shared" ca="1" si="18"/>
        <v>NA</v>
      </c>
      <c r="AY14" s="5"/>
      <c r="AZ14" s="5"/>
      <c r="BA14" s="6"/>
      <c r="BB14" s="12" t="str">
        <f t="shared" ca="1" si="19"/>
        <v>NA</v>
      </c>
      <c r="BC14" s="12" t="str">
        <f t="shared" ca="1" si="20"/>
        <v>NA</v>
      </c>
      <c r="BD14" s="12" t="str">
        <f t="shared" ca="1" si="21"/>
        <v>NA</v>
      </c>
      <c r="BE14" s="5"/>
      <c r="BF14" s="5"/>
      <c r="BG14" s="5"/>
      <c r="BH14" s="12" t="str">
        <f t="shared" ca="1" si="22"/>
        <v>NA</v>
      </c>
      <c r="BI14" s="12" t="str">
        <f t="shared" ca="1" si="23"/>
        <v>NA</v>
      </c>
      <c r="BJ14" s="12" t="str">
        <f t="shared" ca="1" si="24"/>
        <v>NA</v>
      </c>
      <c r="BK14" s="5"/>
      <c r="BL14" s="5"/>
      <c r="BM14" s="12" t="str">
        <f t="shared" ca="1" si="25"/>
        <v>NA</v>
      </c>
      <c r="BN14" s="12" t="str">
        <f t="shared" ca="1" si="26"/>
        <v>NA</v>
      </c>
      <c r="BO14" s="12" t="str">
        <f t="shared" ca="1" si="27"/>
        <v>NA</v>
      </c>
      <c r="BP14" s="5"/>
      <c r="BQ14" s="5"/>
      <c r="BR14" s="5"/>
      <c r="BS14" s="12" t="str">
        <f t="shared" ca="1" si="28"/>
        <v>NA</v>
      </c>
      <c r="BT14" s="12" t="str">
        <f t="shared" ca="1" si="29"/>
        <v>NA</v>
      </c>
      <c r="BU14" s="12" t="str">
        <f t="shared" ca="1" si="30"/>
        <v>NA</v>
      </c>
      <c r="BV14" s="5"/>
      <c r="BW14" s="5"/>
      <c r="BX14" s="12" t="str">
        <f t="shared" ca="1" si="31"/>
        <v>NA</v>
      </c>
      <c r="BY14" s="12" t="str">
        <f t="shared" ca="1" si="32"/>
        <v>NA</v>
      </c>
      <c r="BZ14" s="12" t="str">
        <f t="shared" ca="1" si="33"/>
        <v>NA</v>
      </c>
      <c r="CA14" s="5"/>
    </row>
    <row r="15" spans="1:79" ht="12.75" customHeight="1" x14ac:dyDescent="0.15">
      <c r="A15" s="4">
        <v>1056</v>
      </c>
      <c r="B15" s="5" t="s">
        <v>79</v>
      </c>
      <c r="C15" s="5" t="s">
        <v>79</v>
      </c>
      <c r="D15" s="6" t="s">
        <v>159</v>
      </c>
      <c r="E15" s="7">
        <v>6139</v>
      </c>
      <c r="F15" s="6" t="s">
        <v>160</v>
      </c>
      <c r="G15" s="8"/>
      <c r="H15" s="8"/>
      <c r="I15" s="8"/>
      <c r="J15" s="8"/>
      <c r="K15" s="8"/>
      <c r="L15" s="8" t="s">
        <v>82</v>
      </c>
      <c r="M15" s="7">
        <v>1012</v>
      </c>
      <c r="N15" s="7">
        <v>1008</v>
      </c>
      <c r="O15" s="13">
        <v>32464</v>
      </c>
      <c r="P15" s="10">
        <f t="shared" ca="1" si="0"/>
        <v>12.036111111111111</v>
      </c>
      <c r="Q15" s="5">
        <f t="shared" ca="1" si="1"/>
        <v>144</v>
      </c>
      <c r="R15" s="5">
        <f t="shared" ca="1" si="2"/>
        <v>4396</v>
      </c>
      <c r="S15" s="7">
        <f t="shared" ca="1" si="3"/>
        <v>1988</v>
      </c>
      <c r="T15" s="7">
        <f t="shared" ca="1" si="4"/>
        <v>11</v>
      </c>
      <c r="U15" s="7">
        <f t="shared" ca="1" si="5"/>
        <v>17</v>
      </c>
      <c r="V15" s="6" t="s">
        <v>161</v>
      </c>
      <c r="W15" s="14" t="s">
        <v>96</v>
      </c>
      <c r="X15" s="15"/>
      <c r="Y15" s="5">
        <f t="shared" ca="1" si="6"/>
        <v>1</v>
      </c>
      <c r="Z15" s="6"/>
      <c r="AA15" s="12" t="str">
        <f t="shared" ca="1" si="7"/>
        <v>NA</v>
      </c>
      <c r="AB15" s="12" t="str">
        <f t="shared" ca="1" si="8"/>
        <v>NA</v>
      </c>
      <c r="AC15" s="12" t="str">
        <f t="shared" ca="1" si="9"/>
        <v>NA</v>
      </c>
      <c r="AD15" s="6"/>
      <c r="AE15" s="5"/>
      <c r="AF15" s="6"/>
      <c r="AG15" s="11">
        <v>36860</v>
      </c>
      <c r="AH15" s="12">
        <f t="shared" ca="1" si="10"/>
        <v>2000</v>
      </c>
      <c r="AI15" s="12">
        <f t="shared" ca="1" si="11"/>
        <v>11</v>
      </c>
      <c r="AJ15" s="12">
        <f t="shared" ca="1" si="12"/>
        <v>30</v>
      </c>
      <c r="AK15" s="8" t="s">
        <v>162</v>
      </c>
      <c r="AL15" s="8"/>
      <c r="AM15" s="5"/>
      <c r="AN15" s="5"/>
      <c r="AO15" s="11">
        <v>33448</v>
      </c>
      <c r="AP15" s="12">
        <f t="shared" ca="1" si="13"/>
        <v>1991</v>
      </c>
      <c r="AQ15" s="12">
        <f t="shared" ca="1" si="14"/>
        <v>7</v>
      </c>
      <c r="AR15" s="12">
        <f t="shared" ca="1" si="15"/>
        <v>29</v>
      </c>
      <c r="AS15" s="8" t="s">
        <v>163</v>
      </c>
      <c r="AT15" s="8"/>
      <c r="AU15" s="5"/>
      <c r="AV15" s="12" t="str">
        <f t="shared" ca="1" si="16"/>
        <v>NA</v>
      </c>
      <c r="AW15" s="12" t="str">
        <f t="shared" ca="1" si="17"/>
        <v>NA</v>
      </c>
      <c r="AX15" s="12" t="str">
        <f t="shared" ca="1" si="18"/>
        <v>NA</v>
      </c>
      <c r="AY15" s="5"/>
      <c r="AZ15" s="5"/>
      <c r="BA15" s="6"/>
      <c r="BB15" s="12" t="str">
        <f t="shared" ca="1" si="19"/>
        <v>NA</v>
      </c>
      <c r="BC15" s="12" t="str">
        <f t="shared" ca="1" si="20"/>
        <v>NA</v>
      </c>
      <c r="BD15" s="12" t="str">
        <f t="shared" ca="1" si="21"/>
        <v>NA</v>
      </c>
      <c r="BE15" s="5"/>
      <c r="BF15" s="5"/>
      <c r="BG15" s="5"/>
      <c r="BH15" s="12" t="str">
        <f t="shared" ca="1" si="22"/>
        <v>NA</v>
      </c>
      <c r="BI15" s="12" t="str">
        <f t="shared" ca="1" si="23"/>
        <v>NA</v>
      </c>
      <c r="BJ15" s="12" t="str">
        <f t="shared" ca="1" si="24"/>
        <v>NA</v>
      </c>
      <c r="BK15" s="5"/>
      <c r="BL15" s="5"/>
      <c r="BM15" s="12" t="str">
        <f t="shared" ca="1" si="25"/>
        <v>NA</v>
      </c>
      <c r="BN15" s="12" t="str">
        <f t="shared" ca="1" si="26"/>
        <v>NA</v>
      </c>
      <c r="BO15" s="12" t="str">
        <f t="shared" ca="1" si="27"/>
        <v>NA</v>
      </c>
      <c r="BP15" s="5"/>
      <c r="BQ15" s="5"/>
      <c r="BR15" s="5"/>
      <c r="BS15" s="12" t="str">
        <f t="shared" ca="1" si="28"/>
        <v>NA</v>
      </c>
      <c r="BT15" s="12" t="str">
        <f t="shared" ca="1" si="29"/>
        <v>NA</v>
      </c>
      <c r="BU15" s="12" t="str">
        <f t="shared" ca="1" si="30"/>
        <v>NA</v>
      </c>
      <c r="BV15" s="5"/>
      <c r="BW15" s="5"/>
      <c r="BX15" s="12" t="str">
        <f t="shared" ca="1" si="31"/>
        <v>NA</v>
      </c>
      <c r="BY15" s="12" t="str">
        <f t="shared" ca="1" si="32"/>
        <v>NA</v>
      </c>
      <c r="BZ15" s="12" t="str">
        <f t="shared" ca="1" si="33"/>
        <v>NA</v>
      </c>
      <c r="CA15" s="5"/>
    </row>
    <row r="16" spans="1:79" ht="12.75" customHeight="1" x14ac:dyDescent="0.15">
      <c r="A16" s="4">
        <v>1057</v>
      </c>
      <c r="B16" s="5" t="s">
        <v>79</v>
      </c>
      <c r="C16" s="5" t="s">
        <v>79</v>
      </c>
      <c r="D16" s="6" t="s">
        <v>164</v>
      </c>
      <c r="E16" s="7">
        <v>198133</v>
      </c>
      <c r="F16" s="6" t="s">
        <v>165</v>
      </c>
      <c r="G16" s="8"/>
      <c r="H16" s="8"/>
      <c r="I16" s="8"/>
      <c r="J16" s="8"/>
      <c r="K16" s="8"/>
      <c r="L16" s="8" t="s">
        <v>82</v>
      </c>
      <c r="M16" s="7">
        <v>1017</v>
      </c>
      <c r="N16" s="7">
        <v>1020</v>
      </c>
      <c r="O16" s="13">
        <v>32564</v>
      </c>
      <c r="P16" s="10">
        <f t="shared" ca="1" si="0"/>
        <v>16.486111111111111</v>
      </c>
      <c r="Q16" s="5">
        <f t="shared" ca="1" si="1"/>
        <v>197</v>
      </c>
      <c r="R16" s="5">
        <f t="shared" ca="1" si="2"/>
        <v>6020</v>
      </c>
      <c r="S16" s="7">
        <f t="shared" ca="1" si="3"/>
        <v>1989</v>
      </c>
      <c r="T16" s="7">
        <f t="shared" ca="1" si="4"/>
        <v>2</v>
      </c>
      <c r="U16" s="7">
        <f t="shared" ca="1" si="5"/>
        <v>25</v>
      </c>
      <c r="V16" s="6" t="s">
        <v>166</v>
      </c>
      <c r="W16" s="14" t="s">
        <v>96</v>
      </c>
      <c r="X16" s="15"/>
      <c r="Y16" s="5">
        <f t="shared" ca="1" si="6"/>
        <v>1</v>
      </c>
      <c r="Z16" s="6"/>
      <c r="AA16" s="12" t="str">
        <f t="shared" ca="1" si="7"/>
        <v>NA</v>
      </c>
      <c r="AB16" s="12" t="str">
        <f t="shared" ca="1" si="8"/>
        <v>NA</v>
      </c>
      <c r="AC16" s="12" t="str">
        <f t="shared" ca="1" si="9"/>
        <v>NA</v>
      </c>
      <c r="AD16" s="6"/>
      <c r="AE16" s="5"/>
      <c r="AF16" s="6"/>
      <c r="AG16" s="11">
        <v>38584</v>
      </c>
      <c r="AH16" s="12">
        <f t="shared" ca="1" si="10"/>
        <v>2005</v>
      </c>
      <c r="AI16" s="12">
        <f t="shared" ca="1" si="11"/>
        <v>8</v>
      </c>
      <c r="AJ16" s="12">
        <f t="shared" ca="1" si="12"/>
        <v>20</v>
      </c>
      <c r="AK16" s="8" t="s">
        <v>167</v>
      </c>
      <c r="AL16" s="8"/>
      <c r="AM16" s="5"/>
      <c r="AN16" s="5"/>
      <c r="AO16" s="11">
        <v>36096</v>
      </c>
      <c r="AP16" s="12">
        <f t="shared" ca="1" si="13"/>
        <v>1998</v>
      </c>
      <c r="AQ16" s="12">
        <f t="shared" ca="1" si="14"/>
        <v>10</v>
      </c>
      <c r="AR16" s="12">
        <f t="shared" ca="1" si="15"/>
        <v>28</v>
      </c>
      <c r="AS16" s="8" t="s">
        <v>168</v>
      </c>
      <c r="AT16" s="8"/>
      <c r="AU16" s="5"/>
      <c r="AV16" s="12" t="str">
        <f t="shared" ca="1" si="16"/>
        <v>NA</v>
      </c>
      <c r="AW16" s="12" t="str">
        <f t="shared" ca="1" si="17"/>
        <v>NA</v>
      </c>
      <c r="AX16" s="12" t="str">
        <f t="shared" ca="1" si="18"/>
        <v>NA</v>
      </c>
      <c r="AY16" s="5"/>
      <c r="AZ16" s="5"/>
      <c r="BA16" s="6"/>
      <c r="BB16" s="12" t="str">
        <f t="shared" ca="1" si="19"/>
        <v>NA</v>
      </c>
      <c r="BC16" s="12" t="str">
        <f t="shared" ca="1" si="20"/>
        <v>NA</v>
      </c>
      <c r="BD16" s="12" t="str">
        <f t="shared" ca="1" si="21"/>
        <v>NA</v>
      </c>
      <c r="BE16" s="5"/>
      <c r="BF16" s="5"/>
      <c r="BG16" s="5"/>
      <c r="BH16" s="12" t="str">
        <f t="shared" ca="1" si="22"/>
        <v>NA</v>
      </c>
      <c r="BI16" s="12" t="str">
        <f t="shared" ca="1" si="23"/>
        <v>NA</v>
      </c>
      <c r="BJ16" s="12" t="str">
        <f t="shared" ca="1" si="24"/>
        <v>NA</v>
      </c>
      <c r="BK16" s="5"/>
      <c r="BL16" s="5"/>
      <c r="BM16" s="12" t="str">
        <f t="shared" ca="1" si="25"/>
        <v>NA</v>
      </c>
      <c r="BN16" s="12" t="str">
        <f t="shared" ca="1" si="26"/>
        <v>NA</v>
      </c>
      <c r="BO16" s="12" t="str">
        <f t="shared" ca="1" si="27"/>
        <v>NA</v>
      </c>
      <c r="BP16" s="5"/>
      <c r="BQ16" s="5"/>
      <c r="BR16" s="5"/>
      <c r="BS16" s="12" t="str">
        <f t="shared" ca="1" si="28"/>
        <v>NA</v>
      </c>
      <c r="BT16" s="12" t="str">
        <f t="shared" ca="1" si="29"/>
        <v>NA</v>
      </c>
      <c r="BU16" s="12" t="str">
        <f t="shared" ca="1" si="30"/>
        <v>NA</v>
      </c>
      <c r="BV16" s="5"/>
      <c r="BW16" s="5"/>
      <c r="BX16" s="12" t="str">
        <f t="shared" ca="1" si="31"/>
        <v>NA</v>
      </c>
      <c r="BY16" s="12" t="str">
        <f t="shared" ca="1" si="32"/>
        <v>NA</v>
      </c>
      <c r="BZ16" s="12" t="str">
        <f t="shared" ca="1" si="33"/>
        <v>NA</v>
      </c>
      <c r="CA16" s="5"/>
    </row>
    <row r="17" spans="1:79" ht="12.75" customHeight="1" x14ac:dyDescent="0.15">
      <c r="A17" s="4">
        <v>1058</v>
      </c>
      <c r="B17" s="5" t="s">
        <v>79</v>
      </c>
      <c r="C17" s="5" t="s">
        <v>79</v>
      </c>
      <c r="D17" s="6" t="s">
        <v>169</v>
      </c>
      <c r="E17" s="7">
        <v>489049</v>
      </c>
      <c r="F17" s="6" t="s">
        <v>170</v>
      </c>
      <c r="G17" s="8"/>
      <c r="H17" s="8"/>
      <c r="I17" s="8"/>
      <c r="J17" s="8"/>
      <c r="K17" s="8"/>
      <c r="L17" s="8" t="s">
        <v>82</v>
      </c>
      <c r="M17" s="7">
        <v>1017</v>
      </c>
      <c r="N17" s="7">
        <v>1020</v>
      </c>
      <c r="O17" s="13">
        <v>32564</v>
      </c>
      <c r="P17" s="10">
        <f t="shared" ca="1" si="0"/>
        <v>19.819444444444443</v>
      </c>
      <c r="Q17" s="5">
        <f t="shared" ca="1" si="1"/>
        <v>237</v>
      </c>
      <c r="R17" s="5">
        <f t="shared" ca="1" si="2"/>
        <v>7238</v>
      </c>
      <c r="S17" s="7">
        <f t="shared" ca="1" si="3"/>
        <v>1989</v>
      </c>
      <c r="T17" s="7">
        <f t="shared" ca="1" si="4"/>
        <v>2</v>
      </c>
      <c r="U17" s="7">
        <f t="shared" ca="1" si="5"/>
        <v>25</v>
      </c>
      <c r="V17" s="6" t="s">
        <v>171</v>
      </c>
      <c r="W17" s="14" t="s">
        <v>96</v>
      </c>
      <c r="X17" s="15"/>
      <c r="Y17" s="5">
        <f t="shared" ca="1" si="6"/>
        <v>0</v>
      </c>
      <c r="Z17" s="6"/>
      <c r="AA17" s="12" t="str">
        <f t="shared" ca="1" si="7"/>
        <v>NA</v>
      </c>
      <c r="AB17" s="12" t="str">
        <f t="shared" ca="1" si="8"/>
        <v>NA</v>
      </c>
      <c r="AC17" s="12" t="str">
        <f t="shared" ca="1" si="9"/>
        <v>NA</v>
      </c>
      <c r="AD17" s="6"/>
      <c r="AE17" s="5"/>
      <c r="AF17" s="6"/>
      <c r="AG17" s="11">
        <v>39802</v>
      </c>
      <c r="AH17" s="12">
        <f t="shared" ca="1" si="10"/>
        <v>2008</v>
      </c>
      <c r="AI17" s="12">
        <f t="shared" ca="1" si="11"/>
        <v>12</v>
      </c>
      <c r="AJ17" s="12">
        <f t="shared" ca="1" si="12"/>
        <v>20</v>
      </c>
      <c r="AK17" s="8" t="s">
        <v>172</v>
      </c>
      <c r="AL17" s="8"/>
      <c r="AM17" s="5"/>
      <c r="AN17" s="5"/>
      <c r="AO17" s="5"/>
      <c r="AP17" s="12" t="str">
        <f t="shared" ca="1" si="13"/>
        <v>NA</v>
      </c>
      <c r="AQ17" s="12" t="str">
        <f t="shared" ca="1" si="14"/>
        <v>NA</v>
      </c>
      <c r="AR17" s="12" t="str">
        <f t="shared" ca="1" si="15"/>
        <v>NA</v>
      </c>
      <c r="AS17" s="5"/>
      <c r="AT17" s="5"/>
      <c r="AU17" s="5"/>
      <c r="AV17" s="12" t="str">
        <f t="shared" ca="1" si="16"/>
        <v>NA</v>
      </c>
      <c r="AW17" s="12" t="str">
        <f t="shared" ca="1" si="17"/>
        <v>NA</v>
      </c>
      <c r="AX17" s="12" t="str">
        <f t="shared" ca="1" si="18"/>
        <v>NA</v>
      </c>
      <c r="AY17" s="5"/>
      <c r="AZ17" s="5"/>
      <c r="BA17" s="6"/>
      <c r="BB17" s="12" t="str">
        <f t="shared" ca="1" si="19"/>
        <v>NA</v>
      </c>
      <c r="BC17" s="12" t="str">
        <f t="shared" ca="1" si="20"/>
        <v>NA</v>
      </c>
      <c r="BD17" s="12" t="str">
        <f t="shared" ca="1" si="21"/>
        <v>NA</v>
      </c>
      <c r="BE17" s="5"/>
      <c r="BF17" s="5"/>
      <c r="BG17" s="5"/>
      <c r="BH17" s="12" t="str">
        <f t="shared" ca="1" si="22"/>
        <v>NA</v>
      </c>
      <c r="BI17" s="12" t="str">
        <f t="shared" ca="1" si="23"/>
        <v>NA</v>
      </c>
      <c r="BJ17" s="12" t="str">
        <f t="shared" ca="1" si="24"/>
        <v>NA</v>
      </c>
      <c r="BK17" s="5"/>
      <c r="BL17" s="5"/>
      <c r="BM17" s="12" t="str">
        <f t="shared" ca="1" si="25"/>
        <v>NA</v>
      </c>
      <c r="BN17" s="12" t="str">
        <f t="shared" ca="1" si="26"/>
        <v>NA</v>
      </c>
      <c r="BO17" s="12" t="str">
        <f t="shared" ca="1" si="27"/>
        <v>NA</v>
      </c>
      <c r="BP17" s="5"/>
      <c r="BQ17" s="5"/>
      <c r="BR17" s="5"/>
      <c r="BS17" s="12" t="str">
        <f t="shared" ca="1" si="28"/>
        <v>NA</v>
      </c>
      <c r="BT17" s="12" t="str">
        <f t="shared" ca="1" si="29"/>
        <v>NA</v>
      </c>
      <c r="BU17" s="12" t="str">
        <f t="shared" ca="1" si="30"/>
        <v>NA</v>
      </c>
      <c r="BV17" s="5"/>
      <c r="BW17" s="5"/>
      <c r="BX17" s="12" t="str">
        <f t="shared" ca="1" si="31"/>
        <v>NA</v>
      </c>
      <c r="BY17" s="12" t="str">
        <f t="shared" ca="1" si="32"/>
        <v>NA</v>
      </c>
      <c r="BZ17" s="12" t="str">
        <f t="shared" ca="1" si="33"/>
        <v>NA</v>
      </c>
      <c r="CA17" s="5"/>
    </row>
    <row r="18" spans="1:79" ht="12.75" customHeight="1" x14ac:dyDescent="0.15">
      <c r="A18" s="4">
        <v>1059</v>
      </c>
      <c r="B18" s="5" t="s">
        <v>79</v>
      </c>
      <c r="C18" s="5" t="s">
        <v>79</v>
      </c>
      <c r="D18" s="6" t="s">
        <v>173</v>
      </c>
      <c r="E18" s="7">
        <v>589050</v>
      </c>
      <c r="F18" s="6" t="s">
        <v>174</v>
      </c>
      <c r="G18" s="8"/>
      <c r="H18" s="8"/>
      <c r="I18" s="8"/>
      <c r="J18" s="8"/>
      <c r="K18" s="8"/>
      <c r="L18" s="8" t="s">
        <v>82</v>
      </c>
      <c r="M18" s="7">
        <v>1016</v>
      </c>
      <c r="N18" s="7">
        <v>1019</v>
      </c>
      <c r="O18" s="13">
        <v>32565</v>
      </c>
      <c r="P18" s="10">
        <f t="shared" ca="1" si="0"/>
        <v>10.419444444444444</v>
      </c>
      <c r="Q18" s="5">
        <f t="shared" ca="1" si="1"/>
        <v>125</v>
      </c>
      <c r="R18" s="5">
        <f t="shared" ca="1" si="2"/>
        <v>3803</v>
      </c>
      <c r="S18" s="7">
        <f t="shared" ca="1" si="3"/>
        <v>1989</v>
      </c>
      <c r="T18" s="7">
        <f t="shared" ca="1" si="4"/>
        <v>2</v>
      </c>
      <c r="U18" s="7">
        <f t="shared" ca="1" si="5"/>
        <v>26</v>
      </c>
      <c r="V18" s="6" t="s">
        <v>175</v>
      </c>
      <c r="W18" s="14" t="s">
        <v>96</v>
      </c>
      <c r="X18" s="15"/>
      <c r="Y18" s="5">
        <f t="shared" ca="1" si="6"/>
        <v>0</v>
      </c>
      <c r="Z18" s="6"/>
      <c r="AA18" s="12" t="str">
        <f t="shared" ca="1" si="7"/>
        <v>NA</v>
      </c>
      <c r="AB18" s="12" t="str">
        <f t="shared" ca="1" si="8"/>
        <v>NA</v>
      </c>
      <c r="AC18" s="12" t="str">
        <f t="shared" ca="1" si="9"/>
        <v>NA</v>
      </c>
      <c r="AD18" s="6"/>
      <c r="AE18" s="5"/>
      <c r="AF18" s="6"/>
      <c r="AG18" s="11">
        <v>36368</v>
      </c>
      <c r="AH18" s="12">
        <f t="shared" ca="1" si="10"/>
        <v>1999</v>
      </c>
      <c r="AI18" s="12">
        <f t="shared" ca="1" si="11"/>
        <v>7</v>
      </c>
      <c r="AJ18" s="12">
        <f t="shared" ca="1" si="12"/>
        <v>27</v>
      </c>
      <c r="AK18" s="8" t="s">
        <v>176</v>
      </c>
      <c r="AL18" s="8"/>
      <c r="AM18" s="5"/>
      <c r="AN18" s="5"/>
      <c r="AO18" s="5"/>
      <c r="AP18" s="12" t="str">
        <f t="shared" ca="1" si="13"/>
        <v>NA</v>
      </c>
      <c r="AQ18" s="12" t="str">
        <f t="shared" ca="1" si="14"/>
        <v>NA</v>
      </c>
      <c r="AR18" s="12" t="str">
        <f t="shared" ca="1" si="15"/>
        <v>NA</v>
      </c>
      <c r="AS18" s="5"/>
      <c r="AT18" s="5"/>
      <c r="AU18" s="5"/>
      <c r="AV18" s="12" t="str">
        <f t="shared" ca="1" si="16"/>
        <v>NA</v>
      </c>
      <c r="AW18" s="12" t="str">
        <f t="shared" ca="1" si="17"/>
        <v>NA</v>
      </c>
      <c r="AX18" s="12" t="str">
        <f t="shared" ca="1" si="18"/>
        <v>NA</v>
      </c>
      <c r="AY18" s="5"/>
      <c r="AZ18" s="5"/>
      <c r="BA18" s="6"/>
      <c r="BB18" s="12" t="str">
        <f t="shared" ca="1" si="19"/>
        <v>NA</v>
      </c>
      <c r="BC18" s="12" t="str">
        <f t="shared" ca="1" si="20"/>
        <v>NA</v>
      </c>
      <c r="BD18" s="12" t="str">
        <f t="shared" ca="1" si="21"/>
        <v>NA</v>
      </c>
      <c r="BE18" s="5"/>
      <c r="BF18" s="5"/>
      <c r="BG18" s="5"/>
      <c r="BH18" s="12" t="str">
        <f t="shared" ca="1" si="22"/>
        <v>NA</v>
      </c>
      <c r="BI18" s="12" t="str">
        <f t="shared" ca="1" si="23"/>
        <v>NA</v>
      </c>
      <c r="BJ18" s="12" t="str">
        <f t="shared" ca="1" si="24"/>
        <v>NA</v>
      </c>
      <c r="BK18" s="5"/>
      <c r="BL18" s="5"/>
      <c r="BM18" s="12" t="str">
        <f t="shared" ca="1" si="25"/>
        <v>NA</v>
      </c>
      <c r="BN18" s="12" t="str">
        <f t="shared" ca="1" si="26"/>
        <v>NA</v>
      </c>
      <c r="BO18" s="12" t="str">
        <f t="shared" ca="1" si="27"/>
        <v>NA</v>
      </c>
      <c r="BP18" s="5"/>
      <c r="BQ18" s="5"/>
      <c r="BR18" s="5"/>
      <c r="BS18" s="12" t="str">
        <f t="shared" ca="1" si="28"/>
        <v>NA</v>
      </c>
      <c r="BT18" s="12" t="str">
        <f t="shared" ca="1" si="29"/>
        <v>NA</v>
      </c>
      <c r="BU18" s="12" t="str">
        <f t="shared" ca="1" si="30"/>
        <v>NA</v>
      </c>
      <c r="BV18" s="5"/>
      <c r="BW18" s="5"/>
      <c r="BX18" s="12" t="str">
        <f t="shared" ca="1" si="31"/>
        <v>NA</v>
      </c>
      <c r="BY18" s="12" t="str">
        <f t="shared" ca="1" si="32"/>
        <v>NA</v>
      </c>
      <c r="BZ18" s="12" t="str">
        <f t="shared" ca="1" si="33"/>
        <v>NA</v>
      </c>
      <c r="CA18" s="5"/>
    </row>
    <row r="19" spans="1:79" ht="12.75" customHeight="1" x14ac:dyDescent="0.15">
      <c r="A19" s="4">
        <v>1060</v>
      </c>
      <c r="B19" s="5" t="s">
        <v>79</v>
      </c>
      <c r="C19" s="5" t="s">
        <v>79</v>
      </c>
      <c r="D19" s="6" t="s">
        <v>177</v>
      </c>
      <c r="E19" s="7">
        <v>589045</v>
      </c>
      <c r="F19" s="6" t="s">
        <v>178</v>
      </c>
      <c r="G19" s="8"/>
      <c r="H19" s="8"/>
      <c r="I19" s="8"/>
      <c r="J19" s="8"/>
      <c r="K19" s="8"/>
      <c r="L19" s="8" t="s">
        <v>82</v>
      </c>
      <c r="M19" s="7">
        <v>1018</v>
      </c>
      <c r="N19" s="7">
        <v>1021</v>
      </c>
      <c r="O19" s="13">
        <v>32566</v>
      </c>
      <c r="P19" s="10">
        <f t="shared" ca="1" si="0"/>
        <v>13.180555555555555</v>
      </c>
      <c r="Q19" s="5">
        <f t="shared" ca="1" si="1"/>
        <v>158</v>
      </c>
      <c r="R19" s="5">
        <f t="shared" ca="1" si="2"/>
        <v>4812</v>
      </c>
      <c r="S19" s="7">
        <f t="shared" ca="1" si="3"/>
        <v>1989</v>
      </c>
      <c r="T19" s="7">
        <f t="shared" ca="1" si="4"/>
        <v>2</v>
      </c>
      <c r="U19" s="7">
        <f t="shared" ca="1" si="5"/>
        <v>27</v>
      </c>
      <c r="V19" s="6" t="s">
        <v>179</v>
      </c>
      <c r="W19" s="14" t="s">
        <v>96</v>
      </c>
      <c r="X19" s="15"/>
      <c r="Y19" s="5">
        <f t="shared" ca="1" si="6"/>
        <v>1</v>
      </c>
      <c r="Z19" s="6"/>
      <c r="AA19" s="12" t="str">
        <f t="shared" ca="1" si="7"/>
        <v>NA</v>
      </c>
      <c r="AB19" s="12" t="str">
        <f t="shared" ca="1" si="8"/>
        <v>NA</v>
      </c>
      <c r="AC19" s="12" t="str">
        <f t="shared" ca="1" si="9"/>
        <v>NA</v>
      </c>
      <c r="AD19" s="6"/>
      <c r="AE19" s="5"/>
      <c r="AF19" s="6"/>
      <c r="AG19" s="11">
        <v>37378</v>
      </c>
      <c r="AH19" s="12">
        <f t="shared" ca="1" si="10"/>
        <v>2002</v>
      </c>
      <c r="AI19" s="12">
        <f t="shared" ca="1" si="11"/>
        <v>5</v>
      </c>
      <c r="AJ19" s="12">
        <f t="shared" ca="1" si="12"/>
        <v>2</v>
      </c>
      <c r="AK19" s="8" t="s">
        <v>180</v>
      </c>
      <c r="AL19" s="8"/>
      <c r="AM19" s="5"/>
      <c r="AN19" s="5"/>
      <c r="AO19" s="11">
        <v>37288</v>
      </c>
      <c r="AP19" s="12">
        <f t="shared" ca="1" si="13"/>
        <v>2002</v>
      </c>
      <c r="AQ19" s="12">
        <f t="shared" ca="1" si="14"/>
        <v>2</v>
      </c>
      <c r="AR19" s="12">
        <f t="shared" ca="1" si="15"/>
        <v>1</v>
      </c>
      <c r="AS19" s="8" t="s">
        <v>181</v>
      </c>
      <c r="AT19" s="8"/>
      <c r="AU19" s="5"/>
      <c r="AV19" s="12" t="str">
        <f t="shared" ca="1" si="16"/>
        <v>NA</v>
      </c>
      <c r="AW19" s="12" t="str">
        <f t="shared" ca="1" si="17"/>
        <v>NA</v>
      </c>
      <c r="AX19" s="12" t="str">
        <f t="shared" ca="1" si="18"/>
        <v>NA</v>
      </c>
      <c r="AY19" s="5"/>
      <c r="AZ19" s="5"/>
      <c r="BA19" s="6"/>
      <c r="BB19" s="12" t="str">
        <f t="shared" ca="1" si="19"/>
        <v>NA</v>
      </c>
      <c r="BC19" s="12" t="str">
        <f t="shared" ca="1" si="20"/>
        <v>NA</v>
      </c>
      <c r="BD19" s="12" t="str">
        <f t="shared" ca="1" si="21"/>
        <v>NA</v>
      </c>
      <c r="BE19" s="5"/>
      <c r="BF19" s="5"/>
      <c r="BG19" s="5"/>
      <c r="BH19" s="12" t="str">
        <f t="shared" ca="1" si="22"/>
        <v>NA</v>
      </c>
      <c r="BI19" s="12" t="str">
        <f t="shared" ca="1" si="23"/>
        <v>NA</v>
      </c>
      <c r="BJ19" s="12" t="str">
        <f t="shared" ca="1" si="24"/>
        <v>NA</v>
      </c>
      <c r="BK19" s="5"/>
      <c r="BL19" s="5"/>
      <c r="BM19" s="12" t="str">
        <f t="shared" ca="1" si="25"/>
        <v>NA</v>
      </c>
      <c r="BN19" s="12" t="str">
        <f t="shared" ca="1" si="26"/>
        <v>NA</v>
      </c>
      <c r="BO19" s="12" t="str">
        <f t="shared" ca="1" si="27"/>
        <v>NA</v>
      </c>
      <c r="BP19" s="5"/>
      <c r="BQ19" s="5"/>
      <c r="BR19" s="5"/>
      <c r="BS19" s="12" t="str">
        <f t="shared" ca="1" si="28"/>
        <v>NA</v>
      </c>
      <c r="BT19" s="12" t="str">
        <f t="shared" ca="1" si="29"/>
        <v>NA</v>
      </c>
      <c r="BU19" s="12" t="str">
        <f t="shared" ca="1" si="30"/>
        <v>NA</v>
      </c>
      <c r="BV19" s="5"/>
      <c r="BW19" s="5"/>
      <c r="BX19" s="12" t="str">
        <f t="shared" ca="1" si="31"/>
        <v>NA</v>
      </c>
      <c r="BY19" s="12" t="str">
        <f t="shared" ca="1" si="32"/>
        <v>NA</v>
      </c>
      <c r="BZ19" s="12" t="str">
        <f t="shared" ca="1" si="33"/>
        <v>NA</v>
      </c>
      <c r="CA19" s="5"/>
    </row>
    <row r="20" spans="1:79" ht="12.75" customHeight="1" x14ac:dyDescent="0.15">
      <c r="A20" s="4">
        <v>1061</v>
      </c>
      <c r="B20" s="5" t="s">
        <v>79</v>
      </c>
      <c r="C20" s="5" t="s">
        <v>79</v>
      </c>
      <c r="D20" s="6" t="s">
        <v>182</v>
      </c>
      <c r="E20" s="7">
        <v>589046</v>
      </c>
      <c r="F20" s="6" t="s">
        <v>183</v>
      </c>
      <c r="G20" s="8"/>
      <c r="H20" s="8"/>
      <c r="I20" s="8"/>
      <c r="J20" s="8"/>
      <c r="K20" s="8"/>
      <c r="L20" s="8" t="s">
        <v>82</v>
      </c>
      <c r="M20" s="7">
        <v>1018</v>
      </c>
      <c r="N20" s="7">
        <v>1021</v>
      </c>
      <c r="O20" s="13">
        <v>32566</v>
      </c>
      <c r="P20" s="10">
        <f t="shared" ca="1" si="0"/>
        <v>13.755555555555556</v>
      </c>
      <c r="Q20" s="5">
        <f t="shared" ca="1" si="1"/>
        <v>165</v>
      </c>
      <c r="R20" s="5">
        <f t="shared" ca="1" si="2"/>
        <v>5023</v>
      </c>
      <c r="S20" s="7">
        <f t="shared" ca="1" si="3"/>
        <v>1989</v>
      </c>
      <c r="T20" s="7">
        <f t="shared" ca="1" si="4"/>
        <v>2</v>
      </c>
      <c r="U20" s="7">
        <f t="shared" ca="1" si="5"/>
        <v>27</v>
      </c>
      <c r="V20" s="6" t="s">
        <v>184</v>
      </c>
      <c r="W20" s="14" t="s">
        <v>96</v>
      </c>
      <c r="X20" s="15"/>
      <c r="Y20" s="5">
        <f t="shared" ca="1" si="6"/>
        <v>0</v>
      </c>
      <c r="Z20" s="6"/>
      <c r="AA20" s="12" t="str">
        <f t="shared" ca="1" si="7"/>
        <v>NA</v>
      </c>
      <c r="AB20" s="12" t="str">
        <f t="shared" ca="1" si="8"/>
        <v>NA</v>
      </c>
      <c r="AC20" s="12" t="str">
        <f t="shared" ca="1" si="9"/>
        <v>NA</v>
      </c>
      <c r="AD20" s="6"/>
      <c r="AE20" s="5"/>
      <c r="AF20" s="6"/>
      <c r="AG20" s="11">
        <v>37589</v>
      </c>
      <c r="AH20" s="12">
        <f t="shared" ca="1" si="10"/>
        <v>2002</v>
      </c>
      <c r="AI20" s="12">
        <f t="shared" ca="1" si="11"/>
        <v>11</v>
      </c>
      <c r="AJ20" s="12">
        <f t="shared" ca="1" si="12"/>
        <v>29</v>
      </c>
      <c r="AK20" s="8" t="s">
        <v>185</v>
      </c>
      <c r="AL20" s="8"/>
      <c r="AM20" s="5"/>
      <c r="AN20" s="5"/>
      <c r="AO20" s="5"/>
      <c r="AP20" s="12" t="str">
        <f t="shared" ca="1" si="13"/>
        <v>NA</v>
      </c>
      <c r="AQ20" s="12" t="str">
        <f t="shared" ca="1" si="14"/>
        <v>NA</v>
      </c>
      <c r="AR20" s="12" t="str">
        <f t="shared" ca="1" si="15"/>
        <v>NA</v>
      </c>
      <c r="AS20" s="5"/>
      <c r="AT20" s="5"/>
      <c r="AU20" s="5"/>
      <c r="AV20" s="12" t="str">
        <f t="shared" ca="1" si="16"/>
        <v>NA</v>
      </c>
      <c r="AW20" s="12" t="str">
        <f t="shared" ca="1" si="17"/>
        <v>NA</v>
      </c>
      <c r="AX20" s="12" t="str">
        <f t="shared" ca="1" si="18"/>
        <v>NA</v>
      </c>
      <c r="AY20" s="5"/>
      <c r="AZ20" s="5"/>
      <c r="BA20" s="6"/>
      <c r="BB20" s="12" t="str">
        <f t="shared" ca="1" si="19"/>
        <v>NA</v>
      </c>
      <c r="BC20" s="12" t="str">
        <f t="shared" ca="1" si="20"/>
        <v>NA</v>
      </c>
      <c r="BD20" s="12" t="str">
        <f t="shared" ca="1" si="21"/>
        <v>NA</v>
      </c>
      <c r="BE20" s="5"/>
      <c r="BF20" s="5"/>
      <c r="BG20" s="5"/>
      <c r="BH20" s="12" t="str">
        <f t="shared" ca="1" si="22"/>
        <v>NA</v>
      </c>
      <c r="BI20" s="12" t="str">
        <f t="shared" ca="1" si="23"/>
        <v>NA</v>
      </c>
      <c r="BJ20" s="12" t="str">
        <f t="shared" ca="1" si="24"/>
        <v>NA</v>
      </c>
      <c r="BK20" s="5"/>
      <c r="BL20" s="5"/>
      <c r="BM20" s="12" t="str">
        <f t="shared" ca="1" si="25"/>
        <v>NA</v>
      </c>
      <c r="BN20" s="12" t="str">
        <f t="shared" ca="1" si="26"/>
        <v>NA</v>
      </c>
      <c r="BO20" s="12" t="str">
        <f t="shared" ca="1" si="27"/>
        <v>NA</v>
      </c>
      <c r="BP20" s="5"/>
      <c r="BQ20" s="5"/>
      <c r="BR20" s="5"/>
      <c r="BS20" s="12" t="str">
        <f t="shared" ca="1" si="28"/>
        <v>NA</v>
      </c>
      <c r="BT20" s="12" t="str">
        <f t="shared" ca="1" si="29"/>
        <v>NA</v>
      </c>
      <c r="BU20" s="12" t="str">
        <f t="shared" ca="1" si="30"/>
        <v>NA</v>
      </c>
      <c r="BV20" s="5"/>
      <c r="BW20" s="5"/>
      <c r="BX20" s="12" t="str">
        <f t="shared" ca="1" si="31"/>
        <v>NA</v>
      </c>
      <c r="BY20" s="12" t="str">
        <f t="shared" ca="1" si="32"/>
        <v>NA</v>
      </c>
      <c r="BZ20" s="12" t="str">
        <f t="shared" ca="1" si="33"/>
        <v>NA</v>
      </c>
      <c r="CA20" s="5"/>
    </row>
    <row r="21" spans="1:79" ht="12.75" customHeight="1" x14ac:dyDescent="0.15">
      <c r="A21" s="4">
        <v>1062</v>
      </c>
      <c r="B21" s="5" t="s">
        <v>79</v>
      </c>
      <c r="C21" s="5" t="s">
        <v>79</v>
      </c>
      <c r="D21" s="6" t="s">
        <v>186</v>
      </c>
      <c r="E21" s="7">
        <v>189127</v>
      </c>
      <c r="F21" s="6" t="s">
        <v>187</v>
      </c>
      <c r="G21" s="8"/>
      <c r="H21" s="8"/>
      <c r="I21" s="8"/>
      <c r="J21" s="8"/>
      <c r="K21" s="8"/>
      <c r="L21" s="8" t="s">
        <v>82</v>
      </c>
      <c r="M21" s="7">
        <v>1032</v>
      </c>
      <c r="N21" s="7">
        <v>1036</v>
      </c>
      <c r="O21" s="13">
        <v>32735</v>
      </c>
      <c r="P21" s="10">
        <f t="shared" ca="1" si="0"/>
        <v>0</v>
      </c>
      <c r="Q21" s="5">
        <f t="shared" ca="1" si="1"/>
        <v>0</v>
      </c>
      <c r="R21" s="5">
        <f t="shared" ca="1" si="2"/>
        <v>0</v>
      </c>
      <c r="S21" s="7">
        <f t="shared" ca="1" si="3"/>
        <v>1989</v>
      </c>
      <c r="T21" s="7">
        <f t="shared" ca="1" si="4"/>
        <v>8</v>
      </c>
      <c r="U21" s="7">
        <f t="shared" ca="1" si="5"/>
        <v>15</v>
      </c>
      <c r="V21" s="6" t="s">
        <v>188</v>
      </c>
      <c r="W21" s="14" t="s">
        <v>96</v>
      </c>
      <c r="X21" s="15"/>
      <c r="Y21" s="5">
        <f t="shared" ca="1" si="6"/>
        <v>0</v>
      </c>
      <c r="Z21" s="6"/>
      <c r="AA21" s="12" t="str">
        <f t="shared" ca="1" si="7"/>
        <v>NA</v>
      </c>
      <c r="AB21" s="12" t="str">
        <f t="shared" ca="1" si="8"/>
        <v>NA</v>
      </c>
      <c r="AC21" s="12" t="str">
        <f t="shared" ca="1" si="9"/>
        <v>NA</v>
      </c>
      <c r="AD21" s="6"/>
      <c r="AE21" s="5"/>
      <c r="AF21" s="6"/>
      <c r="AG21" s="11">
        <v>32735</v>
      </c>
      <c r="AH21" s="12">
        <f t="shared" ca="1" si="10"/>
        <v>1989</v>
      </c>
      <c r="AI21" s="12">
        <f t="shared" ca="1" si="11"/>
        <v>8</v>
      </c>
      <c r="AJ21" s="12">
        <f t="shared" ca="1" si="12"/>
        <v>15</v>
      </c>
      <c r="AK21" s="8" t="s">
        <v>189</v>
      </c>
      <c r="AL21" s="8"/>
      <c r="AM21" s="5"/>
      <c r="AN21" s="5"/>
      <c r="AO21" s="5"/>
      <c r="AP21" s="12" t="str">
        <f t="shared" ca="1" si="13"/>
        <v>NA</v>
      </c>
      <c r="AQ21" s="12" t="str">
        <f t="shared" ca="1" si="14"/>
        <v>NA</v>
      </c>
      <c r="AR21" s="12" t="str">
        <f t="shared" ca="1" si="15"/>
        <v>NA</v>
      </c>
      <c r="AS21" s="5"/>
      <c r="AT21" s="5"/>
      <c r="AU21" s="5"/>
      <c r="AV21" s="12" t="str">
        <f t="shared" ca="1" si="16"/>
        <v>NA</v>
      </c>
      <c r="AW21" s="12" t="str">
        <f t="shared" ca="1" si="17"/>
        <v>NA</v>
      </c>
      <c r="AX21" s="12" t="str">
        <f t="shared" ca="1" si="18"/>
        <v>NA</v>
      </c>
      <c r="AY21" s="5"/>
      <c r="AZ21" s="5"/>
      <c r="BA21" s="6"/>
      <c r="BB21" s="12" t="str">
        <f t="shared" ca="1" si="19"/>
        <v>NA</v>
      </c>
      <c r="BC21" s="12" t="str">
        <f t="shared" ca="1" si="20"/>
        <v>NA</v>
      </c>
      <c r="BD21" s="12" t="str">
        <f t="shared" ca="1" si="21"/>
        <v>NA</v>
      </c>
      <c r="BE21" s="5"/>
      <c r="BF21" s="5"/>
      <c r="BG21" s="5"/>
      <c r="BH21" s="12" t="str">
        <f t="shared" ca="1" si="22"/>
        <v>NA</v>
      </c>
      <c r="BI21" s="12" t="str">
        <f t="shared" ca="1" si="23"/>
        <v>NA</v>
      </c>
      <c r="BJ21" s="12" t="str">
        <f t="shared" ca="1" si="24"/>
        <v>NA</v>
      </c>
      <c r="BK21" s="5"/>
      <c r="BL21" s="5"/>
      <c r="BM21" s="12" t="str">
        <f t="shared" ca="1" si="25"/>
        <v>NA</v>
      </c>
      <c r="BN21" s="12" t="str">
        <f t="shared" ca="1" si="26"/>
        <v>NA</v>
      </c>
      <c r="BO21" s="12" t="str">
        <f t="shared" ca="1" si="27"/>
        <v>NA</v>
      </c>
      <c r="BP21" s="5"/>
      <c r="BQ21" s="5"/>
      <c r="BR21" s="5"/>
      <c r="BS21" s="12" t="str">
        <f t="shared" ca="1" si="28"/>
        <v>NA</v>
      </c>
      <c r="BT21" s="12" t="str">
        <f t="shared" ca="1" si="29"/>
        <v>NA</v>
      </c>
      <c r="BU21" s="12" t="str">
        <f t="shared" ca="1" si="30"/>
        <v>NA</v>
      </c>
      <c r="BV21" s="5"/>
      <c r="BW21" s="5"/>
      <c r="BX21" s="12" t="str">
        <f t="shared" ca="1" si="31"/>
        <v>NA</v>
      </c>
      <c r="BY21" s="12" t="str">
        <f t="shared" ca="1" si="32"/>
        <v>NA</v>
      </c>
      <c r="BZ21" s="12" t="str">
        <f t="shared" ca="1" si="33"/>
        <v>NA</v>
      </c>
      <c r="CA21" s="5"/>
    </row>
    <row r="22" spans="1:79" ht="12.75" customHeight="1" x14ac:dyDescent="0.15">
      <c r="A22" s="4">
        <v>1063</v>
      </c>
      <c r="B22" s="5" t="s">
        <v>79</v>
      </c>
      <c r="C22" s="5" t="s">
        <v>79</v>
      </c>
      <c r="D22" s="6" t="s">
        <v>190</v>
      </c>
      <c r="E22" s="7">
        <v>197012</v>
      </c>
      <c r="F22" s="6" t="s">
        <v>191</v>
      </c>
      <c r="G22" s="8"/>
      <c r="H22" s="8"/>
      <c r="I22" s="8"/>
      <c r="J22" s="8"/>
      <c r="K22" s="8"/>
      <c r="L22" s="8" t="s">
        <v>82</v>
      </c>
      <c r="M22" s="7">
        <v>1041</v>
      </c>
      <c r="N22" s="7">
        <v>1040</v>
      </c>
      <c r="O22" s="13">
        <v>32890</v>
      </c>
      <c r="P22" s="10">
        <f t="shared" ca="1" si="0"/>
        <v>14.247222222222222</v>
      </c>
      <c r="Q22" s="5">
        <f t="shared" ca="1" si="1"/>
        <v>170</v>
      </c>
      <c r="R22" s="5">
        <f t="shared" ca="1" si="2"/>
        <v>5203</v>
      </c>
      <c r="S22" s="7">
        <f t="shared" ca="1" si="3"/>
        <v>1990</v>
      </c>
      <c r="T22" s="7">
        <f t="shared" ca="1" si="4"/>
        <v>1</v>
      </c>
      <c r="U22" s="7">
        <f t="shared" ca="1" si="5"/>
        <v>17</v>
      </c>
      <c r="V22" s="6" t="s">
        <v>192</v>
      </c>
      <c r="W22" s="14" t="s">
        <v>96</v>
      </c>
      <c r="X22" s="15"/>
      <c r="Y22" s="5">
        <f t="shared" ca="1" si="6"/>
        <v>1</v>
      </c>
      <c r="Z22" s="6"/>
      <c r="AA22" s="12" t="str">
        <f t="shared" ca="1" si="7"/>
        <v>NA</v>
      </c>
      <c r="AB22" s="12" t="str">
        <f t="shared" ca="1" si="8"/>
        <v>NA</v>
      </c>
      <c r="AC22" s="12" t="str">
        <f t="shared" ca="1" si="9"/>
        <v>NA</v>
      </c>
      <c r="AD22" s="6"/>
      <c r="AE22" s="5"/>
      <c r="AF22" s="6"/>
      <c r="AG22" s="11">
        <v>38093</v>
      </c>
      <c r="AH22" s="12">
        <f t="shared" ca="1" si="10"/>
        <v>2004</v>
      </c>
      <c r="AI22" s="12">
        <f t="shared" ca="1" si="11"/>
        <v>4</v>
      </c>
      <c r="AJ22" s="12">
        <f t="shared" ca="1" si="12"/>
        <v>16</v>
      </c>
      <c r="AK22" s="8" t="s">
        <v>193</v>
      </c>
      <c r="AL22" s="8"/>
      <c r="AM22" s="5"/>
      <c r="AN22" s="5"/>
      <c r="AO22" s="11">
        <v>35481</v>
      </c>
      <c r="AP22" s="12">
        <f t="shared" ca="1" si="13"/>
        <v>1997</v>
      </c>
      <c r="AQ22" s="12">
        <f t="shared" ca="1" si="14"/>
        <v>2</v>
      </c>
      <c r="AR22" s="12">
        <f t="shared" ca="1" si="15"/>
        <v>20</v>
      </c>
      <c r="AS22" s="8" t="s">
        <v>194</v>
      </c>
      <c r="AT22" s="8"/>
      <c r="AU22" s="5"/>
      <c r="AV22" s="12" t="str">
        <f t="shared" ca="1" si="16"/>
        <v>NA</v>
      </c>
      <c r="AW22" s="12" t="str">
        <f t="shared" ca="1" si="17"/>
        <v>NA</v>
      </c>
      <c r="AX22" s="12" t="str">
        <f t="shared" ca="1" si="18"/>
        <v>NA</v>
      </c>
      <c r="AY22" s="5"/>
      <c r="AZ22" s="5"/>
      <c r="BA22" s="6"/>
      <c r="BB22" s="12" t="str">
        <f t="shared" ca="1" si="19"/>
        <v>NA</v>
      </c>
      <c r="BC22" s="12" t="str">
        <f t="shared" ca="1" si="20"/>
        <v>NA</v>
      </c>
      <c r="BD22" s="12" t="str">
        <f t="shared" ca="1" si="21"/>
        <v>NA</v>
      </c>
      <c r="BE22" s="5"/>
      <c r="BF22" s="5"/>
      <c r="BG22" s="5"/>
      <c r="BH22" s="12" t="str">
        <f t="shared" ca="1" si="22"/>
        <v>NA</v>
      </c>
      <c r="BI22" s="12" t="str">
        <f t="shared" ca="1" si="23"/>
        <v>NA</v>
      </c>
      <c r="BJ22" s="12" t="str">
        <f t="shared" ca="1" si="24"/>
        <v>NA</v>
      </c>
      <c r="BK22" s="5"/>
      <c r="BL22" s="5"/>
      <c r="BM22" s="12" t="str">
        <f t="shared" ca="1" si="25"/>
        <v>NA</v>
      </c>
      <c r="BN22" s="12" t="str">
        <f t="shared" ca="1" si="26"/>
        <v>NA</v>
      </c>
      <c r="BO22" s="12" t="str">
        <f t="shared" ca="1" si="27"/>
        <v>NA</v>
      </c>
      <c r="BP22" s="5"/>
      <c r="BQ22" s="5"/>
      <c r="BR22" s="5"/>
      <c r="BS22" s="12" t="str">
        <f t="shared" ca="1" si="28"/>
        <v>NA</v>
      </c>
      <c r="BT22" s="12" t="str">
        <f t="shared" ca="1" si="29"/>
        <v>NA</v>
      </c>
      <c r="BU22" s="12" t="str">
        <f t="shared" ca="1" si="30"/>
        <v>NA</v>
      </c>
      <c r="BV22" s="5"/>
      <c r="BW22" s="5"/>
      <c r="BX22" s="12" t="str">
        <f t="shared" ca="1" si="31"/>
        <v>NA</v>
      </c>
      <c r="BY22" s="12" t="str">
        <f t="shared" ca="1" si="32"/>
        <v>NA</v>
      </c>
      <c r="BZ22" s="12" t="str">
        <f t="shared" ca="1" si="33"/>
        <v>NA</v>
      </c>
      <c r="CA22" s="5"/>
    </row>
    <row r="23" spans="1:79" ht="12.75" customHeight="1" x14ac:dyDescent="0.15">
      <c r="A23" s="4">
        <v>1064</v>
      </c>
      <c r="B23" s="5" t="s">
        <v>79</v>
      </c>
      <c r="C23" s="5" t="s">
        <v>79</v>
      </c>
      <c r="D23" s="6" t="s">
        <v>195</v>
      </c>
      <c r="E23" s="7">
        <v>910257</v>
      </c>
      <c r="F23" s="6" t="s">
        <v>196</v>
      </c>
      <c r="G23" s="8"/>
      <c r="H23" s="8"/>
      <c r="I23" s="8"/>
      <c r="J23" s="8"/>
      <c r="K23" s="8"/>
      <c r="L23" s="8" t="s">
        <v>82</v>
      </c>
      <c r="M23" s="7">
        <v>1041</v>
      </c>
      <c r="N23" s="7">
        <v>1040</v>
      </c>
      <c r="O23" s="13">
        <v>32890</v>
      </c>
      <c r="P23" s="10">
        <f t="shared" ca="1" si="0"/>
        <v>12.872222222222222</v>
      </c>
      <c r="Q23" s="5">
        <f t="shared" ca="1" si="1"/>
        <v>154</v>
      </c>
      <c r="R23" s="5">
        <f t="shared" ca="1" si="2"/>
        <v>4701</v>
      </c>
      <c r="S23" s="7">
        <f t="shared" ca="1" si="3"/>
        <v>1990</v>
      </c>
      <c r="T23" s="7">
        <f t="shared" ca="1" si="4"/>
        <v>1</v>
      </c>
      <c r="U23" s="7">
        <f t="shared" ca="1" si="5"/>
        <v>17</v>
      </c>
      <c r="V23" s="6" t="s">
        <v>197</v>
      </c>
      <c r="W23" s="14" t="s">
        <v>96</v>
      </c>
      <c r="X23" s="15"/>
      <c r="Y23" s="5">
        <f t="shared" ca="1" si="6"/>
        <v>1</v>
      </c>
      <c r="Z23" s="6"/>
      <c r="AA23" s="12" t="str">
        <f t="shared" ca="1" si="7"/>
        <v>NA</v>
      </c>
      <c r="AB23" s="12" t="str">
        <f t="shared" ca="1" si="8"/>
        <v>NA</v>
      </c>
      <c r="AC23" s="12" t="str">
        <f t="shared" ca="1" si="9"/>
        <v>NA</v>
      </c>
      <c r="AD23" s="6"/>
      <c r="AE23" s="5"/>
      <c r="AF23" s="6"/>
      <c r="AG23" s="11">
        <v>37591</v>
      </c>
      <c r="AH23" s="12">
        <f t="shared" ca="1" si="10"/>
        <v>2002</v>
      </c>
      <c r="AI23" s="12">
        <f t="shared" ca="1" si="11"/>
        <v>12</v>
      </c>
      <c r="AJ23" s="12">
        <f t="shared" ca="1" si="12"/>
        <v>1</v>
      </c>
      <c r="AK23" s="8" t="s">
        <v>198</v>
      </c>
      <c r="AL23" s="8"/>
      <c r="AM23" s="5"/>
      <c r="AN23" s="5"/>
      <c r="AO23" s="11">
        <v>33402</v>
      </c>
      <c r="AP23" s="12">
        <f t="shared" ca="1" si="13"/>
        <v>1991</v>
      </c>
      <c r="AQ23" s="12">
        <f t="shared" ca="1" si="14"/>
        <v>6</v>
      </c>
      <c r="AR23" s="12">
        <f t="shared" ca="1" si="15"/>
        <v>13</v>
      </c>
      <c r="AS23" s="8" t="s">
        <v>199</v>
      </c>
      <c r="AT23" s="8"/>
      <c r="AU23" s="5"/>
      <c r="AV23" s="12" t="str">
        <f t="shared" ca="1" si="16"/>
        <v>NA</v>
      </c>
      <c r="AW23" s="12" t="str">
        <f t="shared" ca="1" si="17"/>
        <v>NA</v>
      </c>
      <c r="AX23" s="12" t="str">
        <f t="shared" ca="1" si="18"/>
        <v>NA</v>
      </c>
      <c r="AY23" s="5"/>
      <c r="AZ23" s="5"/>
      <c r="BA23" s="6"/>
      <c r="BB23" s="12" t="str">
        <f t="shared" ca="1" si="19"/>
        <v>NA</v>
      </c>
      <c r="BC23" s="12" t="str">
        <f t="shared" ca="1" si="20"/>
        <v>NA</v>
      </c>
      <c r="BD23" s="12" t="str">
        <f t="shared" ca="1" si="21"/>
        <v>NA</v>
      </c>
      <c r="BE23" s="5"/>
      <c r="BF23" s="5"/>
      <c r="BG23" s="5"/>
      <c r="BH23" s="12" t="str">
        <f t="shared" ca="1" si="22"/>
        <v>NA</v>
      </c>
      <c r="BI23" s="12" t="str">
        <f t="shared" ca="1" si="23"/>
        <v>NA</v>
      </c>
      <c r="BJ23" s="12" t="str">
        <f t="shared" ca="1" si="24"/>
        <v>NA</v>
      </c>
      <c r="BK23" s="5"/>
      <c r="BL23" s="5"/>
      <c r="BM23" s="12" t="str">
        <f t="shared" ca="1" si="25"/>
        <v>NA</v>
      </c>
      <c r="BN23" s="12" t="str">
        <f t="shared" ca="1" si="26"/>
        <v>NA</v>
      </c>
      <c r="BO23" s="12" t="str">
        <f t="shared" ca="1" si="27"/>
        <v>NA</v>
      </c>
      <c r="BP23" s="5"/>
      <c r="BQ23" s="5"/>
      <c r="BR23" s="5"/>
      <c r="BS23" s="12" t="str">
        <f t="shared" ca="1" si="28"/>
        <v>NA</v>
      </c>
      <c r="BT23" s="12" t="str">
        <f t="shared" ca="1" si="29"/>
        <v>NA</v>
      </c>
      <c r="BU23" s="12" t="str">
        <f t="shared" ca="1" si="30"/>
        <v>NA</v>
      </c>
      <c r="BV23" s="5"/>
      <c r="BW23" s="5"/>
      <c r="BX23" s="12" t="str">
        <f t="shared" ca="1" si="31"/>
        <v>NA</v>
      </c>
      <c r="BY23" s="12" t="str">
        <f t="shared" ca="1" si="32"/>
        <v>NA</v>
      </c>
      <c r="BZ23" s="12" t="str">
        <f t="shared" ca="1" si="33"/>
        <v>NA</v>
      </c>
      <c r="CA23" s="5"/>
    </row>
    <row r="24" spans="1:79" ht="12.75" customHeight="1" x14ac:dyDescent="0.15">
      <c r="A24" s="4">
        <v>1065</v>
      </c>
      <c r="B24" s="5" t="s">
        <v>79</v>
      </c>
      <c r="C24" s="5" t="s">
        <v>79</v>
      </c>
      <c r="D24" s="6" t="s">
        <v>200</v>
      </c>
      <c r="E24" s="6" t="s">
        <v>201</v>
      </c>
      <c r="F24" s="6" t="s">
        <v>202</v>
      </c>
      <c r="G24" s="8"/>
      <c r="H24" s="8"/>
      <c r="I24" s="8"/>
      <c r="J24" s="8"/>
      <c r="K24" s="8"/>
      <c r="L24" s="8" t="s">
        <v>82</v>
      </c>
      <c r="M24" s="7">
        <v>1016</v>
      </c>
      <c r="N24" s="7">
        <v>1019</v>
      </c>
      <c r="O24" s="13">
        <v>32956</v>
      </c>
      <c r="P24" s="10">
        <f t="shared" ca="1" si="0"/>
        <v>18.894444444444446</v>
      </c>
      <c r="Q24" s="5">
        <f t="shared" ca="1" si="1"/>
        <v>226</v>
      </c>
      <c r="R24" s="5">
        <f t="shared" ca="1" si="2"/>
        <v>6904</v>
      </c>
      <c r="S24" s="7">
        <f t="shared" ca="1" si="3"/>
        <v>1990</v>
      </c>
      <c r="T24" s="7">
        <f t="shared" ca="1" si="4"/>
        <v>3</v>
      </c>
      <c r="U24" s="7">
        <f t="shared" ca="1" si="5"/>
        <v>24</v>
      </c>
      <c r="V24" s="6" t="s">
        <v>203</v>
      </c>
      <c r="W24" s="14" t="s">
        <v>96</v>
      </c>
      <c r="X24" s="15"/>
      <c r="Y24" s="5">
        <f t="shared" ca="1" si="6"/>
        <v>1</v>
      </c>
      <c r="Z24" s="6"/>
      <c r="AA24" s="12" t="str">
        <f t="shared" ca="1" si="7"/>
        <v>NA</v>
      </c>
      <c r="AB24" s="12" t="str">
        <f t="shared" ca="1" si="8"/>
        <v>NA</v>
      </c>
      <c r="AC24" s="12" t="str">
        <f t="shared" ca="1" si="9"/>
        <v>NA</v>
      </c>
      <c r="AD24" s="6"/>
      <c r="AE24" s="5"/>
      <c r="AF24" s="6"/>
      <c r="AG24" s="11">
        <v>39860</v>
      </c>
      <c r="AH24" s="12">
        <f t="shared" ca="1" si="10"/>
        <v>2009</v>
      </c>
      <c r="AI24" s="12">
        <f t="shared" ca="1" si="11"/>
        <v>2</v>
      </c>
      <c r="AJ24" s="12">
        <f t="shared" ca="1" si="12"/>
        <v>16</v>
      </c>
      <c r="AK24" s="8" t="s">
        <v>204</v>
      </c>
      <c r="AL24" s="8"/>
      <c r="AM24" s="5"/>
      <c r="AN24" s="5"/>
      <c r="AO24" s="11">
        <v>37456</v>
      </c>
      <c r="AP24" s="12">
        <f t="shared" ca="1" si="13"/>
        <v>2002</v>
      </c>
      <c r="AQ24" s="12">
        <f t="shared" ca="1" si="14"/>
        <v>7</v>
      </c>
      <c r="AR24" s="12">
        <f t="shared" ca="1" si="15"/>
        <v>19</v>
      </c>
      <c r="AS24" s="8" t="s">
        <v>205</v>
      </c>
      <c r="AT24" s="8"/>
      <c r="AU24" s="5"/>
      <c r="AV24" s="12" t="str">
        <f t="shared" ca="1" si="16"/>
        <v>NA</v>
      </c>
      <c r="AW24" s="12" t="str">
        <f t="shared" ca="1" si="17"/>
        <v>NA</v>
      </c>
      <c r="AX24" s="12" t="str">
        <f t="shared" ca="1" si="18"/>
        <v>NA</v>
      </c>
      <c r="AY24" s="5"/>
      <c r="AZ24" s="5"/>
      <c r="BA24" s="6"/>
      <c r="BB24" s="12" t="str">
        <f t="shared" ca="1" si="19"/>
        <v>NA</v>
      </c>
      <c r="BC24" s="12" t="str">
        <f t="shared" ca="1" si="20"/>
        <v>NA</v>
      </c>
      <c r="BD24" s="12" t="str">
        <f t="shared" ca="1" si="21"/>
        <v>NA</v>
      </c>
      <c r="BE24" s="5"/>
      <c r="BF24" s="5"/>
      <c r="BG24" s="5"/>
      <c r="BH24" s="12" t="str">
        <f t="shared" ca="1" si="22"/>
        <v>NA</v>
      </c>
      <c r="BI24" s="12" t="str">
        <f t="shared" ca="1" si="23"/>
        <v>NA</v>
      </c>
      <c r="BJ24" s="12" t="str">
        <f t="shared" ca="1" si="24"/>
        <v>NA</v>
      </c>
      <c r="BK24" s="5"/>
      <c r="BL24" s="5"/>
      <c r="BM24" s="12" t="str">
        <f t="shared" ca="1" si="25"/>
        <v>NA</v>
      </c>
      <c r="BN24" s="12" t="str">
        <f t="shared" ca="1" si="26"/>
        <v>NA</v>
      </c>
      <c r="BO24" s="12" t="str">
        <f t="shared" ca="1" si="27"/>
        <v>NA</v>
      </c>
      <c r="BP24" s="5"/>
      <c r="BQ24" s="5"/>
      <c r="BR24" s="5"/>
      <c r="BS24" s="12" t="str">
        <f t="shared" ca="1" si="28"/>
        <v>NA</v>
      </c>
      <c r="BT24" s="12" t="str">
        <f t="shared" ca="1" si="29"/>
        <v>NA</v>
      </c>
      <c r="BU24" s="12" t="str">
        <f t="shared" ca="1" si="30"/>
        <v>NA</v>
      </c>
      <c r="BV24" s="5"/>
      <c r="BW24" s="5"/>
      <c r="BX24" s="12" t="str">
        <f t="shared" ca="1" si="31"/>
        <v>NA</v>
      </c>
      <c r="BY24" s="12" t="str">
        <f t="shared" ca="1" si="32"/>
        <v>NA</v>
      </c>
      <c r="BZ24" s="12" t="str">
        <f t="shared" ca="1" si="33"/>
        <v>NA</v>
      </c>
      <c r="CA24" s="5"/>
    </row>
    <row r="25" spans="1:79" ht="12.75" customHeight="1" x14ac:dyDescent="0.15">
      <c r="A25" s="4">
        <v>1066</v>
      </c>
      <c r="B25" s="5" t="s">
        <v>79</v>
      </c>
      <c r="C25" s="5" t="s">
        <v>79</v>
      </c>
      <c r="D25" s="6" t="s">
        <v>206</v>
      </c>
      <c r="E25" s="7">
        <v>970144</v>
      </c>
      <c r="F25" s="6" t="s">
        <v>207</v>
      </c>
      <c r="G25" s="8"/>
      <c r="H25" s="8"/>
      <c r="I25" s="8"/>
      <c r="J25" s="8"/>
      <c r="K25" s="8"/>
      <c r="L25" s="8" t="s">
        <v>82</v>
      </c>
      <c r="M25" s="7">
        <v>1045</v>
      </c>
      <c r="N25" s="7">
        <v>1046</v>
      </c>
      <c r="O25" s="13">
        <v>32969</v>
      </c>
      <c r="P25" s="10">
        <f t="shared" ca="1" si="0"/>
        <v>8.0500000000000007</v>
      </c>
      <c r="Q25" s="5">
        <f t="shared" ca="1" si="1"/>
        <v>96</v>
      </c>
      <c r="R25" s="5">
        <f t="shared" ca="1" si="2"/>
        <v>2940</v>
      </c>
      <c r="S25" s="7">
        <f t="shared" ca="1" si="3"/>
        <v>1990</v>
      </c>
      <c r="T25" s="7">
        <f t="shared" ca="1" si="4"/>
        <v>4</v>
      </c>
      <c r="U25" s="7">
        <f t="shared" ca="1" si="5"/>
        <v>6</v>
      </c>
      <c r="V25" s="6" t="s">
        <v>208</v>
      </c>
      <c r="W25" s="14" t="s">
        <v>96</v>
      </c>
      <c r="X25" s="15"/>
      <c r="Y25" s="5">
        <f t="shared" ca="1" si="6"/>
        <v>1</v>
      </c>
      <c r="Z25" s="6"/>
      <c r="AA25" s="12" t="str">
        <f t="shared" ca="1" si="7"/>
        <v>NA</v>
      </c>
      <c r="AB25" s="12" t="str">
        <f t="shared" ca="1" si="8"/>
        <v>NA</v>
      </c>
      <c r="AC25" s="12" t="str">
        <f t="shared" ca="1" si="9"/>
        <v>NA</v>
      </c>
      <c r="AD25" s="6"/>
      <c r="AE25" s="5"/>
      <c r="AF25" s="6"/>
      <c r="AG25" s="11">
        <v>35909</v>
      </c>
      <c r="AH25" s="12">
        <f t="shared" ca="1" si="10"/>
        <v>1998</v>
      </c>
      <c r="AI25" s="12">
        <f t="shared" ca="1" si="11"/>
        <v>4</v>
      </c>
      <c r="AJ25" s="12">
        <f t="shared" ca="1" si="12"/>
        <v>24</v>
      </c>
      <c r="AK25" s="8" t="s">
        <v>209</v>
      </c>
      <c r="AL25" s="8"/>
      <c r="AM25" s="5"/>
      <c r="AN25" s="5"/>
      <c r="AO25" s="11">
        <v>35573</v>
      </c>
      <c r="AP25" s="12">
        <f t="shared" ca="1" si="13"/>
        <v>1997</v>
      </c>
      <c r="AQ25" s="12">
        <f t="shared" ca="1" si="14"/>
        <v>5</v>
      </c>
      <c r="AR25" s="12">
        <f t="shared" ca="1" si="15"/>
        <v>23</v>
      </c>
      <c r="AS25" s="8" t="s">
        <v>210</v>
      </c>
      <c r="AT25" s="8"/>
      <c r="AU25" s="5"/>
      <c r="AV25" s="12" t="str">
        <f t="shared" ca="1" si="16"/>
        <v>NA</v>
      </c>
      <c r="AW25" s="12" t="str">
        <f t="shared" ca="1" si="17"/>
        <v>NA</v>
      </c>
      <c r="AX25" s="12" t="str">
        <f t="shared" ca="1" si="18"/>
        <v>NA</v>
      </c>
      <c r="AY25" s="5"/>
      <c r="AZ25" s="5"/>
      <c r="BA25" s="6"/>
      <c r="BB25" s="12" t="str">
        <f t="shared" ca="1" si="19"/>
        <v>NA</v>
      </c>
      <c r="BC25" s="12" t="str">
        <f t="shared" ca="1" si="20"/>
        <v>NA</v>
      </c>
      <c r="BD25" s="12" t="str">
        <f t="shared" ca="1" si="21"/>
        <v>NA</v>
      </c>
      <c r="BE25" s="5"/>
      <c r="BF25" s="5"/>
      <c r="BG25" s="5"/>
      <c r="BH25" s="12" t="str">
        <f t="shared" ca="1" si="22"/>
        <v>NA</v>
      </c>
      <c r="BI25" s="12" t="str">
        <f t="shared" ca="1" si="23"/>
        <v>NA</v>
      </c>
      <c r="BJ25" s="12" t="str">
        <f t="shared" ca="1" si="24"/>
        <v>NA</v>
      </c>
      <c r="BK25" s="5"/>
      <c r="BL25" s="5"/>
      <c r="BM25" s="12" t="str">
        <f t="shared" ca="1" si="25"/>
        <v>NA</v>
      </c>
      <c r="BN25" s="12" t="str">
        <f t="shared" ca="1" si="26"/>
        <v>NA</v>
      </c>
      <c r="BO25" s="12" t="str">
        <f t="shared" ca="1" si="27"/>
        <v>NA</v>
      </c>
      <c r="BP25" s="5"/>
      <c r="BQ25" s="5"/>
      <c r="BR25" s="5"/>
      <c r="BS25" s="12" t="str">
        <f t="shared" ca="1" si="28"/>
        <v>NA</v>
      </c>
      <c r="BT25" s="12" t="str">
        <f t="shared" ca="1" si="29"/>
        <v>NA</v>
      </c>
      <c r="BU25" s="12" t="str">
        <f t="shared" ca="1" si="30"/>
        <v>NA</v>
      </c>
      <c r="BV25" s="5"/>
      <c r="BW25" s="5"/>
      <c r="BX25" s="12" t="str">
        <f t="shared" ca="1" si="31"/>
        <v>NA</v>
      </c>
      <c r="BY25" s="12" t="str">
        <f t="shared" ca="1" si="32"/>
        <v>NA</v>
      </c>
      <c r="BZ25" s="12" t="str">
        <f t="shared" ca="1" si="33"/>
        <v>NA</v>
      </c>
      <c r="CA25" s="5"/>
    </row>
    <row r="26" spans="1:79" ht="12.75" customHeight="1" x14ac:dyDescent="0.15">
      <c r="A26" s="4">
        <v>1067</v>
      </c>
      <c r="B26" s="5" t="s">
        <v>79</v>
      </c>
      <c r="C26" s="5" t="s">
        <v>79</v>
      </c>
      <c r="D26" s="6" t="s">
        <v>211</v>
      </c>
      <c r="E26" s="7">
        <v>12238</v>
      </c>
      <c r="F26" s="6" t="s">
        <v>212</v>
      </c>
      <c r="G26" s="8"/>
      <c r="H26" s="8"/>
      <c r="I26" s="8"/>
      <c r="J26" s="8"/>
      <c r="K26" s="8"/>
      <c r="L26" s="8" t="s">
        <v>82</v>
      </c>
      <c r="M26" s="7">
        <v>1045</v>
      </c>
      <c r="N26" s="7">
        <v>1046</v>
      </c>
      <c r="O26" s="13">
        <v>32969</v>
      </c>
      <c r="P26" s="10">
        <f t="shared" ca="1" si="0"/>
        <v>9.7027777777777775</v>
      </c>
      <c r="Q26" s="5">
        <f t="shared" ca="1" si="1"/>
        <v>116</v>
      </c>
      <c r="R26" s="5">
        <f t="shared" ca="1" si="2"/>
        <v>3544</v>
      </c>
      <c r="S26" s="7">
        <f t="shared" ca="1" si="3"/>
        <v>1990</v>
      </c>
      <c r="T26" s="7">
        <f t="shared" ca="1" si="4"/>
        <v>4</v>
      </c>
      <c r="U26" s="7">
        <f t="shared" ca="1" si="5"/>
        <v>6</v>
      </c>
      <c r="V26" s="6" t="s">
        <v>213</v>
      </c>
      <c r="W26" s="14" t="s">
        <v>96</v>
      </c>
      <c r="X26" s="15"/>
      <c r="Y26" s="5">
        <f t="shared" ca="1" si="6"/>
        <v>0</v>
      </c>
      <c r="Z26" s="6"/>
      <c r="AA26" s="12" t="str">
        <f t="shared" ca="1" si="7"/>
        <v>NA</v>
      </c>
      <c r="AB26" s="12" t="str">
        <f t="shared" ca="1" si="8"/>
        <v>NA</v>
      </c>
      <c r="AC26" s="12" t="str">
        <f t="shared" ca="1" si="9"/>
        <v>NA</v>
      </c>
      <c r="AD26" s="6"/>
      <c r="AE26" s="5"/>
      <c r="AF26" s="6"/>
      <c r="AG26" s="11">
        <v>36513</v>
      </c>
      <c r="AH26" s="12">
        <f t="shared" ca="1" si="10"/>
        <v>1999</v>
      </c>
      <c r="AI26" s="12">
        <f t="shared" ca="1" si="11"/>
        <v>12</v>
      </c>
      <c r="AJ26" s="12">
        <f t="shared" ca="1" si="12"/>
        <v>19</v>
      </c>
      <c r="AK26" s="8" t="s">
        <v>214</v>
      </c>
      <c r="AL26" s="8"/>
      <c r="AM26" s="5"/>
      <c r="AN26" s="5"/>
      <c r="AO26" s="5"/>
      <c r="AP26" s="12" t="str">
        <f t="shared" ca="1" si="13"/>
        <v>NA</v>
      </c>
      <c r="AQ26" s="12" t="str">
        <f t="shared" ca="1" si="14"/>
        <v>NA</v>
      </c>
      <c r="AR26" s="12" t="str">
        <f t="shared" ca="1" si="15"/>
        <v>NA</v>
      </c>
      <c r="AS26" s="5"/>
      <c r="AT26" s="5"/>
      <c r="AU26" s="5"/>
      <c r="AV26" s="12" t="str">
        <f t="shared" ca="1" si="16"/>
        <v>NA</v>
      </c>
      <c r="AW26" s="12" t="str">
        <f t="shared" ca="1" si="17"/>
        <v>NA</v>
      </c>
      <c r="AX26" s="12" t="str">
        <f t="shared" ca="1" si="18"/>
        <v>NA</v>
      </c>
      <c r="AY26" s="5"/>
      <c r="AZ26" s="5"/>
      <c r="BA26" s="6"/>
      <c r="BB26" s="12" t="str">
        <f t="shared" ca="1" si="19"/>
        <v>NA</v>
      </c>
      <c r="BC26" s="12" t="str">
        <f t="shared" ca="1" si="20"/>
        <v>NA</v>
      </c>
      <c r="BD26" s="12" t="str">
        <f t="shared" ca="1" si="21"/>
        <v>NA</v>
      </c>
      <c r="BE26" s="5"/>
      <c r="BF26" s="5"/>
      <c r="BG26" s="5"/>
      <c r="BH26" s="12" t="str">
        <f t="shared" ca="1" si="22"/>
        <v>NA</v>
      </c>
      <c r="BI26" s="12" t="str">
        <f t="shared" ca="1" si="23"/>
        <v>NA</v>
      </c>
      <c r="BJ26" s="12" t="str">
        <f t="shared" ca="1" si="24"/>
        <v>NA</v>
      </c>
      <c r="BK26" s="5"/>
      <c r="BL26" s="5"/>
      <c r="BM26" s="12" t="str">
        <f t="shared" ca="1" si="25"/>
        <v>NA</v>
      </c>
      <c r="BN26" s="12" t="str">
        <f t="shared" ca="1" si="26"/>
        <v>NA</v>
      </c>
      <c r="BO26" s="12" t="str">
        <f t="shared" ca="1" si="27"/>
        <v>NA</v>
      </c>
      <c r="BP26" s="5"/>
      <c r="BQ26" s="5"/>
      <c r="BR26" s="5"/>
      <c r="BS26" s="12" t="str">
        <f t="shared" ca="1" si="28"/>
        <v>NA</v>
      </c>
      <c r="BT26" s="12" t="str">
        <f t="shared" ca="1" si="29"/>
        <v>NA</v>
      </c>
      <c r="BU26" s="12" t="str">
        <f t="shared" ca="1" si="30"/>
        <v>NA</v>
      </c>
      <c r="BV26" s="5"/>
      <c r="BW26" s="5"/>
      <c r="BX26" s="12" t="str">
        <f t="shared" ca="1" si="31"/>
        <v>NA</v>
      </c>
      <c r="BY26" s="12" t="str">
        <f t="shared" ca="1" si="32"/>
        <v>NA</v>
      </c>
      <c r="BZ26" s="12" t="str">
        <f t="shared" ca="1" si="33"/>
        <v>NA</v>
      </c>
      <c r="CA26" s="5"/>
    </row>
    <row r="27" spans="1:79" ht="12.75" customHeight="1" x14ac:dyDescent="0.15">
      <c r="A27" s="4">
        <v>1068</v>
      </c>
      <c r="B27" s="5" t="s">
        <v>79</v>
      </c>
      <c r="C27" s="5" t="s">
        <v>79</v>
      </c>
      <c r="D27" s="6" t="s">
        <v>215</v>
      </c>
      <c r="E27" s="7">
        <v>1075</v>
      </c>
      <c r="F27" s="6" t="s">
        <v>216</v>
      </c>
      <c r="G27" s="8"/>
      <c r="H27" s="8"/>
      <c r="I27" s="8"/>
      <c r="J27" s="8"/>
      <c r="K27" s="8"/>
      <c r="L27" s="8" t="s">
        <v>82</v>
      </c>
      <c r="M27" s="7">
        <v>1051</v>
      </c>
      <c r="N27" s="7">
        <v>1054</v>
      </c>
      <c r="O27" s="13">
        <v>33039</v>
      </c>
      <c r="P27" s="10">
        <f t="shared" ca="1" si="0"/>
        <v>12.491666666666667</v>
      </c>
      <c r="Q27" s="5">
        <f t="shared" ca="1" si="1"/>
        <v>149</v>
      </c>
      <c r="R27" s="5">
        <f t="shared" ca="1" si="2"/>
        <v>4563</v>
      </c>
      <c r="S27" s="7">
        <f t="shared" ca="1" si="3"/>
        <v>1990</v>
      </c>
      <c r="T27" s="7">
        <f t="shared" ca="1" si="4"/>
        <v>6</v>
      </c>
      <c r="U27" s="7">
        <f t="shared" ca="1" si="5"/>
        <v>15</v>
      </c>
      <c r="V27" s="6" t="s">
        <v>217</v>
      </c>
      <c r="W27" s="14" t="s">
        <v>96</v>
      </c>
      <c r="X27" s="15"/>
      <c r="Y27" s="5">
        <f t="shared" ca="1" si="6"/>
        <v>3</v>
      </c>
      <c r="Z27" s="6"/>
      <c r="AA27" s="12" t="str">
        <f t="shared" ca="1" si="7"/>
        <v>NA</v>
      </c>
      <c r="AB27" s="12" t="str">
        <f t="shared" ca="1" si="8"/>
        <v>NA</v>
      </c>
      <c r="AC27" s="12" t="str">
        <f t="shared" ca="1" si="9"/>
        <v>NA</v>
      </c>
      <c r="AD27" s="6"/>
      <c r="AE27" s="5"/>
      <c r="AF27" s="6"/>
      <c r="AG27" s="11">
        <v>37602</v>
      </c>
      <c r="AH27" s="12">
        <f t="shared" ca="1" si="10"/>
        <v>2002</v>
      </c>
      <c r="AI27" s="12">
        <f t="shared" ca="1" si="11"/>
        <v>12</v>
      </c>
      <c r="AJ27" s="12">
        <f t="shared" ca="1" si="12"/>
        <v>12</v>
      </c>
      <c r="AK27" s="8" t="s">
        <v>218</v>
      </c>
      <c r="AL27" s="8"/>
      <c r="AM27" s="5"/>
      <c r="AN27" s="5"/>
      <c r="AO27" s="11">
        <v>34283</v>
      </c>
      <c r="AP27" s="12">
        <f t="shared" ca="1" si="13"/>
        <v>1993</v>
      </c>
      <c r="AQ27" s="12">
        <f t="shared" ca="1" si="14"/>
        <v>11</v>
      </c>
      <c r="AR27" s="12">
        <f t="shared" ca="1" si="15"/>
        <v>10</v>
      </c>
      <c r="AS27" s="8" t="s">
        <v>219</v>
      </c>
      <c r="AT27" s="8"/>
      <c r="AU27" s="11">
        <v>34480</v>
      </c>
      <c r="AV27" s="12">
        <f t="shared" ca="1" si="16"/>
        <v>1994</v>
      </c>
      <c r="AW27" s="12">
        <f t="shared" ca="1" si="17"/>
        <v>5</v>
      </c>
      <c r="AX27" s="12">
        <f t="shared" ca="1" si="18"/>
        <v>26</v>
      </c>
      <c r="AY27" s="8" t="s">
        <v>220</v>
      </c>
      <c r="AZ27" s="8"/>
      <c r="BA27" s="11">
        <v>34787</v>
      </c>
      <c r="BB27" s="12">
        <f t="shared" ca="1" si="19"/>
        <v>1995</v>
      </c>
      <c r="BC27" s="12">
        <f t="shared" ca="1" si="20"/>
        <v>3</v>
      </c>
      <c r="BD27" s="12">
        <f t="shared" ca="1" si="21"/>
        <v>29</v>
      </c>
      <c r="BE27" s="8" t="s">
        <v>221</v>
      </c>
      <c r="BF27" s="8"/>
      <c r="BG27" s="5"/>
      <c r="BH27" s="12" t="str">
        <f t="shared" ca="1" si="22"/>
        <v>NA</v>
      </c>
      <c r="BI27" s="12" t="str">
        <f t="shared" ca="1" si="23"/>
        <v>NA</v>
      </c>
      <c r="BJ27" s="12" t="str">
        <f t="shared" ca="1" si="24"/>
        <v>NA</v>
      </c>
      <c r="BK27" s="5"/>
      <c r="BL27" s="5"/>
      <c r="BM27" s="12" t="str">
        <f t="shared" ca="1" si="25"/>
        <v>NA</v>
      </c>
      <c r="BN27" s="12" t="str">
        <f t="shared" ca="1" si="26"/>
        <v>NA</v>
      </c>
      <c r="BO27" s="12" t="str">
        <f t="shared" ca="1" si="27"/>
        <v>NA</v>
      </c>
      <c r="BP27" s="5"/>
      <c r="BQ27" s="5"/>
      <c r="BR27" s="5"/>
      <c r="BS27" s="12" t="str">
        <f t="shared" ca="1" si="28"/>
        <v>NA</v>
      </c>
      <c r="BT27" s="12" t="str">
        <f t="shared" ca="1" si="29"/>
        <v>NA</v>
      </c>
      <c r="BU27" s="12" t="str">
        <f t="shared" ca="1" si="30"/>
        <v>NA</v>
      </c>
      <c r="BV27" s="5"/>
      <c r="BW27" s="5"/>
      <c r="BX27" s="12" t="str">
        <f t="shared" ca="1" si="31"/>
        <v>NA</v>
      </c>
      <c r="BY27" s="12" t="str">
        <f t="shared" ca="1" si="32"/>
        <v>NA</v>
      </c>
      <c r="BZ27" s="12" t="str">
        <f t="shared" ca="1" si="33"/>
        <v>NA</v>
      </c>
      <c r="CA27" s="5"/>
    </row>
    <row r="28" spans="1:79" ht="12.75" customHeight="1" x14ac:dyDescent="0.15">
      <c r="A28" s="4">
        <v>1069</v>
      </c>
      <c r="B28" s="5" t="s">
        <v>79</v>
      </c>
      <c r="C28" s="5" t="s">
        <v>79</v>
      </c>
      <c r="D28" s="6" t="s">
        <v>222</v>
      </c>
      <c r="E28" s="7">
        <v>900152</v>
      </c>
      <c r="F28" s="6" t="s">
        <v>223</v>
      </c>
      <c r="G28" s="8"/>
      <c r="H28" s="8"/>
      <c r="I28" s="8"/>
      <c r="J28" s="8"/>
      <c r="K28" s="8"/>
      <c r="L28" s="8" t="s">
        <v>82</v>
      </c>
      <c r="M28" s="7">
        <v>1051</v>
      </c>
      <c r="N28" s="7">
        <v>1054</v>
      </c>
      <c r="O28" s="13">
        <v>33039</v>
      </c>
      <c r="P28" s="10">
        <f t="shared" ca="1" si="0"/>
        <v>2.7777777777777779E-3</v>
      </c>
      <c r="Q28" s="5">
        <f t="shared" ca="1" si="1"/>
        <v>0</v>
      </c>
      <c r="R28" s="5">
        <f t="shared" ca="1" si="2"/>
        <v>1</v>
      </c>
      <c r="S28" s="7">
        <f t="shared" ca="1" si="3"/>
        <v>1990</v>
      </c>
      <c r="T28" s="7">
        <f t="shared" ca="1" si="4"/>
        <v>6</v>
      </c>
      <c r="U28" s="7">
        <f t="shared" ca="1" si="5"/>
        <v>15</v>
      </c>
      <c r="V28" s="6" t="s">
        <v>224</v>
      </c>
      <c r="W28" s="14" t="s">
        <v>96</v>
      </c>
      <c r="X28" s="15"/>
      <c r="Y28" s="5">
        <f t="shared" ca="1" si="6"/>
        <v>0</v>
      </c>
      <c r="Z28" s="6"/>
      <c r="AA28" s="12" t="str">
        <f t="shared" ca="1" si="7"/>
        <v>NA</v>
      </c>
      <c r="AB28" s="12" t="str">
        <f t="shared" ca="1" si="8"/>
        <v>NA</v>
      </c>
      <c r="AC28" s="12" t="str">
        <f t="shared" ca="1" si="9"/>
        <v>NA</v>
      </c>
      <c r="AD28" s="6"/>
      <c r="AE28" s="5"/>
      <c r="AF28" s="6"/>
      <c r="AG28" s="11">
        <v>33040</v>
      </c>
      <c r="AH28" s="12">
        <f t="shared" ca="1" si="10"/>
        <v>1990</v>
      </c>
      <c r="AI28" s="12">
        <f t="shared" ca="1" si="11"/>
        <v>6</v>
      </c>
      <c r="AJ28" s="12">
        <f t="shared" ca="1" si="12"/>
        <v>16</v>
      </c>
      <c r="AK28" s="8" t="s">
        <v>225</v>
      </c>
      <c r="AL28" s="8"/>
      <c r="AM28" s="5"/>
      <c r="AN28" s="5"/>
      <c r="AO28" s="5"/>
      <c r="AP28" s="12" t="str">
        <f t="shared" ca="1" si="13"/>
        <v>NA</v>
      </c>
      <c r="AQ28" s="12" t="str">
        <f t="shared" ca="1" si="14"/>
        <v>NA</v>
      </c>
      <c r="AR28" s="12" t="str">
        <f t="shared" ca="1" si="15"/>
        <v>NA</v>
      </c>
      <c r="AS28" s="5"/>
      <c r="AT28" s="5"/>
      <c r="AU28" s="5"/>
      <c r="AV28" s="12" t="str">
        <f t="shared" ca="1" si="16"/>
        <v>NA</v>
      </c>
      <c r="AW28" s="12" t="str">
        <f t="shared" ca="1" si="17"/>
        <v>NA</v>
      </c>
      <c r="AX28" s="12" t="str">
        <f t="shared" ca="1" si="18"/>
        <v>NA</v>
      </c>
      <c r="AY28" s="5"/>
      <c r="AZ28" s="5"/>
      <c r="BA28" s="6"/>
      <c r="BB28" s="12" t="str">
        <f t="shared" ca="1" si="19"/>
        <v>NA</v>
      </c>
      <c r="BC28" s="12" t="str">
        <f t="shared" ca="1" si="20"/>
        <v>NA</v>
      </c>
      <c r="BD28" s="12" t="str">
        <f t="shared" ca="1" si="21"/>
        <v>NA</v>
      </c>
      <c r="BE28" s="5"/>
      <c r="BF28" s="5"/>
      <c r="BG28" s="5"/>
      <c r="BH28" s="12" t="str">
        <f t="shared" ca="1" si="22"/>
        <v>NA</v>
      </c>
      <c r="BI28" s="12" t="str">
        <f t="shared" ca="1" si="23"/>
        <v>NA</v>
      </c>
      <c r="BJ28" s="12" t="str">
        <f t="shared" ca="1" si="24"/>
        <v>NA</v>
      </c>
      <c r="BK28" s="5"/>
      <c r="BL28" s="5"/>
      <c r="BM28" s="12" t="str">
        <f t="shared" ca="1" si="25"/>
        <v>NA</v>
      </c>
      <c r="BN28" s="12" t="str">
        <f t="shared" ca="1" si="26"/>
        <v>NA</v>
      </c>
      <c r="BO28" s="12" t="str">
        <f t="shared" ca="1" si="27"/>
        <v>NA</v>
      </c>
      <c r="BP28" s="5"/>
      <c r="BQ28" s="5"/>
      <c r="BR28" s="5"/>
      <c r="BS28" s="12" t="str">
        <f t="shared" ca="1" si="28"/>
        <v>NA</v>
      </c>
      <c r="BT28" s="12" t="str">
        <f t="shared" ca="1" si="29"/>
        <v>NA</v>
      </c>
      <c r="BU28" s="12" t="str">
        <f t="shared" ca="1" si="30"/>
        <v>NA</v>
      </c>
      <c r="BV28" s="5"/>
      <c r="BW28" s="5"/>
      <c r="BX28" s="12" t="str">
        <f t="shared" ca="1" si="31"/>
        <v>NA</v>
      </c>
      <c r="BY28" s="12" t="str">
        <f t="shared" ca="1" si="32"/>
        <v>NA</v>
      </c>
      <c r="BZ28" s="12" t="str">
        <f t="shared" ca="1" si="33"/>
        <v>NA</v>
      </c>
      <c r="CA28" s="5"/>
    </row>
    <row r="29" spans="1:79" ht="12.75" customHeight="1" x14ac:dyDescent="0.15">
      <c r="A29" s="4">
        <v>1070</v>
      </c>
      <c r="B29" s="5" t="s">
        <v>79</v>
      </c>
      <c r="C29" s="5" t="s">
        <v>79</v>
      </c>
      <c r="D29" s="6" t="s">
        <v>226</v>
      </c>
      <c r="E29" s="7">
        <v>1975</v>
      </c>
      <c r="F29" s="6" t="s">
        <v>227</v>
      </c>
      <c r="G29" s="8"/>
      <c r="H29" s="8"/>
      <c r="I29" s="8"/>
      <c r="J29" s="8"/>
      <c r="K29" s="8"/>
      <c r="L29" s="8" t="s">
        <v>82</v>
      </c>
      <c r="M29" s="7">
        <v>1023</v>
      </c>
      <c r="N29" s="7">
        <v>1010</v>
      </c>
      <c r="O29" s="13">
        <v>33054</v>
      </c>
      <c r="P29" s="10">
        <f t="shared" ca="1" si="0"/>
        <v>1.3888888888888888E-2</v>
      </c>
      <c r="Q29" s="5">
        <f t="shared" ca="1" si="1"/>
        <v>0</v>
      </c>
      <c r="R29" s="5">
        <f t="shared" ca="1" si="2"/>
        <v>5</v>
      </c>
      <c r="S29" s="7">
        <f t="shared" ca="1" si="3"/>
        <v>1990</v>
      </c>
      <c r="T29" s="7">
        <f t="shared" ca="1" si="4"/>
        <v>6</v>
      </c>
      <c r="U29" s="7">
        <f t="shared" ca="1" si="5"/>
        <v>30</v>
      </c>
      <c r="V29" s="6" t="s">
        <v>228</v>
      </c>
      <c r="W29" s="14" t="s">
        <v>96</v>
      </c>
      <c r="X29" s="15"/>
      <c r="Y29" s="5">
        <f t="shared" ca="1" si="6"/>
        <v>0</v>
      </c>
      <c r="Z29" s="6"/>
      <c r="AA29" s="12" t="str">
        <f t="shared" ca="1" si="7"/>
        <v>NA</v>
      </c>
      <c r="AB29" s="12" t="str">
        <f t="shared" ca="1" si="8"/>
        <v>NA</v>
      </c>
      <c r="AC29" s="12" t="str">
        <f t="shared" ca="1" si="9"/>
        <v>NA</v>
      </c>
      <c r="AD29" s="6"/>
      <c r="AE29" s="5"/>
      <c r="AF29" s="6"/>
      <c r="AG29" s="11">
        <v>33059</v>
      </c>
      <c r="AH29" s="12">
        <f t="shared" ca="1" si="10"/>
        <v>1990</v>
      </c>
      <c r="AI29" s="12">
        <f t="shared" ca="1" si="11"/>
        <v>7</v>
      </c>
      <c r="AJ29" s="12">
        <f t="shared" ca="1" si="12"/>
        <v>5</v>
      </c>
      <c r="AK29" s="8" t="s">
        <v>229</v>
      </c>
      <c r="AL29" s="8"/>
      <c r="AM29" s="5"/>
      <c r="AN29" s="5"/>
      <c r="AO29" s="5"/>
      <c r="AP29" s="12" t="str">
        <f t="shared" ca="1" si="13"/>
        <v>NA</v>
      </c>
      <c r="AQ29" s="12" t="str">
        <f t="shared" ca="1" si="14"/>
        <v>NA</v>
      </c>
      <c r="AR29" s="12" t="str">
        <f t="shared" ca="1" si="15"/>
        <v>NA</v>
      </c>
      <c r="AS29" s="5"/>
      <c r="AT29" s="5"/>
      <c r="AU29" s="5"/>
      <c r="AV29" s="12" t="str">
        <f t="shared" ca="1" si="16"/>
        <v>NA</v>
      </c>
      <c r="AW29" s="12" t="str">
        <f t="shared" ca="1" si="17"/>
        <v>NA</v>
      </c>
      <c r="AX29" s="12" t="str">
        <f t="shared" ca="1" si="18"/>
        <v>NA</v>
      </c>
      <c r="AY29" s="5"/>
      <c r="AZ29" s="5"/>
      <c r="BA29" s="6"/>
      <c r="BB29" s="12" t="str">
        <f t="shared" ca="1" si="19"/>
        <v>NA</v>
      </c>
      <c r="BC29" s="12" t="str">
        <f t="shared" ca="1" si="20"/>
        <v>NA</v>
      </c>
      <c r="BD29" s="12" t="str">
        <f t="shared" ca="1" si="21"/>
        <v>NA</v>
      </c>
      <c r="BE29" s="5"/>
      <c r="BF29" s="5"/>
      <c r="BG29" s="5"/>
      <c r="BH29" s="12" t="str">
        <f t="shared" ca="1" si="22"/>
        <v>NA</v>
      </c>
      <c r="BI29" s="12" t="str">
        <f t="shared" ca="1" si="23"/>
        <v>NA</v>
      </c>
      <c r="BJ29" s="12" t="str">
        <f t="shared" ca="1" si="24"/>
        <v>NA</v>
      </c>
      <c r="BK29" s="5"/>
      <c r="BL29" s="5"/>
      <c r="BM29" s="12" t="str">
        <f t="shared" ca="1" si="25"/>
        <v>NA</v>
      </c>
      <c r="BN29" s="12" t="str">
        <f t="shared" ca="1" si="26"/>
        <v>NA</v>
      </c>
      <c r="BO29" s="12" t="str">
        <f t="shared" ca="1" si="27"/>
        <v>NA</v>
      </c>
      <c r="BP29" s="5"/>
      <c r="BQ29" s="5"/>
      <c r="BR29" s="5"/>
      <c r="BS29" s="12" t="str">
        <f t="shared" ca="1" si="28"/>
        <v>NA</v>
      </c>
      <c r="BT29" s="12" t="str">
        <f t="shared" ca="1" si="29"/>
        <v>NA</v>
      </c>
      <c r="BU29" s="12" t="str">
        <f t="shared" ca="1" si="30"/>
        <v>NA</v>
      </c>
      <c r="BV29" s="5"/>
      <c r="BW29" s="5"/>
      <c r="BX29" s="12" t="str">
        <f t="shared" ca="1" si="31"/>
        <v>NA</v>
      </c>
      <c r="BY29" s="12" t="str">
        <f t="shared" ca="1" si="32"/>
        <v>NA</v>
      </c>
      <c r="BZ29" s="12" t="str">
        <f t="shared" ca="1" si="33"/>
        <v>NA</v>
      </c>
      <c r="CA29" s="5"/>
    </row>
    <row r="30" spans="1:79" ht="12.75" customHeight="1" x14ac:dyDescent="0.15">
      <c r="A30" s="4">
        <v>1071</v>
      </c>
      <c r="B30" s="5" t="s">
        <v>79</v>
      </c>
      <c r="C30" s="5" t="s">
        <v>79</v>
      </c>
      <c r="D30" s="6" t="s">
        <v>230</v>
      </c>
      <c r="E30" s="7">
        <v>1979</v>
      </c>
      <c r="F30" s="6" t="s">
        <v>231</v>
      </c>
      <c r="G30" s="8"/>
      <c r="H30" s="8"/>
      <c r="I30" s="8"/>
      <c r="J30" s="8"/>
      <c r="K30" s="8"/>
      <c r="L30" s="8" t="s">
        <v>82</v>
      </c>
      <c r="M30" s="7">
        <v>1022</v>
      </c>
      <c r="N30" s="7">
        <v>1008</v>
      </c>
      <c r="O30" s="13">
        <v>33102</v>
      </c>
      <c r="P30" s="10">
        <f t="shared" ca="1" si="0"/>
        <v>2.7777777777777779E-3</v>
      </c>
      <c r="Q30" s="5">
        <f t="shared" ca="1" si="1"/>
        <v>0</v>
      </c>
      <c r="R30" s="5">
        <f t="shared" ca="1" si="2"/>
        <v>1</v>
      </c>
      <c r="S30" s="7">
        <f t="shared" ca="1" si="3"/>
        <v>1990</v>
      </c>
      <c r="T30" s="7">
        <f t="shared" ca="1" si="4"/>
        <v>8</v>
      </c>
      <c r="U30" s="7">
        <f t="shared" ca="1" si="5"/>
        <v>17</v>
      </c>
      <c r="V30" s="6" t="s">
        <v>232</v>
      </c>
      <c r="W30" s="14" t="s">
        <v>96</v>
      </c>
      <c r="X30" s="15"/>
      <c r="Y30" s="5">
        <f t="shared" ca="1" si="6"/>
        <v>0</v>
      </c>
      <c r="Z30" s="6"/>
      <c r="AA30" s="12" t="str">
        <f t="shared" ca="1" si="7"/>
        <v>NA</v>
      </c>
      <c r="AB30" s="12" t="str">
        <f t="shared" ca="1" si="8"/>
        <v>NA</v>
      </c>
      <c r="AC30" s="12" t="str">
        <f t="shared" ca="1" si="9"/>
        <v>NA</v>
      </c>
      <c r="AD30" s="6"/>
      <c r="AE30" s="5"/>
      <c r="AF30" s="6"/>
      <c r="AG30" s="11">
        <v>33103</v>
      </c>
      <c r="AH30" s="12">
        <f t="shared" ca="1" si="10"/>
        <v>1990</v>
      </c>
      <c r="AI30" s="12">
        <f t="shared" ca="1" si="11"/>
        <v>8</v>
      </c>
      <c r="AJ30" s="12">
        <f t="shared" ca="1" si="12"/>
        <v>18</v>
      </c>
      <c r="AK30" s="8" t="s">
        <v>233</v>
      </c>
      <c r="AL30" s="8"/>
      <c r="AM30" s="5"/>
      <c r="AN30" s="5"/>
      <c r="AO30" s="5"/>
      <c r="AP30" s="12" t="str">
        <f t="shared" ca="1" si="13"/>
        <v>NA</v>
      </c>
      <c r="AQ30" s="12" t="str">
        <f t="shared" ca="1" si="14"/>
        <v>NA</v>
      </c>
      <c r="AR30" s="12" t="str">
        <f t="shared" ca="1" si="15"/>
        <v>NA</v>
      </c>
      <c r="AS30" s="5"/>
      <c r="AT30" s="5"/>
      <c r="AU30" s="5"/>
      <c r="AV30" s="12" t="str">
        <f t="shared" ca="1" si="16"/>
        <v>NA</v>
      </c>
      <c r="AW30" s="12" t="str">
        <f t="shared" ca="1" si="17"/>
        <v>NA</v>
      </c>
      <c r="AX30" s="12" t="str">
        <f t="shared" ca="1" si="18"/>
        <v>NA</v>
      </c>
      <c r="AY30" s="5"/>
      <c r="AZ30" s="5"/>
      <c r="BA30" s="6"/>
      <c r="BB30" s="12" t="str">
        <f t="shared" ca="1" si="19"/>
        <v>NA</v>
      </c>
      <c r="BC30" s="12" t="str">
        <f t="shared" ca="1" si="20"/>
        <v>NA</v>
      </c>
      <c r="BD30" s="12" t="str">
        <f t="shared" ca="1" si="21"/>
        <v>NA</v>
      </c>
      <c r="BE30" s="5"/>
      <c r="BF30" s="5"/>
      <c r="BG30" s="5"/>
      <c r="BH30" s="12" t="str">
        <f t="shared" ca="1" si="22"/>
        <v>NA</v>
      </c>
      <c r="BI30" s="12" t="str">
        <f t="shared" ca="1" si="23"/>
        <v>NA</v>
      </c>
      <c r="BJ30" s="12" t="str">
        <f t="shared" ca="1" si="24"/>
        <v>NA</v>
      </c>
      <c r="BK30" s="5"/>
      <c r="BL30" s="5"/>
      <c r="BM30" s="12" t="str">
        <f t="shared" ca="1" si="25"/>
        <v>NA</v>
      </c>
      <c r="BN30" s="12" t="str">
        <f t="shared" ca="1" si="26"/>
        <v>NA</v>
      </c>
      <c r="BO30" s="12" t="str">
        <f t="shared" ca="1" si="27"/>
        <v>NA</v>
      </c>
      <c r="BP30" s="5"/>
      <c r="BQ30" s="5"/>
      <c r="BR30" s="5"/>
      <c r="BS30" s="12" t="str">
        <f t="shared" ca="1" si="28"/>
        <v>NA</v>
      </c>
      <c r="BT30" s="12" t="str">
        <f t="shared" ca="1" si="29"/>
        <v>NA</v>
      </c>
      <c r="BU30" s="12" t="str">
        <f t="shared" ca="1" si="30"/>
        <v>NA</v>
      </c>
      <c r="BV30" s="5"/>
      <c r="BW30" s="5"/>
      <c r="BX30" s="12" t="str">
        <f t="shared" ca="1" si="31"/>
        <v>NA</v>
      </c>
      <c r="BY30" s="12" t="str">
        <f t="shared" ca="1" si="32"/>
        <v>NA</v>
      </c>
      <c r="BZ30" s="12" t="str">
        <f t="shared" ca="1" si="33"/>
        <v>NA</v>
      </c>
      <c r="CA30" s="5"/>
    </row>
    <row r="31" spans="1:79" ht="12.75" customHeight="1" x14ac:dyDescent="0.15">
      <c r="A31" s="4">
        <v>1072</v>
      </c>
      <c r="B31" s="5" t="s">
        <v>79</v>
      </c>
      <c r="C31" s="5" t="s">
        <v>79</v>
      </c>
      <c r="D31" s="6" t="s">
        <v>234</v>
      </c>
      <c r="E31" s="7">
        <v>1072</v>
      </c>
      <c r="F31" s="6" t="s">
        <v>235</v>
      </c>
      <c r="G31" s="8"/>
      <c r="H31" s="8"/>
      <c r="I31" s="8"/>
      <c r="J31" s="8"/>
      <c r="K31" s="8"/>
      <c r="L31" s="8" t="s">
        <v>82</v>
      </c>
      <c r="M31" s="7">
        <v>1023</v>
      </c>
      <c r="N31" s="7">
        <v>1010</v>
      </c>
      <c r="O31" s="13">
        <v>33306</v>
      </c>
      <c r="P31" s="10">
        <f t="shared" ca="1" si="0"/>
        <v>11.494444444444444</v>
      </c>
      <c r="Q31" s="5">
        <f t="shared" ca="1" si="1"/>
        <v>137</v>
      </c>
      <c r="R31" s="5">
        <f t="shared" ca="1" si="2"/>
        <v>4200</v>
      </c>
      <c r="S31" s="7">
        <f t="shared" ca="1" si="3"/>
        <v>1991</v>
      </c>
      <c r="T31" s="7">
        <f t="shared" ca="1" si="4"/>
        <v>3</v>
      </c>
      <c r="U31" s="7">
        <f t="shared" ca="1" si="5"/>
        <v>9</v>
      </c>
      <c r="V31" s="6" t="s">
        <v>236</v>
      </c>
      <c r="W31" s="14" t="s">
        <v>96</v>
      </c>
      <c r="X31" s="15"/>
      <c r="Y31" s="5">
        <f t="shared" ca="1" si="6"/>
        <v>1</v>
      </c>
      <c r="Z31" s="6"/>
      <c r="AA31" s="12" t="str">
        <f t="shared" ca="1" si="7"/>
        <v>NA</v>
      </c>
      <c r="AB31" s="12" t="str">
        <f t="shared" ca="1" si="8"/>
        <v>NA</v>
      </c>
      <c r="AC31" s="12" t="str">
        <f t="shared" ca="1" si="9"/>
        <v>NA</v>
      </c>
      <c r="AD31" s="6"/>
      <c r="AE31" s="5"/>
      <c r="AF31" s="6"/>
      <c r="AG31" s="11">
        <v>37506</v>
      </c>
      <c r="AH31" s="12">
        <f t="shared" ca="1" si="10"/>
        <v>2002</v>
      </c>
      <c r="AI31" s="12">
        <f t="shared" ca="1" si="11"/>
        <v>9</v>
      </c>
      <c r="AJ31" s="12">
        <f t="shared" ca="1" si="12"/>
        <v>7</v>
      </c>
      <c r="AK31" s="8" t="s">
        <v>237</v>
      </c>
      <c r="AL31" s="8"/>
      <c r="AM31" s="5"/>
      <c r="AN31" s="5"/>
      <c r="AO31" s="11">
        <v>34276</v>
      </c>
      <c r="AP31" s="12">
        <f t="shared" ca="1" si="13"/>
        <v>1993</v>
      </c>
      <c r="AQ31" s="12">
        <f t="shared" ca="1" si="14"/>
        <v>11</v>
      </c>
      <c r="AR31" s="12">
        <f t="shared" ca="1" si="15"/>
        <v>3</v>
      </c>
      <c r="AS31" s="8" t="s">
        <v>238</v>
      </c>
      <c r="AT31" s="8"/>
      <c r="AU31" s="5"/>
      <c r="AV31" s="12" t="str">
        <f t="shared" ca="1" si="16"/>
        <v>NA</v>
      </c>
      <c r="AW31" s="12" t="str">
        <f t="shared" ca="1" si="17"/>
        <v>NA</v>
      </c>
      <c r="AX31" s="12" t="str">
        <f t="shared" ca="1" si="18"/>
        <v>NA</v>
      </c>
      <c r="AY31" s="5"/>
      <c r="AZ31" s="5"/>
      <c r="BA31" s="6"/>
      <c r="BB31" s="12" t="str">
        <f t="shared" ca="1" si="19"/>
        <v>NA</v>
      </c>
      <c r="BC31" s="12" t="str">
        <f t="shared" ca="1" si="20"/>
        <v>NA</v>
      </c>
      <c r="BD31" s="12" t="str">
        <f t="shared" ca="1" si="21"/>
        <v>NA</v>
      </c>
      <c r="BE31" s="5"/>
      <c r="BF31" s="5"/>
      <c r="BG31" s="5"/>
      <c r="BH31" s="12" t="str">
        <f t="shared" ca="1" si="22"/>
        <v>NA</v>
      </c>
      <c r="BI31" s="12" t="str">
        <f t="shared" ca="1" si="23"/>
        <v>NA</v>
      </c>
      <c r="BJ31" s="12" t="str">
        <f t="shared" ca="1" si="24"/>
        <v>NA</v>
      </c>
      <c r="BK31" s="5"/>
      <c r="BL31" s="5"/>
      <c r="BM31" s="12" t="str">
        <f t="shared" ca="1" si="25"/>
        <v>NA</v>
      </c>
      <c r="BN31" s="12" t="str">
        <f t="shared" ca="1" si="26"/>
        <v>NA</v>
      </c>
      <c r="BO31" s="12" t="str">
        <f t="shared" ca="1" si="27"/>
        <v>NA</v>
      </c>
      <c r="BP31" s="5"/>
      <c r="BQ31" s="5"/>
      <c r="BR31" s="5"/>
      <c r="BS31" s="12" t="str">
        <f t="shared" ca="1" si="28"/>
        <v>NA</v>
      </c>
      <c r="BT31" s="12" t="str">
        <f t="shared" ca="1" si="29"/>
        <v>NA</v>
      </c>
      <c r="BU31" s="12" t="str">
        <f t="shared" ca="1" si="30"/>
        <v>NA</v>
      </c>
      <c r="BV31" s="5"/>
      <c r="BW31" s="5"/>
      <c r="BX31" s="12" t="str">
        <f t="shared" ca="1" si="31"/>
        <v>NA</v>
      </c>
      <c r="BY31" s="12" t="str">
        <f t="shared" ca="1" si="32"/>
        <v>NA</v>
      </c>
      <c r="BZ31" s="12" t="str">
        <f t="shared" ca="1" si="33"/>
        <v>NA</v>
      </c>
      <c r="CA31" s="5"/>
    </row>
    <row r="32" spans="1:79" ht="12.75" customHeight="1" x14ac:dyDescent="0.15">
      <c r="A32" s="4">
        <v>1073</v>
      </c>
      <c r="B32" s="5" t="s">
        <v>79</v>
      </c>
      <c r="C32" s="5" t="s">
        <v>79</v>
      </c>
      <c r="D32" s="6" t="s">
        <v>239</v>
      </c>
      <c r="E32" s="7">
        <v>1984</v>
      </c>
      <c r="F32" s="6" t="s">
        <v>240</v>
      </c>
      <c r="G32" s="8"/>
      <c r="H32" s="8"/>
      <c r="I32" s="8"/>
      <c r="J32" s="8"/>
      <c r="K32" s="8"/>
      <c r="L32" s="8" t="s">
        <v>82</v>
      </c>
      <c r="M32" s="7">
        <v>1023</v>
      </c>
      <c r="N32" s="7">
        <v>1010</v>
      </c>
      <c r="O32" s="13">
        <v>33306</v>
      </c>
      <c r="P32" s="10">
        <f t="shared" ca="1" si="0"/>
        <v>1.7027777777777777</v>
      </c>
      <c r="Q32" s="5">
        <f t="shared" ca="1" si="1"/>
        <v>20</v>
      </c>
      <c r="R32" s="5">
        <f t="shared" ca="1" si="2"/>
        <v>624</v>
      </c>
      <c r="S32" s="7">
        <f t="shared" ca="1" si="3"/>
        <v>1991</v>
      </c>
      <c r="T32" s="7">
        <f t="shared" ca="1" si="4"/>
        <v>3</v>
      </c>
      <c r="U32" s="7">
        <f t="shared" ca="1" si="5"/>
        <v>9</v>
      </c>
      <c r="V32" s="6" t="s">
        <v>241</v>
      </c>
      <c r="W32" s="14" t="s">
        <v>96</v>
      </c>
      <c r="X32" s="15"/>
      <c r="Y32" s="5">
        <f t="shared" ca="1" si="6"/>
        <v>0</v>
      </c>
      <c r="Z32" s="6"/>
      <c r="AA32" s="12" t="str">
        <f t="shared" ca="1" si="7"/>
        <v>NA</v>
      </c>
      <c r="AB32" s="12" t="str">
        <f t="shared" ca="1" si="8"/>
        <v>NA</v>
      </c>
      <c r="AC32" s="12" t="str">
        <f t="shared" ca="1" si="9"/>
        <v>NA</v>
      </c>
      <c r="AD32" s="6"/>
      <c r="AE32" s="5"/>
      <c r="AF32" s="6"/>
      <c r="AG32" s="11">
        <v>33930</v>
      </c>
      <c r="AH32" s="12">
        <f t="shared" ca="1" si="10"/>
        <v>1992</v>
      </c>
      <c r="AI32" s="12">
        <f t="shared" ca="1" si="11"/>
        <v>11</v>
      </c>
      <c r="AJ32" s="12">
        <f t="shared" ca="1" si="12"/>
        <v>22</v>
      </c>
      <c r="AK32" s="8" t="s">
        <v>242</v>
      </c>
      <c r="AL32" s="8"/>
      <c r="AM32" s="5"/>
      <c r="AN32" s="5"/>
      <c r="AO32" s="5"/>
      <c r="AP32" s="12" t="str">
        <f t="shared" ca="1" si="13"/>
        <v>NA</v>
      </c>
      <c r="AQ32" s="12" t="str">
        <f t="shared" ca="1" si="14"/>
        <v>NA</v>
      </c>
      <c r="AR32" s="12" t="str">
        <f t="shared" ca="1" si="15"/>
        <v>NA</v>
      </c>
      <c r="AS32" s="5"/>
      <c r="AT32" s="5"/>
      <c r="AU32" s="5"/>
      <c r="AV32" s="12" t="str">
        <f t="shared" ca="1" si="16"/>
        <v>NA</v>
      </c>
      <c r="AW32" s="12" t="str">
        <f t="shared" ca="1" si="17"/>
        <v>NA</v>
      </c>
      <c r="AX32" s="12" t="str">
        <f t="shared" ca="1" si="18"/>
        <v>NA</v>
      </c>
      <c r="AY32" s="5"/>
      <c r="AZ32" s="5"/>
      <c r="BA32" s="6"/>
      <c r="BB32" s="12" t="str">
        <f t="shared" ca="1" si="19"/>
        <v>NA</v>
      </c>
      <c r="BC32" s="12" t="str">
        <f t="shared" ca="1" si="20"/>
        <v>NA</v>
      </c>
      <c r="BD32" s="12" t="str">
        <f t="shared" ca="1" si="21"/>
        <v>NA</v>
      </c>
      <c r="BE32" s="5"/>
      <c r="BF32" s="5"/>
      <c r="BG32" s="5"/>
      <c r="BH32" s="12" t="str">
        <f t="shared" ca="1" si="22"/>
        <v>NA</v>
      </c>
      <c r="BI32" s="12" t="str">
        <f t="shared" ca="1" si="23"/>
        <v>NA</v>
      </c>
      <c r="BJ32" s="12" t="str">
        <f t="shared" ca="1" si="24"/>
        <v>NA</v>
      </c>
      <c r="BK32" s="5"/>
      <c r="BL32" s="5"/>
      <c r="BM32" s="12" t="str">
        <f t="shared" ca="1" si="25"/>
        <v>NA</v>
      </c>
      <c r="BN32" s="12" t="str">
        <f t="shared" ca="1" si="26"/>
        <v>NA</v>
      </c>
      <c r="BO32" s="12" t="str">
        <f t="shared" ca="1" si="27"/>
        <v>NA</v>
      </c>
      <c r="BP32" s="5"/>
      <c r="BQ32" s="5"/>
      <c r="BR32" s="5"/>
      <c r="BS32" s="12" t="str">
        <f t="shared" ca="1" si="28"/>
        <v>NA</v>
      </c>
      <c r="BT32" s="12" t="str">
        <f t="shared" ca="1" si="29"/>
        <v>NA</v>
      </c>
      <c r="BU32" s="12" t="str">
        <f t="shared" ca="1" si="30"/>
        <v>NA</v>
      </c>
      <c r="BV32" s="5"/>
      <c r="BW32" s="5"/>
      <c r="BX32" s="12" t="str">
        <f t="shared" ca="1" si="31"/>
        <v>NA</v>
      </c>
      <c r="BY32" s="12" t="str">
        <f t="shared" ca="1" si="32"/>
        <v>NA</v>
      </c>
      <c r="BZ32" s="12" t="str">
        <f t="shared" ca="1" si="33"/>
        <v>NA</v>
      </c>
      <c r="CA32" s="5"/>
    </row>
    <row r="33" spans="1:79" ht="12.75" customHeight="1" x14ac:dyDescent="0.15">
      <c r="A33" s="4">
        <v>1074</v>
      </c>
      <c r="B33" s="5" t="s">
        <v>79</v>
      </c>
      <c r="C33" s="5" t="s">
        <v>79</v>
      </c>
      <c r="D33" s="6" t="s">
        <v>243</v>
      </c>
      <c r="E33" s="7">
        <v>930456</v>
      </c>
      <c r="F33" s="6" t="s">
        <v>244</v>
      </c>
      <c r="G33" s="8"/>
      <c r="H33" s="8"/>
      <c r="I33" s="8"/>
      <c r="J33" s="8"/>
      <c r="K33" s="8"/>
      <c r="L33" s="8" t="s">
        <v>82</v>
      </c>
      <c r="M33" s="7">
        <v>1041</v>
      </c>
      <c r="N33" s="7">
        <v>1040</v>
      </c>
      <c r="O33" s="13">
        <v>33341</v>
      </c>
      <c r="P33" s="10">
        <f t="shared" ca="1" si="0"/>
        <v>2.0916666666666668</v>
      </c>
      <c r="Q33" s="5">
        <f t="shared" ca="1" si="1"/>
        <v>25</v>
      </c>
      <c r="R33" s="5">
        <f t="shared" ca="1" si="2"/>
        <v>764</v>
      </c>
      <c r="S33" s="7">
        <f t="shared" ca="1" si="3"/>
        <v>1991</v>
      </c>
      <c r="T33" s="7">
        <f t="shared" ca="1" si="4"/>
        <v>4</v>
      </c>
      <c r="U33" s="7">
        <f t="shared" ca="1" si="5"/>
        <v>13</v>
      </c>
      <c r="V33" s="6" t="s">
        <v>245</v>
      </c>
      <c r="W33" s="14" t="s">
        <v>96</v>
      </c>
      <c r="X33" s="15"/>
      <c r="Y33" s="5">
        <f t="shared" ca="1" si="6"/>
        <v>1</v>
      </c>
      <c r="Z33" s="6"/>
      <c r="AA33" s="12" t="str">
        <f t="shared" ca="1" si="7"/>
        <v>NA</v>
      </c>
      <c r="AB33" s="12" t="str">
        <f t="shared" ca="1" si="8"/>
        <v>NA</v>
      </c>
      <c r="AC33" s="12" t="str">
        <f t="shared" ca="1" si="9"/>
        <v>NA</v>
      </c>
      <c r="AD33" s="6"/>
      <c r="AE33" s="5"/>
      <c r="AF33" s="6"/>
      <c r="AG33" s="11">
        <v>34105</v>
      </c>
      <c r="AH33" s="12">
        <f t="shared" ca="1" si="10"/>
        <v>1993</v>
      </c>
      <c r="AI33" s="12">
        <f t="shared" ca="1" si="11"/>
        <v>5</v>
      </c>
      <c r="AJ33" s="12">
        <f t="shared" ca="1" si="12"/>
        <v>16</v>
      </c>
      <c r="AK33" s="8" t="s">
        <v>246</v>
      </c>
      <c r="AL33" s="8"/>
      <c r="AM33" s="5"/>
      <c r="AN33" s="5"/>
      <c r="AO33" s="11">
        <v>34087</v>
      </c>
      <c r="AP33" s="12">
        <f t="shared" ca="1" si="13"/>
        <v>1993</v>
      </c>
      <c r="AQ33" s="12">
        <f t="shared" ca="1" si="14"/>
        <v>4</v>
      </c>
      <c r="AR33" s="12">
        <f t="shared" ca="1" si="15"/>
        <v>28</v>
      </c>
      <c r="AS33" s="8" t="s">
        <v>247</v>
      </c>
      <c r="AT33" s="8"/>
      <c r="AU33" s="5"/>
      <c r="AV33" s="12" t="str">
        <f t="shared" ca="1" si="16"/>
        <v>NA</v>
      </c>
      <c r="AW33" s="12" t="str">
        <f t="shared" ca="1" si="17"/>
        <v>NA</v>
      </c>
      <c r="AX33" s="12" t="str">
        <f t="shared" ca="1" si="18"/>
        <v>NA</v>
      </c>
      <c r="AY33" s="5"/>
      <c r="AZ33" s="5"/>
      <c r="BA33" s="6"/>
      <c r="BB33" s="12" t="str">
        <f t="shared" ca="1" si="19"/>
        <v>NA</v>
      </c>
      <c r="BC33" s="12" t="str">
        <f t="shared" ca="1" si="20"/>
        <v>NA</v>
      </c>
      <c r="BD33" s="12" t="str">
        <f t="shared" ca="1" si="21"/>
        <v>NA</v>
      </c>
      <c r="BE33" s="5"/>
      <c r="BF33" s="5"/>
      <c r="BG33" s="5"/>
      <c r="BH33" s="12" t="str">
        <f t="shared" ca="1" si="22"/>
        <v>NA</v>
      </c>
      <c r="BI33" s="12" t="str">
        <f t="shared" ca="1" si="23"/>
        <v>NA</v>
      </c>
      <c r="BJ33" s="12" t="str">
        <f t="shared" ca="1" si="24"/>
        <v>NA</v>
      </c>
      <c r="BK33" s="5"/>
      <c r="BL33" s="5"/>
      <c r="BM33" s="12" t="str">
        <f t="shared" ca="1" si="25"/>
        <v>NA</v>
      </c>
      <c r="BN33" s="12" t="str">
        <f t="shared" ca="1" si="26"/>
        <v>NA</v>
      </c>
      <c r="BO33" s="12" t="str">
        <f t="shared" ca="1" si="27"/>
        <v>NA</v>
      </c>
      <c r="BP33" s="5"/>
      <c r="BQ33" s="5"/>
      <c r="BR33" s="5"/>
      <c r="BS33" s="12" t="str">
        <f t="shared" ca="1" si="28"/>
        <v>NA</v>
      </c>
      <c r="BT33" s="12" t="str">
        <f t="shared" ca="1" si="29"/>
        <v>NA</v>
      </c>
      <c r="BU33" s="12" t="str">
        <f t="shared" ca="1" si="30"/>
        <v>NA</v>
      </c>
      <c r="BV33" s="5"/>
      <c r="BW33" s="5"/>
      <c r="BX33" s="12" t="str">
        <f t="shared" ca="1" si="31"/>
        <v>NA</v>
      </c>
      <c r="BY33" s="12" t="str">
        <f t="shared" ca="1" si="32"/>
        <v>NA</v>
      </c>
      <c r="BZ33" s="12" t="str">
        <f t="shared" ca="1" si="33"/>
        <v>NA</v>
      </c>
      <c r="CA33" s="5"/>
    </row>
    <row r="34" spans="1:79" ht="12.75" customHeight="1" x14ac:dyDescent="0.15">
      <c r="A34" s="4">
        <v>1075</v>
      </c>
      <c r="B34" s="5" t="s">
        <v>79</v>
      </c>
      <c r="C34" s="5" t="s">
        <v>79</v>
      </c>
      <c r="D34" s="6" t="s">
        <v>248</v>
      </c>
      <c r="E34" s="7">
        <v>930457</v>
      </c>
      <c r="F34" s="6" t="s">
        <v>249</v>
      </c>
      <c r="G34" s="8"/>
      <c r="H34" s="8"/>
      <c r="I34" s="8"/>
      <c r="J34" s="8"/>
      <c r="K34" s="8"/>
      <c r="L34" s="8" t="s">
        <v>82</v>
      </c>
      <c r="M34" s="7">
        <v>1041</v>
      </c>
      <c r="N34" s="7">
        <v>1040</v>
      </c>
      <c r="O34" s="13">
        <v>33341</v>
      </c>
      <c r="P34" s="10">
        <f t="shared" ca="1" si="0"/>
        <v>5.3138888888888891</v>
      </c>
      <c r="Q34" s="5">
        <f t="shared" ca="1" si="1"/>
        <v>63</v>
      </c>
      <c r="R34" s="5">
        <f t="shared" ca="1" si="2"/>
        <v>1942</v>
      </c>
      <c r="S34" s="7">
        <f t="shared" ca="1" si="3"/>
        <v>1991</v>
      </c>
      <c r="T34" s="7">
        <f t="shared" ca="1" si="4"/>
        <v>4</v>
      </c>
      <c r="U34" s="7">
        <f t="shared" ca="1" si="5"/>
        <v>13</v>
      </c>
      <c r="V34" s="6" t="s">
        <v>250</v>
      </c>
      <c r="W34" s="14" t="s">
        <v>96</v>
      </c>
      <c r="X34" s="15"/>
      <c r="Y34" s="5">
        <f t="shared" ca="1" si="6"/>
        <v>1</v>
      </c>
      <c r="Z34" s="6"/>
      <c r="AA34" s="12" t="str">
        <f t="shared" ca="1" si="7"/>
        <v>NA</v>
      </c>
      <c r="AB34" s="12" t="str">
        <f t="shared" ca="1" si="8"/>
        <v>NA</v>
      </c>
      <c r="AC34" s="12" t="str">
        <f t="shared" ca="1" si="9"/>
        <v>NA</v>
      </c>
      <c r="AD34" s="6"/>
      <c r="AE34" s="5"/>
      <c r="AF34" s="6"/>
      <c r="AG34" s="11">
        <v>35283</v>
      </c>
      <c r="AH34" s="12">
        <f t="shared" ca="1" si="10"/>
        <v>1996</v>
      </c>
      <c r="AI34" s="12">
        <f t="shared" ca="1" si="11"/>
        <v>8</v>
      </c>
      <c r="AJ34" s="12">
        <f t="shared" ca="1" si="12"/>
        <v>6</v>
      </c>
      <c r="AK34" s="8" t="s">
        <v>251</v>
      </c>
      <c r="AL34" s="8"/>
      <c r="AM34" s="5"/>
      <c r="AN34" s="5"/>
      <c r="AO34" s="11">
        <v>34087</v>
      </c>
      <c r="AP34" s="12">
        <f t="shared" ca="1" si="13"/>
        <v>1993</v>
      </c>
      <c r="AQ34" s="12">
        <f t="shared" ca="1" si="14"/>
        <v>4</v>
      </c>
      <c r="AR34" s="12">
        <f t="shared" ca="1" si="15"/>
        <v>28</v>
      </c>
      <c r="AS34" s="8" t="s">
        <v>252</v>
      </c>
      <c r="AT34" s="8"/>
      <c r="AU34" s="5"/>
      <c r="AV34" s="12" t="str">
        <f t="shared" ca="1" si="16"/>
        <v>NA</v>
      </c>
      <c r="AW34" s="12" t="str">
        <f t="shared" ca="1" si="17"/>
        <v>NA</v>
      </c>
      <c r="AX34" s="12" t="str">
        <f t="shared" ca="1" si="18"/>
        <v>NA</v>
      </c>
      <c r="AY34" s="5"/>
      <c r="AZ34" s="5"/>
      <c r="BA34" s="6"/>
      <c r="BB34" s="12" t="str">
        <f t="shared" ca="1" si="19"/>
        <v>NA</v>
      </c>
      <c r="BC34" s="12" t="str">
        <f t="shared" ca="1" si="20"/>
        <v>NA</v>
      </c>
      <c r="BD34" s="12" t="str">
        <f t="shared" ca="1" si="21"/>
        <v>NA</v>
      </c>
      <c r="BE34" s="5"/>
      <c r="BF34" s="5"/>
      <c r="BG34" s="5"/>
      <c r="BH34" s="12" t="str">
        <f t="shared" ca="1" si="22"/>
        <v>NA</v>
      </c>
      <c r="BI34" s="12" t="str">
        <f t="shared" ca="1" si="23"/>
        <v>NA</v>
      </c>
      <c r="BJ34" s="12" t="str">
        <f t="shared" ca="1" si="24"/>
        <v>NA</v>
      </c>
      <c r="BK34" s="5"/>
      <c r="BL34" s="5"/>
      <c r="BM34" s="12" t="str">
        <f t="shared" ca="1" si="25"/>
        <v>NA</v>
      </c>
      <c r="BN34" s="12" t="str">
        <f t="shared" ca="1" si="26"/>
        <v>NA</v>
      </c>
      <c r="BO34" s="12" t="str">
        <f t="shared" ca="1" si="27"/>
        <v>NA</v>
      </c>
      <c r="BP34" s="5"/>
      <c r="BQ34" s="5"/>
      <c r="BR34" s="5"/>
      <c r="BS34" s="12" t="str">
        <f t="shared" ca="1" si="28"/>
        <v>NA</v>
      </c>
      <c r="BT34" s="12" t="str">
        <f t="shared" ca="1" si="29"/>
        <v>NA</v>
      </c>
      <c r="BU34" s="12" t="str">
        <f t="shared" ca="1" si="30"/>
        <v>NA</v>
      </c>
      <c r="BV34" s="5"/>
      <c r="BW34" s="5"/>
      <c r="BX34" s="12" t="str">
        <f t="shared" ca="1" si="31"/>
        <v>NA</v>
      </c>
      <c r="BY34" s="12" t="str">
        <f t="shared" ca="1" si="32"/>
        <v>NA</v>
      </c>
      <c r="BZ34" s="12" t="str">
        <f t="shared" ca="1" si="33"/>
        <v>NA</v>
      </c>
      <c r="CA34" s="5"/>
    </row>
    <row r="35" spans="1:79" ht="12.75" customHeight="1" x14ac:dyDescent="0.15">
      <c r="A35" s="4">
        <v>1076</v>
      </c>
      <c r="B35" s="5" t="s">
        <v>79</v>
      </c>
      <c r="C35" s="5" t="s">
        <v>79</v>
      </c>
      <c r="D35" s="6" t="s">
        <v>253</v>
      </c>
      <c r="E35" s="6" t="s">
        <v>254</v>
      </c>
      <c r="F35" s="6" t="s">
        <v>255</v>
      </c>
      <c r="G35" s="8"/>
      <c r="H35" s="8"/>
      <c r="I35" s="8"/>
      <c r="J35" s="8"/>
      <c r="K35" s="8"/>
      <c r="L35" s="8" t="s">
        <v>82</v>
      </c>
      <c r="M35" s="7">
        <v>1015</v>
      </c>
      <c r="N35" s="7">
        <v>1014</v>
      </c>
      <c r="O35" s="13">
        <v>33551</v>
      </c>
      <c r="P35" s="10">
        <f t="shared" ca="1" si="0"/>
        <v>1.3944444444444444</v>
      </c>
      <c r="Q35" s="5">
        <f t="shared" ca="1" si="1"/>
        <v>16</v>
      </c>
      <c r="R35" s="5">
        <f t="shared" ca="1" si="2"/>
        <v>509</v>
      </c>
      <c r="S35" s="7">
        <f t="shared" ca="1" si="3"/>
        <v>1991</v>
      </c>
      <c r="T35" s="7">
        <f t="shared" ca="1" si="4"/>
        <v>11</v>
      </c>
      <c r="U35" s="7">
        <f t="shared" ca="1" si="5"/>
        <v>9</v>
      </c>
      <c r="V35" s="6" t="s">
        <v>256</v>
      </c>
      <c r="W35" s="14" t="s">
        <v>96</v>
      </c>
      <c r="X35" s="15"/>
      <c r="Y35" s="5">
        <f t="shared" ca="1" si="6"/>
        <v>0</v>
      </c>
      <c r="Z35" s="6"/>
      <c r="AA35" s="12" t="str">
        <f t="shared" ca="1" si="7"/>
        <v>NA</v>
      </c>
      <c r="AB35" s="12" t="str">
        <f t="shared" ca="1" si="8"/>
        <v>NA</v>
      </c>
      <c r="AC35" s="12" t="str">
        <f t="shared" ca="1" si="9"/>
        <v>NA</v>
      </c>
      <c r="AD35" s="6"/>
      <c r="AE35" s="5"/>
      <c r="AF35" s="6"/>
      <c r="AG35" s="16">
        <v>34060</v>
      </c>
      <c r="AH35" s="12">
        <f t="shared" ca="1" si="10"/>
        <v>1993</v>
      </c>
      <c r="AI35" s="12">
        <f t="shared" ca="1" si="11"/>
        <v>4</v>
      </c>
      <c r="AJ35" s="12">
        <f t="shared" ca="1" si="12"/>
        <v>1</v>
      </c>
      <c r="AK35" s="6" t="s">
        <v>257</v>
      </c>
      <c r="AL35" s="17" t="s">
        <v>258</v>
      </c>
      <c r="AM35" s="5"/>
      <c r="AN35" s="5"/>
      <c r="AO35" s="5"/>
      <c r="AP35" s="12" t="str">
        <f t="shared" ca="1" si="13"/>
        <v>NA</v>
      </c>
      <c r="AQ35" s="12" t="str">
        <f t="shared" ca="1" si="14"/>
        <v>NA</v>
      </c>
      <c r="AR35" s="12" t="str">
        <f t="shared" ca="1" si="15"/>
        <v>NA</v>
      </c>
      <c r="AS35" s="5"/>
      <c r="AT35" s="5"/>
      <c r="AU35" s="5"/>
      <c r="AV35" s="12" t="str">
        <f t="shared" ca="1" si="16"/>
        <v>NA</v>
      </c>
      <c r="AW35" s="12" t="str">
        <f t="shared" ca="1" si="17"/>
        <v>NA</v>
      </c>
      <c r="AX35" s="12" t="str">
        <f t="shared" ca="1" si="18"/>
        <v>NA</v>
      </c>
      <c r="AY35" s="5"/>
      <c r="AZ35" s="5"/>
      <c r="BA35" s="6"/>
      <c r="BB35" s="12" t="str">
        <f t="shared" ca="1" si="19"/>
        <v>NA</v>
      </c>
      <c r="BC35" s="12" t="str">
        <f t="shared" ca="1" si="20"/>
        <v>NA</v>
      </c>
      <c r="BD35" s="12" t="str">
        <f t="shared" ca="1" si="21"/>
        <v>NA</v>
      </c>
      <c r="BE35" s="5"/>
      <c r="BF35" s="5"/>
      <c r="BG35" s="5"/>
      <c r="BH35" s="12" t="str">
        <f t="shared" ca="1" si="22"/>
        <v>NA</v>
      </c>
      <c r="BI35" s="12" t="str">
        <f t="shared" ca="1" si="23"/>
        <v>NA</v>
      </c>
      <c r="BJ35" s="12" t="str">
        <f t="shared" ca="1" si="24"/>
        <v>NA</v>
      </c>
      <c r="BK35" s="5"/>
      <c r="BL35" s="5"/>
      <c r="BM35" s="12" t="str">
        <f t="shared" ca="1" si="25"/>
        <v>NA</v>
      </c>
      <c r="BN35" s="12" t="str">
        <f t="shared" ca="1" si="26"/>
        <v>NA</v>
      </c>
      <c r="BO35" s="12" t="str">
        <f t="shared" ca="1" si="27"/>
        <v>NA</v>
      </c>
      <c r="BP35" s="5"/>
      <c r="BQ35" s="5"/>
      <c r="BR35" s="5"/>
      <c r="BS35" s="12" t="str">
        <f t="shared" ca="1" si="28"/>
        <v>NA</v>
      </c>
      <c r="BT35" s="12" t="str">
        <f t="shared" ca="1" si="29"/>
        <v>NA</v>
      </c>
      <c r="BU35" s="12" t="str">
        <f t="shared" ca="1" si="30"/>
        <v>NA</v>
      </c>
      <c r="BV35" s="5"/>
      <c r="BW35" s="5"/>
      <c r="BX35" s="12" t="str">
        <f t="shared" ca="1" si="31"/>
        <v>NA</v>
      </c>
      <c r="BY35" s="12" t="str">
        <f t="shared" ca="1" si="32"/>
        <v>NA</v>
      </c>
      <c r="BZ35" s="12" t="str">
        <f t="shared" ca="1" si="33"/>
        <v>NA</v>
      </c>
      <c r="CA35" s="5"/>
    </row>
    <row r="36" spans="1:79" ht="12.75" customHeight="1" x14ac:dyDescent="0.15">
      <c r="A36" s="4">
        <v>1077</v>
      </c>
      <c r="B36" s="5" t="s">
        <v>79</v>
      </c>
      <c r="C36" s="5" t="s">
        <v>79</v>
      </c>
      <c r="D36" s="6" t="s">
        <v>259</v>
      </c>
      <c r="E36" s="6" t="s">
        <v>260</v>
      </c>
      <c r="F36" s="6" t="s">
        <v>261</v>
      </c>
      <c r="G36" s="8"/>
      <c r="H36" s="8"/>
      <c r="I36" s="8"/>
      <c r="J36" s="8"/>
      <c r="K36" s="8"/>
      <c r="L36" s="8" t="s">
        <v>82</v>
      </c>
      <c r="M36" s="7">
        <v>1015</v>
      </c>
      <c r="N36" s="7">
        <v>1014</v>
      </c>
      <c r="O36" s="13">
        <v>33551</v>
      </c>
      <c r="P36" s="10">
        <f t="shared" ca="1" si="0"/>
        <v>4.1444444444444448</v>
      </c>
      <c r="Q36" s="5">
        <f t="shared" ca="1" si="1"/>
        <v>49</v>
      </c>
      <c r="R36" s="5">
        <f t="shared" ca="1" si="2"/>
        <v>1513</v>
      </c>
      <c r="S36" s="7">
        <f t="shared" ca="1" si="3"/>
        <v>1991</v>
      </c>
      <c r="T36" s="7">
        <f t="shared" ca="1" si="4"/>
        <v>11</v>
      </c>
      <c r="U36" s="7">
        <f t="shared" ca="1" si="5"/>
        <v>9</v>
      </c>
      <c r="V36" s="6" t="s">
        <v>262</v>
      </c>
      <c r="W36" s="14" t="s">
        <v>96</v>
      </c>
      <c r="X36" s="15"/>
      <c r="Y36" s="5">
        <f t="shared" ca="1" si="6"/>
        <v>0</v>
      </c>
      <c r="Z36" s="6"/>
      <c r="AA36" s="12" t="str">
        <f t="shared" ca="1" si="7"/>
        <v>NA</v>
      </c>
      <c r="AB36" s="12" t="str">
        <f t="shared" ca="1" si="8"/>
        <v>NA</v>
      </c>
      <c r="AC36" s="12" t="str">
        <f t="shared" ca="1" si="9"/>
        <v>NA</v>
      </c>
      <c r="AD36" s="6"/>
      <c r="AE36" s="5"/>
      <c r="AF36" s="6"/>
      <c r="AG36" s="16">
        <v>35064</v>
      </c>
      <c r="AH36" s="12">
        <f t="shared" ca="1" si="10"/>
        <v>1995</v>
      </c>
      <c r="AI36" s="12">
        <f t="shared" ca="1" si="11"/>
        <v>12</v>
      </c>
      <c r="AJ36" s="12">
        <f t="shared" ca="1" si="12"/>
        <v>31</v>
      </c>
      <c r="AK36" s="6" t="s">
        <v>263</v>
      </c>
      <c r="AL36" s="8" t="s">
        <v>264</v>
      </c>
      <c r="AM36" s="5"/>
      <c r="AN36" s="5"/>
      <c r="AO36" s="5"/>
      <c r="AP36" s="12" t="str">
        <f t="shared" ca="1" si="13"/>
        <v>NA</v>
      </c>
      <c r="AQ36" s="12" t="str">
        <f t="shared" ca="1" si="14"/>
        <v>NA</v>
      </c>
      <c r="AR36" s="12" t="str">
        <f t="shared" ca="1" si="15"/>
        <v>NA</v>
      </c>
      <c r="AS36" s="5"/>
      <c r="AT36" s="5"/>
      <c r="AU36" s="5"/>
      <c r="AV36" s="12" t="str">
        <f t="shared" ca="1" si="16"/>
        <v>NA</v>
      </c>
      <c r="AW36" s="12" t="str">
        <f t="shared" ca="1" si="17"/>
        <v>NA</v>
      </c>
      <c r="AX36" s="12" t="str">
        <f t="shared" ca="1" si="18"/>
        <v>NA</v>
      </c>
      <c r="AY36" s="5"/>
      <c r="AZ36" s="5"/>
      <c r="BA36" s="6"/>
      <c r="BB36" s="12" t="str">
        <f t="shared" ca="1" si="19"/>
        <v>NA</v>
      </c>
      <c r="BC36" s="12" t="str">
        <f t="shared" ca="1" si="20"/>
        <v>NA</v>
      </c>
      <c r="BD36" s="12" t="str">
        <f t="shared" ca="1" si="21"/>
        <v>NA</v>
      </c>
      <c r="BE36" s="5"/>
      <c r="BF36" s="5"/>
      <c r="BG36" s="5"/>
      <c r="BH36" s="12" t="str">
        <f t="shared" ca="1" si="22"/>
        <v>NA</v>
      </c>
      <c r="BI36" s="12" t="str">
        <f t="shared" ca="1" si="23"/>
        <v>NA</v>
      </c>
      <c r="BJ36" s="12" t="str">
        <f t="shared" ca="1" si="24"/>
        <v>NA</v>
      </c>
      <c r="BK36" s="5"/>
      <c r="BL36" s="5"/>
      <c r="BM36" s="12" t="str">
        <f t="shared" ca="1" si="25"/>
        <v>NA</v>
      </c>
      <c r="BN36" s="12" t="str">
        <f t="shared" ca="1" si="26"/>
        <v>NA</v>
      </c>
      <c r="BO36" s="12" t="str">
        <f t="shared" ca="1" si="27"/>
        <v>NA</v>
      </c>
      <c r="BP36" s="5"/>
      <c r="BQ36" s="5"/>
      <c r="BR36" s="5"/>
      <c r="BS36" s="12" t="str">
        <f t="shared" ca="1" si="28"/>
        <v>NA</v>
      </c>
      <c r="BT36" s="12" t="str">
        <f t="shared" ca="1" si="29"/>
        <v>NA</v>
      </c>
      <c r="BU36" s="12" t="str">
        <f t="shared" ca="1" si="30"/>
        <v>NA</v>
      </c>
      <c r="BV36" s="5"/>
      <c r="BW36" s="5"/>
      <c r="BX36" s="12" t="str">
        <f t="shared" ca="1" si="31"/>
        <v>NA</v>
      </c>
      <c r="BY36" s="12" t="str">
        <f t="shared" ca="1" si="32"/>
        <v>NA</v>
      </c>
      <c r="BZ36" s="12" t="str">
        <f t="shared" ca="1" si="33"/>
        <v>NA</v>
      </c>
      <c r="CA36" s="5"/>
    </row>
    <row r="37" spans="1:79" ht="12.75" customHeight="1" x14ac:dyDescent="0.15">
      <c r="A37" s="4">
        <v>1079</v>
      </c>
      <c r="B37" s="5" t="s">
        <v>79</v>
      </c>
      <c r="C37" s="5" t="s">
        <v>79</v>
      </c>
      <c r="D37" s="6" t="s">
        <v>265</v>
      </c>
      <c r="E37" s="7">
        <v>10742</v>
      </c>
      <c r="F37" s="6" t="s">
        <v>266</v>
      </c>
      <c r="G37" s="8"/>
      <c r="H37" s="8"/>
      <c r="I37" s="8"/>
      <c r="J37" s="8"/>
      <c r="K37" s="8"/>
      <c r="L37" s="8" t="s">
        <v>82</v>
      </c>
      <c r="M37" s="7">
        <v>1042</v>
      </c>
      <c r="N37" s="7">
        <v>1067</v>
      </c>
      <c r="O37" s="13">
        <v>33648</v>
      </c>
      <c r="P37" s="10">
        <f t="shared" ca="1" si="0"/>
        <v>13.316666666666666</v>
      </c>
      <c r="Q37" s="5">
        <f t="shared" ca="1" si="1"/>
        <v>159</v>
      </c>
      <c r="R37" s="5">
        <f t="shared" ca="1" si="2"/>
        <v>4863</v>
      </c>
      <c r="S37" s="7">
        <f t="shared" ca="1" si="3"/>
        <v>1992</v>
      </c>
      <c r="T37" s="7">
        <f t="shared" ca="1" si="4"/>
        <v>2</v>
      </c>
      <c r="U37" s="7">
        <f t="shared" ca="1" si="5"/>
        <v>14</v>
      </c>
      <c r="V37" s="6" t="s">
        <v>267</v>
      </c>
      <c r="W37" s="14" t="s">
        <v>96</v>
      </c>
      <c r="X37" s="15"/>
      <c r="Y37" s="5">
        <f t="shared" ca="1" si="6"/>
        <v>2</v>
      </c>
      <c r="Z37" s="6"/>
      <c r="AA37" s="12" t="str">
        <f t="shared" ca="1" si="7"/>
        <v>NA</v>
      </c>
      <c r="AB37" s="12" t="str">
        <f t="shared" ca="1" si="8"/>
        <v>NA</v>
      </c>
      <c r="AC37" s="12" t="str">
        <f t="shared" ca="1" si="9"/>
        <v>NA</v>
      </c>
      <c r="AD37" s="6"/>
      <c r="AE37" s="5"/>
      <c r="AF37" s="6"/>
      <c r="AG37" s="11">
        <v>38511</v>
      </c>
      <c r="AH37" s="12">
        <f t="shared" ca="1" si="10"/>
        <v>2005</v>
      </c>
      <c r="AI37" s="12">
        <f t="shared" ca="1" si="11"/>
        <v>6</v>
      </c>
      <c r="AJ37" s="12">
        <f t="shared" ca="1" si="12"/>
        <v>8</v>
      </c>
      <c r="AK37" s="8" t="s">
        <v>268</v>
      </c>
      <c r="AL37" s="8"/>
      <c r="AM37" s="5"/>
      <c r="AN37" s="5"/>
      <c r="AO37" s="11">
        <v>34576</v>
      </c>
      <c r="AP37" s="12">
        <f t="shared" ca="1" si="13"/>
        <v>1994</v>
      </c>
      <c r="AQ37" s="12">
        <f t="shared" ca="1" si="14"/>
        <v>8</v>
      </c>
      <c r="AR37" s="12">
        <f t="shared" ca="1" si="15"/>
        <v>30</v>
      </c>
      <c r="AS37" s="8" t="s">
        <v>269</v>
      </c>
      <c r="AT37" s="8"/>
      <c r="AU37" s="11">
        <v>36076</v>
      </c>
      <c r="AV37" s="12">
        <f t="shared" ca="1" si="16"/>
        <v>1998</v>
      </c>
      <c r="AW37" s="12">
        <f t="shared" ca="1" si="17"/>
        <v>10</v>
      </c>
      <c r="AX37" s="12">
        <f t="shared" ca="1" si="18"/>
        <v>8</v>
      </c>
      <c r="AY37" s="8" t="s">
        <v>270</v>
      </c>
      <c r="AZ37" s="8"/>
      <c r="BA37" s="6"/>
      <c r="BB37" s="12" t="str">
        <f t="shared" ca="1" si="19"/>
        <v>NA</v>
      </c>
      <c r="BC37" s="12" t="str">
        <f t="shared" ca="1" si="20"/>
        <v>NA</v>
      </c>
      <c r="BD37" s="12" t="str">
        <f t="shared" ca="1" si="21"/>
        <v>NA</v>
      </c>
      <c r="BE37" s="5"/>
      <c r="BF37" s="5"/>
      <c r="BG37" s="5"/>
      <c r="BH37" s="12" t="str">
        <f t="shared" ca="1" si="22"/>
        <v>NA</v>
      </c>
      <c r="BI37" s="12" t="str">
        <f t="shared" ca="1" si="23"/>
        <v>NA</v>
      </c>
      <c r="BJ37" s="12" t="str">
        <f t="shared" ca="1" si="24"/>
        <v>NA</v>
      </c>
      <c r="BK37" s="5"/>
      <c r="BL37" s="5"/>
      <c r="BM37" s="12" t="str">
        <f t="shared" ca="1" si="25"/>
        <v>NA</v>
      </c>
      <c r="BN37" s="12" t="str">
        <f t="shared" ca="1" si="26"/>
        <v>NA</v>
      </c>
      <c r="BO37" s="12" t="str">
        <f t="shared" ca="1" si="27"/>
        <v>NA</v>
      </c>
      <c r="BP37" s="5"/>
      <c r="BQ37" s="5"/>
      <c r="BR37" s="5"/>
      <c r="BS37" s="12" t="str">
        <f t="shared" ca="1" si="28"/>
        <v>NA</v>
      </c>
      <c r="BT37" s="12" t="str">
        <f t="shared" ca="1" si="29"/>
        <v>NA</v>
      </c>
      <c r="BU37" s="12" t="str">
        <f t="shared" ca="1" si="30"/>
        <v>NA</v>
      </c>
      <c r="BV37" s="5"/>
      <c r="BW37" s="5"/>
      <c r="BX37" s="12" t="str">
        <f t="shared" ca="1" si="31"/>
        <v>NA</v>
      </c>
      <c r="BY37" s="12" t="str">
        <f t="shared" ca="1" si="32"/>
        <v>NA</v>
      </c>
      <c r="BZ37" s="12" t="str">
        <f t="shared" ca="1" si="33"/>
        <v>NA</v>
      </c>
      <c r="CA37" s="5"/>
    </row>
    <row r="38" spans="1:79" ht="12.75" customHeight="1" x14ac:dyDescent="0.15">
      <c r="A38" s="4">
        <v>1080</v>
      </c>
      <c r="B38" s="5" t="s">
        <v>79</v>
      </c>
      <c r="C38" s="5" t="s">
        <v>79</v>
      </c>
      <c r="D38" s="6" t="s">
        <v>271</v>
      </c>
      <c r="E38" s="7">
        <v>13375</v>
      </c>
      <c r="F38" s="6" t="s">
        <v>272</v>
      </c>
      <c r="G38" s="8"/>
      <c r="H38" s="8"/>
      <c r="I38" s="8"/>
      <c r="J38" s="8"/>
      <c r="K38" s="8"/>
      <c r="L38" s="8" t="s">
        <v>82</v>
      </c>
      <c r="M38" s="7">
        <v>1042</v>
      </c>
      <c r="N38" s="7">
        <v>1067</v>
      </c>
      <c r="O38" s="13">
        <v>33648</v>
      </c>
      <c r="P38" s="10">
        <f t="shared" ca="1" si="0"/>
        <v>1.336111111111111</v>
      </c>
      <c r="Q38" s="5">
        <f t="shared" ca="1" si="1"/>
        <v>16</v>
      </c>
      <c r="R38" s="5">
        <f t="shared" ca="1" si="2"/>
        <v>487</v>
      </c>
      <c r="S38" s="7">
        <f t="shared" ca="1" si="3"/>
        <v>1992</v>
      </c>
      <c r="T38" s="7">
        <f t="shared" ca="1" si="4"/>
        <v>2</v>
      </c>
      <c r="U38" s="7">
        <f t="shared" ca="1" si="5"/>
        <v>14</v>
      </c>
      <c r="V38" s="6" t="s">
        <v>273</v>
      </c>
      <c r="W38" s="14" t="s">
        <v>96</v>
      </c>
      <c r="X38" s="15"/>
      <c r="Y38" s="5">
        <f t="shared" ca="1" si="6"/>
        <v>0</v>
      </c>
      <c r="Z38" s="6"/>
      <c r="AA38" s="12" t="str">
        <f t="shared" ca="1" si="7"/>
        <v>NA</v>
      </c>
      <c r="AB38" s="12" t="str">
        <f t="shared" ca="1" si="8"/>
        <v>NA</v>
      </c>
      <c r="AC38" s="12" t="str">
        <f t="shared" ca="1" si="9"/>
        <v>NA</v>
      </c>
      <c r="AD38" s="6"/>
      <c r="AE38" s="5"/>
      <c r="AF38" s="6"/>
      <c r="AG38" s="11">
        <v>34135</v>
      </c>
      <c r="AH38" s="12">
        <f t="shared" ca="1" si="10"/>
        <v>1993</v>
      </c>
      <c r="AI38" s="12">
        <f t="shared" ca="1" si="11"/>
        <v>6</v>
      </c>
      <c r="AJ38" s="12">
        <f t="shared" ca="1" si="12"/>
        <v>15</v>
      </c>
      <c r="AK38" s="8" t="s">
        <v>274</v>
      </c>
      <c r="AL38" s="8"/>
      <c r="AM38" s="5"/>
      <c r="AN38" s="5"/>
      <c r="AO38" s="5"/>
      <c r="AP38" s="12" t="str">
        <f t="shared" ca="1" si="13"/>
        <v>NA</v>
      </c>
      <c r="AQ38" s="12" t="str">
        <f t="shared" ca="1" si="14"/>
        <v>NA</v>
      </c>
      <c r="AR38" s="12" t="str">
        <f t="shared" ca="1" si="15"/>
        <v>NA</v>
      </c>
      <c r="AS38" s="5"/>
      <c r="AT38" s="5"/>
      <c r="AU38" s="5"/>
      <c r="AV38" s="12" t="str">
        <f t="shared" ca="1" si="16"/>
        <v>NA</v>
      </c>
      <c r="AW38" s="12" t="str">
        <f t="shared" ca="1" si="17"/>
        <v>NA</v>
      </c>
      <c r="AX38" s="12" t="str">
        <f t="shared" ca="1" si="18"/>
        <v>NA</v>
      </c>
      <c r="AY38" s="5"/>
      <c r="AZ38" s="5"/>
      <c r="BA38" s="6"/>
      <c r="BB38" s="12" t="str">
        <f t="shared" ca="1" si="19"/>
        <v>NA</v>
      </c>
      <c r="BC38" s="12" t="str">
        <f t="shared" ca="1" si="20"/>
        <v>NA</v>
      </c>
      <c r="BD38" s="12" t="str">
        <f t="shared" ca="1" si="21"/>
        <v>NA</v>
      </c>
      <c r="BE38" s="5"/>
      <c r="BF38" s="5"/>
      <c r="BG38" s="5"/>
      <c r="BH38" s="12" t="str">
        <f t="shared" ca="1" si="22"/>
        <v>NA</v>
      </c>
      <c r="BI38" s="12" t="str">
        <f t="shared" ca="1" si="23"/>
        <v>NA</v>
      </c>
      <c r="BJ38" s="12" t="str">
        <f t="shared" ca="1" si="24"/>
        <v>NA</v>
      </c>
      <c r="BK38" s="5"/>
      <c r="BL38" s="5"/>
      <c r="BM38" s="12" t="str">
        <f t="shared" ca="1" si="25"/>
        <v>NA</v>
      </c>
      <c r="BN38" s="12" t="str">
        <f t="shared" ca="1" si="26"/>
        <v>NA</v>
      </c>
      <c r="BO38" s="12" t="str">
        <f t="shared" ca="1" si="27"/>
        <v>NA</v>
      </c>
      <c r="BP38" s="5"/>
      <c r="BQ38" s="5"/>
      <c r="BR38" s="5"/>
      <c r="BS38" s="12" t="str">
        <f t="shared" ca="1" si="28"/>
        <v>NA</v>
      </c>
      <c r="BT38" s="12" t="str">
        <f t="shared" ca="1" si="29"/>
        <v>NA</v>
      </c>
      <c r="BU38" s="12" t="str">
        <f t="shared" ca="1" si="30"/>
        <v>NA</v>
      </c>
      <c r="BV38" s="5"/>
      <c r="BW38" s="5"/>
      <c r="BX38" s="12" t="str">
        <f t="shared" ca="1" si="31"/>
        <v>NA</v>
      </c>
      <c r="BY38" s="12" t="str">
        <f t="shared" ca="1" si="32"/>
        <v>NA</v>
      </c>
      <c r="BZ38" s="12" t="str">
        <f t="shared" ca="1" si="33"/>
        <v>NA</v>
      </c>
      <c r="CA38" s="5"/>
    </row>
    <row r="39" spans="1:79" ht="12.75" customHeight="1" x14ac:dyDescent="0.15">
      <c r="A39" s="4">
        <v>1081</v>
      </c>
      <c r="B39" s="5" t="s">
        <v>79</v>
      </c>
      <c r="C39" s="5" t="s">
        <v>79</v>
      </c>
      <c r="D39" s="6" t="s">
        <v>275</v>
      </c>
      <c r="E39" s="7">
        <v>592056</v>
      </c>
      <c r="F39" s="6" t="s">
        <v>276</v>
      </c>
      <c r="G39" s="8"/>
      <c r="H39" s="8"/>
      <c r="I39" s="8"/>
      <c r="J39" s="8"/>
      <c r="K39" s="8"/>
      <c r="L39" s="8" t="s">
        <v>82</v>
      </c>
      <c r="M39" s="7">
        <v>1057</v>
      </c>
      <c r="N39" s="7">
        <v>1060</v>
      </c>
      <c r="O39" s="13">
        <v>33663</v>
      </c>
      <c r="P39" s="10">
        <f t="shared" ca="1" si="0"/>
        <v>0</v>
      </c>
      <c r="Q39" s="5">
        <f t="shared" ca="1" si="1"/>
        <v>0</v>
      </c>
      <c r="R39" s="5">
        <f t="shared" ca="1" si="2"/>
        <v>0</v>
      </c>
      <c r="S39" s="7">
        <f t="shared" ca="1" si="3"/>
        <v>1992</v>
      </c>
      <c r="T39" s="7">
        <f t="shared" ca="1" si="4"/>
        <v>2</v>
      </c>
      <c r="U39" s="7">
        <f t="shared" ca="1" si="5"/>
        <v>29</v>
      </c>
      <c r="V39" s="6" t="s">
        <v>277</v>
      </c>
      <c r="W39" s="14" t="s">
        <v>96</v>
      </c>
      <c r="X39" s="15"/>
      <c r="Y39" s="5">
        <f t="shared" ca="1" si="6"/>
        <v>0</v>
      </c>
      <c r="Z39" s="6"/>
      <c r="AA39" s="12" t="str">
        <f t="shared" ca="1" si="7"/>
        <v>NA</v>
      </c>
      <c r="AB39" s="12" t="str">
        <f t="shared" ca="1" si="8"/>
        <v>NA</v>
      </c>
      <c r="AC39" s="12" t="str">
        <f t="shared" ca="1" si="9"/>
        <v>NA</v>
      </c>
      <c r="AD39" s="6"/>
      <c r="AE39" s="5"/>
      <c r="AF39" s="6"/>
      <c r="AG39" s="11">
        <v>33663</v>
      </c>
      <c r="AH39" s="12">
        <f t="shared" ca="1" si="10"/>
        <v>1992</v>
      </c>
      <c r="AI39" s="12">
        <f t="shared" ca="1" si="11"/>
        <v>2</v>
      </c>
      <c r="AJ39" s="12">
        <f t="shared" ca="1" si="12"/>
        <v>29</v>
      </c>
      <c r="AK39" s="8" t="s">
        <v>278</v>
      </c>
      <c r="AL39" s="8"/>
      <c r="AM39" s="5"/>
      <c r="AN39" s="5"/>
      <c r="AO39" s="5"/>
      <c r="AP39" s="12" t="str">
        <f t="shared" ca="1" si="13"/>
        <v>NA</v>
      </c>
      <c r="AQ39" s="12" t="str">
        <f t="shared" ca="1" si="14"/>
        <v>NA</v>
      </c>
      <c r="AR39" s="12" t="str">
        <f t="shared" ca="1" si="15"/>
        <v>NA</v>
      </c>
      <c r="AS39" s="5"/>
      <c r="AT39" s="5"/>
      <c r="AU39" s="5"/>
      <c r="AV39" s="12" t="str">
        <f t="shared" ca="1" si="16"/>
        <v>NA</v>
      </c>
      <c r="AW39" s="12" t="str">
        <f t="shared" ca="1" si="17"/>
        <v>NA</v>
      </c>
      <c r="AX39" s="12" t="str">
        <f t="shared" ca="1" si="18"/>
        <v>NA</v>
      </c>
      <c r="AY39" s="5"/>
      <c r="AZ39" s="5"/>
      <c r="BA39" s="6"/>
      <c r="BB39" s="12" t="str">
        <f t="shared" ca="1" si="19"/>
        <v>NA</v>
      </c>
      <c r="BC39" s="12" t="str">
        <f t="shared" ca="1" si="20"/>
        <v>NA</v>
      </c>
      <c r="BD39" s="12" t="str">
        <f t="shared" ca="1" si="21"/>
        <v>NA</v>
      </c>
      <c r="BE39" s="5"/>
      <c r="BF39" s="5"/>
      <c r="BG39" s="5"/>
      <c r="BH39" s="12" t="str">
        <f t="shared" ca="1" si="22"/>
        <v>NA</v>
      </c>
      <c r="BI39" s="12" t="str">
        <f t="shared" ca="1" si="23"/>
        <v>NA</v>
      </c>
      <c r="BJ39" s="12" t="str">
        <f t="shared" ca="1" si="24"/>
        <v>NA</v>
      </c>
      <c r="BK39" s="5"/>
      <c r="BL39" s="5"/>
      <c r="BM39" s="12" t="str">
        <f t="shared" ca="1" si="25"/>
        <v>NA</v>
      </c>
      <c r="BN39" s="12" t="str">
        <f t="shared" ca="1" si="26"/>
        <v>NA</v>
      </c>
      <c r="BO39" s="12" t="str">
        <f t="shared" ca="1" si="27"/>
        <v>NA</v>
      </c>
      <c r="BP39" s="5"/>
      <c r="BQ39" s="5"/>
      <c r="BR39" s="5"/>
      <c r="BS39" s="12" t="str">
        <f t="shared" ca="1" si="28"/>
        <v>NA</v>
      </c>
      <c r="BT39" s="12" t="str">
        <f t="shared" ca="1" si="29"/>
        <v>NA</v>
      </c>
      <c r="BU39" s="12" t="str">
        <f t="shared" ca="1" si="30"/>
        <v>NA</v>
      </c>
      <c r="BV39" s="5"/>
      <c r="BW39" s="5"/>
      <c r="BX39" s="12" t="str">
        <f t="shared" ca="1" si="31"/>
        <v>NA</v>
      </c>
      <c r="BY39" s="12" t="str">
        <f t="shared" ca="1" si="32"/>
        <v>NA</v>
      </c>
      <c r="BZ39" s="12" t="str">
        <f t="shared" ca="1" si="33"/>
        <v>NA</v>
      </c>
      <c r="CA39" s="5"/>
    </row>
    <row r="40" spans="1:79" ht="12.75" customHeight="1" x14ac:dyDescent="0.15">
      <c r="A40" s="4">
        <v>1082</v>
      </c>
      <c r="B40" s="5" t="s">
        <v>79</v>
      </c>
      <c r="C40" s="5" t="s">
        <v>79</v>
      </c>
      <c r="D40" s="6" t="s">
        <v>279</v>
      </c>
      <c r="E40" s="7">
        <v>1076</v>
      </c>
      <c r="F40" s="6" t="s">
        <v>280</v>
      </c>
      <c r="G40" s="8"/>
      <c r="H40" s="8"/>
      <c r="I40" s="8"/>
      <c r="J40" s="8"/>
      <c r="K40" s="8"/>
      <c r="L40" s="8" t="s">
        <v>82</v>
      </c>
      <c r="M40" s="7">
        <v>1051</v>
      </c>
      <c r="N40" s="7">
        <v>1054</v>
      </c>
      <c r="O40" s="13">
        <v>33697</v>
      </c>
      <c r="P40" s="10">
        <f t="shared" ca="1" si="0"/>
        <v>3.0277777777777777</v>
      </c>
      <c r="Q40" s="5">
        <f t="shared" ca="1" si="1"/>
        <v>36</v>
      </c>
      <c r="R40" s="5">
        <f t="shared" ca="1" si="2"/>
        <v>1105</v>
      </c>
      <c r="S40" s="7">
        <f t="shared" ca="1" si="3"/>
        <v>1992</v>
      </c>
      <c r="T40" s="7">
        <f t="shared" ca="1" si="4"/>
        <v>4</v>
      </c>
      <c r="U40" s="7">
        <f t="shared" ca="1" si="5"/>
        <v>3</v>
      </c>
      <c r="V40" s="6" t="s">
        <v>281</v>
      </c>
      <c r="W40" s="14" t="s">
        <v>96</v>
      </c>
      <c r="X40" s="15"/>
      <c r="Y40" s="5">
        <f t="shared" ca="1" si="6"/>
        <v>1</v>
      </c>
      <c r="Z40" s="6"/>
      <c r="AA40" s="12" t="str">
        <f t="shared" ca="1" si="7"/>
        <v>NA</v>
      </c>
      <c r="AB40" s="12" t="str">
        <f t="shared" ca="1" si="8"/>
        <v>NA</v>
      </c>
      <c r="AC40" s="12" t="str">
        <f t="shared" ca="1" si="9"/>
        <v>NA</v>
      </c>
      <c r="AD40" s="6"/>
      <c r="AE40" s="5"/>
      <c r="AF40" s="6"/>
      <c r="AG40" s="11">
        <v>34802</v>
      </c>
      <c r="AH40" s="12">
        <f t="shared" ca="1" si="10"/>
        <v>1995</v>
      </c>
      <c r="AI40" s="12">
        <f t="shared" ca="1" si="11"/>
        <v>4</v>
      </c>
      <c r="AJ40" s="12">
        <f t="shared" ca="1" si="12"/>
        <v>13</v>
      </c>
      <c r="AK40" s="8" t="s">
        <v>282</v>
      </c>
      <c r="AL40" s="8"/>
      <c r="AM40" s="5"/>
      <c r="AN40" s="5"/>
      <c r="AO40" s="11">
        <v>34283</v>
      </c>
      <c r="AP40" s="12">
        <f t="shared" ca="1" si="13"/>
        <v>1993</v>
      </c>
      <c r="AQ40" s="12">
        <f t="shared" ca="1" si="14"/>
        <v>11</v>
      </c>
      <c r="AR40" s="12">
        <f t="shared" ca="1" si="15"/>
        <v>10</v>
      </c>
      <c r="AS40" s="8" t="s">
        <v>283</v>
      </c>
      <c r="AT40" s="8"/>
      <c r="AU40" s="5"/>
      <c r="AV40" s="12" t="str">
        <f t="shared" ca="1" si="16"/>
        <v>NA</v>
      </c>
      <c r="AW40" s="12" t="str">
        <f t="shared" ca="1" si="17"/>
        <v>NA</v>
      </c>
      <c r="AX40" s="12" t="str">
        <f t="shared" ca="1" si="18"/>
        <v>NA</v>
      </c>
      <c r="AY40" s="5"/>
      <c r="AZ40" s="5"/>
      <c r="BA40" s="6"/>
      <c r="BB40" s="12" t="str">
        <f t="shared" ca="1" si="19"/>
        <v>NA</v>
      </c>
      <c r="BC40" s="12" t="str">
        <f t="shared" ca="1" si="20"/>
        <v>NA</v>
      </c>
      <c r="BD40" s="12" t="str">
        <f t="shared" ca="1" si="21"/>
        <v>NA</v>
      </c>
      <c r="BE40" s="5"/>
      <c r="BF40" s="5"/>
      <c r="BG40" s="5"/>
      <c r="BH40" s="12" t="str">
        <f t="shared" ca="1" si="22"/>
        <v>NA</v>
      </c>
      <c r="BI40" s="12" t="str">
        <f t="shared" ca="1" si="23"/>
        <v>NA</v>
      </c>
      <c r="BJ40" s="12" t="str">
        <f t="shared" ca="1" si="24"/>
        <v>NA</v>
      </c>
      <c r="BK40" s="5"/>
      <c r="BL40" s="5"/>
      <c r="BM40" s="12" t="str">
        <f t="shared" ca="1" si="25"/>
        <v>NA</v>
      </c>
      <c r="BN40" s="12" t="str">
        <f t="shared" ca="1" si="26"/>
        <v>NA</v>
      </c>
      <c r="BO40" s="12" t="str">
        <f t="shared" ca="1" si="27"/>
        <v>NA</v>
      </c>
      <c r="BP40" s="5"/>
      <c r="BQ40" s="5"/>
      <c r="BR40" s="5"/>
      <c r="BS40" s="12" t="str">
        <f t="shared" ca="1" si="28"/>
        <v>NA</v>
      </c>
      <c r="BT40" s="12" t="str">
        <f t="shared" ca="1" si="29"/>
        <v>NA</v>
      </c>
      <c r="BU40" s="12" t="str">
        <f t="shared" ca="1" si="30"/>
        <v>NA</v>
      </c>
      <c r="BV40" s="5"/>
      <c r="BW40" s="5"/>
      <c r="BX40" s="12" t="str">
        <f t="shared" ca="1" si="31"/>
        <v>NA</v>
      </c>
      <c r="BY40" s="12" t="str">
        <f t="shared" ca="1" si="32"/>
        <v>NA</v>
      </c>
      <c r="BZ40" s="12" t="str">
        <f t="shared" ca="1" si="33"/>
        <v>NA</v>
      </c>
      <c r="CA40" s="5"/>
    </row>
    <row r="41" spans="1:79" ht="12.75" customHeight="1" x14ac:dyDescent="0.15">
      <c r="A41" s="4">
        <v>1083</v>
      </c>
      <c r="B41" s="5" t="s">
        <v>79</v>
      </c>
      <c r="C41" s="5" t="s">
        <v>79</v>
      </c>
      <c r="D41" s="6" t="s">
        <v>284</v>
      </c>
      <c r="E41" s="7">
        <v>3193</v>
      </c>
      <c r="F41" s="6" t="s">
        <v>285</v>
      </c>
      <c r="G41" s="8"/>
      <c r="H41" s="8"/>
      <c r="I41" s="8"/>
      <c r="J41" s="8"/>
      <c r="K41" s="8"/>
      <c r="L41" s="8" t="s">
        <v>82</v>
      </c>
      <c r="M41" s="7">
        <v>1041</v>
      </c>
      <c r="N41" s="7">
        <v>1040</v>
      </c>
      <c r="O41" s="13">
        <v>33824</v>
      </c>
      <c r="P41" s="10">
        <f t="shared" ca="1" si="0"/>
        <v>9.030555555555555</v>
      </c>
      <c r="Q41" s="5">
        <f t="shared" ca="1" si="1"/>
        <v>108</v>
      </c>
      <c r="R41" s="5">
        <f t="shared" ca="1" si="2"/>
        <v>3298</v>
      </c>
      <c r="S41" s="7">
        <f t="shared" ca="1" si="3"/>
        <v>1992</v>
      </c>
      <c r="T41" s="7">
        <f t="shared" ca="1" si="4"/>
        <v>8</v>
      </c>
      <c r="U41" s="7">
        <f t="shared" ca="1" si="5"/>
        <v>8</v>
      </c>
      <c r="V41" s="6" t="s">
        <v>286</v>
      </c>
      <c r="W41" s="14" t="s">
        <v>96</v>
      </c>
      <c r="X41" s="15"/>
      <c r="Y41" s="5">
        <f t="shared" ca="1" si="6"/>
        <v>1</v>
      </c>
      <c r="Z41" s="6"/>
      <c r="AA41" s="12" t="str">
        <f t="shared" ca="1" si="7"/>
        <v>NA</v>
      </c>
      <c r="AB41" s="12" t="str">
        <f t="shared" ca="1" si="8"/>
        <v>NA</v>
      </c>
      <c r="AC41" s="12" t="str">
        <f t="shared" ca="1" si="9"/>
        <v>NA</v>
      </c>
      <c r="AD41" s="6"/>
      <c r="AE41" s="5"/>
      <c r="AF41" s="6"/>
      <c r="AG41" s="11">
        <v>37122</v>
      </c>
      <c r="AH41" s="12">
        <f t="shared" ca="1" si="10"/>
        <v>2001</v>
      </c>
      <c r="AI41" s="12">
        <f t="shared" ca="1" si="11"/>
        <v>8</v>
      </c>
      <c r="AJ41" s="12">
        <f t="shared" ca="1" si="12"/>
        <v>19</v>
      </c>
      <c r="AK41" s="8" t="s">
        <v>287</v>
      </c>
      <c r="AL41" s="8"/>
      <c r="AM41" s="5"/>
      <c r="AN41" s="5"/>
      <c r="AO41" s="11">
        <v>36720</v>
      </c>
      <c r="AP41" s="12">
        <f t="shared" ca="1" si="13"/>
        <v>2000</v>
      </c>
      <c r="AQ41" s="12">
        <f t="shared" ca="1" si="14"/>
        <v>7</v>
      </c>
      <c r="AR41" s="12">
        <f t="shared" ca="1" si="15"/>
        <v>13</v>
      </c>
      <c r="AS41" s="8" t="s">
        <v>288</v>
      </c>
      <c r="AT41" s="8"/>
      <c r="AU41" s="5"/>
      <c r="AV41" s="12" t="str">
        <f t="shared" ca="1" si="16"/>
        <v>NA</v>
      </c>
      <c r="AW41" s="12" t="str">
        <f t="shared" ca="1" si="17"/>
        <v>NA</v>
      </c>
      <c r="AX41" s="12" t="str">
        <f t="shared" ca="1" si="18"/>
        <v>NA</v>
      </c>
      <c r="AY41" s="5"/>
      <c r="AZ41" s="5"/>
      <c r="BA41" s="6"/>
      <c r="BB41" s="12" t="str">
        <f t="shared" ca="1" si="19"/>
        <v>NA</v>
      </c>
      <c r="BC41" s="12" t="str">
        <f t="shared" ca="1" si="20"/>
        <v>NA</v>
      </c>
      <c r="BD41" s="12" t="str">
        <f t="shared" ca="1" si="21"/>
        <v>NA</v>
      </c>
      <c r="BE41" s="5"/>
      <c r="BF41" s="5"/>
      <c r="BG41" s="5"/>
      <c r="BH41" s="12" t="str">
        <f t="shared" ca="1" si="22"/>
        <v>NA</v>
      </c>
      <c r="BI41" s="12" t="str">
        <f t="shared" ca="1" si="23"/>
        <v>NA</v>
      </c>
      <c r="BJ41" s="12" t="str">
        <f t="shared" ca="1" si="24"/>
        <v>NA</v>
      </c>
      <c r="BK41" s="5"/>
      <c r="BL41" s="5"/>
      <c r="BM41" s="12" t="str">
        <f t="shared" ca="1" si="25"/>
        <v>NA</v>
      </c>
      <c r="BN41" s="12" t="str">
        <f t="shared" ca="1" si="26"/>
        <v>NA</v>
      </c>
      <c r="BO41" s="12" t="str">
        <f t="shared" ca="1" si="27"/>
        <v>NA</v>
      </c>
      <c r="BP41" s="5"/>
      <c r="BQ41" s="5"/>
      <c r="BR41" s="5"/>
      <c r="BS41" s="12" t="str">
        <f t="shared" ca="1" si="28"/>
        <v>NA</v>
      </c>
      <c r="BT41" s="12" t="str">
        <f t="shared" ca="1" si="29"/>
        <v>NA</v>
      </c>
      <c r="BU41" s="12" t="str">
        <f t="shared" ca="1" si="30"/>
        <v>NA</v>
      </c>
      <c r="BV41" s="5"/>
      <c r="BW41" s="5"/>
      <c r="BX41" s="12" t="str">
        <f t="shared" ca="1" si="31"/>
        <v>NA</v>
      </c>
      <c r="BY41" s="12" t="str">
        <f t="shared" ca="1" si="32"/>
        <v>NA</v>
      </c>
      <c r="BZ41" s="12" t="str">
        <f t="shared" ca="1" si="33"/>
        <v>NA</v>
      </c>
      <c r="CA41" s="5"/>
    </row>
    <row r="42" spans="1:79" ht="12.75" customHeight="1" x14ac:dyDescent="0.15">
      <c r="A42" s="4">
        <v>1084</v>
      </c>
      <c r="B42" s="5" t="s">
        <v>79</v>
      </c>
      <c r="C42" s="5" t="s">
        <v>79</v>
      </c>
      <c r="D42" s="6" t="s">
        <v>289</v>
      </c>
      <c r="E42" s="7">
        <v>102635</v>
      </c>
      <c r="F42" s="6" t="s">
        <v>290</v>
      </c>
      <c r="G42" s="8"/>
      <c r="H42" s="8"/>
      <c r="I42" s="8"/>
      <c r="J42" s="8"/>
      <c r="K42" s="8"/>
      <c r="L42" s="8" t="s">
        <v>82</v>
      </c>
      <c r="M42" s="7">
        <v>1041</v>
      </c>
      <c r="N42" s="7">
        <v>1040</v>
      </c>
      <c r="O42" s="13">
        <v>33824</v>
      </c>
      <c r="P42" s="10">
        <f t="shared" ca="1" si="0"/>
        <v>6.8305555555555557</v>
      </c>
      <c r="Q42" s="5">
        <f t="shared" ca="1" si="1"/>
        <v>81</v>
      </c>
      <c r="R42" s="5">
        <f t="shared" ca="1" si="2"/>
        <v>2494</v>
      </c>
      <c r="S42" s="7">
        <f t="shared" ca="1" si="3"/>
        <v>1992</v>
      </c>
      <c r="T42" s="7">
        <f t="shared" ca="1" si="4"/>
        <v>8</v>
      </c>
      <c r="U42" s="7">
        <f t="shared" ca="1" si="5"/>
        <v>8</v>
      </c>
      <c r="V42" s="6" t="s">
        <v>291</v>
      </c>
      <c r="W42" s="14" t="s">
        <v>96</v>
      </c>
      <c r="X42" s="15"/>
      <c r="Y42" s="5">
        <f t="shared" ca="1" si="6"/>
        <v>0</v>
      </c>
      <c r="Z42" s="6"/>
      <c r="AA42" s="12" t="str">
        <f t="shared" ca="1" si="7"/>
        <v>NA</v>
      </c>
      <c r="AB42" s="12" t="str">
        <f t="shared" ca="1" si="8"/>
        <v>NA</v>
      </c>
      <c r="AC42" s="12" t="str">
        <f t="shared" ca="1" si="9"/>
        <v>NA</v>
      </c>
      <c r="AD42" s="6"/>
      <c r="AE42" s="5"/>
      <c r="AF42" s="6"/>
      <c r="AG42" s="11">
        <v>36318</v>
      </c>
      <c r="AH42" s="12">
        <f t="shared" ca="1" si="10"/>
        <v>1999</v>
      </c>
      <c r="AI42" s="12">
        <f t="shared" ca="1" si="11"/>
        <v>6</v>
      </c>
      <c r="AJ42" s="12">
        <f t="shared" ca="1" si="12"/>
        <v>7</v>
      </c>
      <c r="AK42" s="8" t="s">
        <v>292</v>
      </c>
      <c r="AL42" s="8"/>
      <c r="AM42" s="5"/>
      <c r="AN42" s="5"/>
      <c r="AO42" s="5"/>
      <c r="AP42" s="12" t="str">
        <f t="shared" ca="1" si="13"/>
        <v>NA</v>
      </c>
      <c r="AQ42" s="12" t="str">
        <f t="shared" ca="1" si="14"/>
        <v>NA</v>
      </c>
      <c r="AR42" s="12" t="str">
        <f t="shared" ca="1" si="15"/>
        <v>NA</v>
      </c>
      <c r="AS42" s="5"/>
      <c r="AT42" s="5"/>
      <c r="AU42" s="5"/>
      <c r="AV42" s="12" t="str">
        <f t="shared" ca="1" si="16"/>
        <v>NA</v>
      </c>
      <c r="AW42" s="12" t="str">
        <f t="shared" ca="1" si="17"/>
        <v>NA</v>
      </c>
      <c r="AX42" s="12" t="str">
        <f t="shared" ca="1" si="18"/>
        <v>NA</v>
      </c>
      <c r="AY42" s="5"/>
      <c r="AZ42" s="5"/>
      <c r="BA42" s="6"/>
      <c r="BB42" s="12" t="str">
        <f t="shared" ca="1" si="19"/>
        <v>NA</v>
      </c>
      <c r="BC42" s="12" t="str">
        <f t="shared" ca="1" si="20"/>
        <v>NA</v>
      </c>
      <c r="BD42" s="12" t="str">
        <f t="shared" ca="1" si="21"/>
        <v>NA</v>
      </c>
      <c r="BE42" s="5"/>
      <c r="BF42" s="5"/>
      <c r="BG42" s="5"/>
      <c r="BH42" s="12" t="str">
        <f t="shared" ca="1" si="22"/>
        <v>NA</v>
      </c>
      <c r="BI42" s="12" t="str">
        <f t="shared" ca="1" si="23"/>
        <v>NA</v>
      </c>
      <c r="BJ42" s="12" t="str">
        <f t="shared" ca="1" si="24"/>
        <v>NA</v>
      </c>
      <c r="BK42" s="5"/>
      <c r="BL42" s="5"/>
      <c r="BM42" s="12" t="str">
        <f t="shared" ca="1" si="25"/>
        <v>NA</v>
      </c>
      <c r="BN42" s="12" t="str">
        <f t="shared" ca="1" si="26"/>
        <v>NA</v>
      </c>
      <c r="BO42" s="12" t="str">
        <f t="shared" ca="1" si="27"/>
        <v>NA</v>
      </c>
      <c r="BP42" s="5"/>
      <c r="BQ42" s="5"/>
      <c r="BR42" s="5"/>
      <c r="BS42" s="12" t="str">
        <f t="shared" ca="1" si="28"/>
        <v>NA</v>
      </c>
      <c r="BT42" s="12" t="str">
        <f t="shared" ca="1" si="29"/>
        <v>NA</v>
      </c>
      <c r="BU42" s="12" t="str">
        <f t="shared" ca="1" si="30"/>
        <v>NA</v>
      </c>
      <c r="BV42" s="5"/>
      <c r="BW42" s="5"/>
      <c r="BX42" s="12" t="str">
        <f t="shared" ca="1" si="31"/>
        <v>NA</v>
      </c>
      <c r="BY42" s="12" t="str">
        <f t="shared" ca="1" si="32"/>
        <v>NA</v>
      </c>
      <c r="BZ42" s="12" t="str">
        <f t="shared" ca="1" si="33"/>
        <v>NA</v>
      </c>
      <c r="CA42" s="5"/>
    </row>
    <row r="43" spans="1:79" ht="12.75" customHeight="1" x14ac:dyDescent="0.15">
      <c r="A43" s="4">
        <v>1085</v>
      </c>
      <c r="B43" s="5" t="s">
        <v>79</v>
      </c>
      <c r="C43" s="5" t="s">
        <v>79</v>
      </c>
      <c r="D43" s="6" t="s">
        <v>293</v>
      </c>
      <c r="E43" s="7">
        <v>102636</v>
      </c>
      <c r="F43" s="6" t="s">
        <v>294</v>
      </c>
      <c r="G43" s="8"/>
      <c r="H43" s="8"/>
      <c r="I43" s="8"/>
      <c r="J43" s="8"/>
      <c r="K43" s="8"/>
      <c r="L43" s="8" t="s">
        <v>82</v>
      </c>
      <c r="M43" s="7">
        <v>1041</v>
      </c>
      <c r="N43" s="7">
        <v>1040</v>
      </c>
      <c r="O43" s="13">
        <v>33824</v>
      </c>
      <c r="P43" s="10">
        <f t="shared" ca="1" si="0"/>
        <v>5.5555555555555558E-3</v>
      </c>
      <c r="Q43" s="5">
        <f t="shared" ca="1" si="1"/>
        <v>0</v>
      </c>
      <c r="R43" s="5">
        <f t="shared" ca="1" si="2"/>
        <v>2</v>
      </c>
      <c r="S43" s="7">
        <f t="shared" ca="1" si="3"/>
        <v>1992</v>
      </c>
      <c r="T43" s="7">
        <f t="shared" ca="1" si="4"/>
        <v>8</v>
      </c>
      <c r="U43" s="7">
        <f t="shared" ca="1" si="5"/>
        <v>8</v>
      </c>
      <c r="V43" s="6" t="s">
        <v>295</v>
      </c>
      <c r="W43" s="14" t="s">
        <v>96</v>
      </c>
      <c r="X43" s="15"/>
      <c r="Y43" s="5">
        <f t="shared" ca="1" si="6"/>
        <v>0</v>
      </c>
      <c r="Z43" s="6"/>
      <c r="AA43" s="12" t="str">
        <f t="shared" ca="1" si="7"/>
        <v>NA</v>
      </c>
      <c r="AB43" s="12" t="str">
        <f t="shared" ca="1" si="8"/>
        <v>NA</v>
      </c>
      <c r="AC43" s="12" t="str">
        <f t="shared" ca="1" si="9"/>
        <v>NA</v>
      </c>
      <c r="AD43" s="6"/>
      <c r="AE43" s="5"/>
      <c r="AF43" s="6"/>
      <c r="AG43" s="11">
        <v>33826</v>
      </c>
      <c r="AH43" s="12">
        <f t="shared" ca="1" si="10"/>
        <v>1992</v>
      </c>
      <c r="AI43" s="12">
        <f t="shared" ca="1" si="11"/>
        <v>8</v>
      </c>
      <c r="AJ43" s="12">
        <f t="shared" ca="1" si="12"/>
        <v>10</v>
      </c>
      <c r="AK43" s="8" t="s">
        <v>296</v>
      </c>
      <c r="AL43" s="8"/>
      <c r="AM43" s="5"/>
      <c r="AN43" s="5"/>
      <c r="AO43" s="5"/>
      <c r="AP43" s="12" t="str">
        <f t="shared" ca="1" si="13"/>
        <v>NA</v>
      </c>
      <c r="AQ43" s="12" t="str">
        <f t="shared" ca="1" si="14"/>
        <v>NA</v>
      </c>
      <c r="AR43" s="12" t="str">
        <f t="shared" ca="1" si="15"/>
        <v>NA</v>
      </c>
      <c r="AS43" s="5"/>
      <c r="AT43" s="5"/>
      <c r="AU43" s="5"/>
      <c r="AV43" s="12" t="str">
        <f t="shared" ca="1" si="16"/>
        <v>NA</v>
      </c>
      <c r="AW43" s="12" t="str">
        <f t="shared" ca="1" si="17"/>
        <v>NA</v>
      </c>
      <c r="AX43" s="12" t="str">
        <f t="shared" ca="1" si="18"/>
        <v>NA</v>
      </c>
      <c r="AY43" s="5"/>
      <c r="AZ43" s="5"/>
      <c r="BA43" s="6"/>
      <c r="BB43" s="12" t="str">
        <f t="shared" ca="1" si="19"/>
        <v>NA</v>
      </c>
      <c r="BC43" s="12" t="str">
        <f t="shared" ca="1" si="20"/>
        <v>NA</v>
      </c>
      <c r="BD43" s="12" t="str">
        <f t="shared" ca="1" si="21"/>
        <v>NA</v>
      </c>
      <c r="BE43" s="5"/>
      <c r="BF43" s="5"/>
      <c r="BG43" s="5"/>
      <c r="BH43" s="12" t="str">
        <f t="shared" ca="1" si="22"/>
        <v>NA</v>
      </c>
      <c r="BI43" s="12" t="str">
        <f t="shared" ca="1" si="23"/>
        <v>NA</v>
      </c>
      <c r="BJ43" s="12" t="str">
        <f t="shared" ca="1" si="24"/>
        <v>NA</v>
      </c>
      <c r="BK43" s="5"/>
      <c r="BL43" s="5"/>
      <c r="BM43" s="12" t="str">
        <f t="shared" ca="1" si="25"/>
        <v>NA</v>
      </c>
      <c r="BN43" s="12" t="str">
        <f t="shared" ca="1" si="26"/>
        <v>NA</v>
      </c>
      <c r="BO43" s="12" t="str">
        <f t="shared" ca="1" si="27"/>
        <v>NA</v>
      </c>
      <c r="BP43" s="5"/>
      <c r="BQ43" s="5"/>
      <c r="BR43" s="5"/>
      <c r="BS43" s="12" t="str">
        <f t="shared" ca="1" si="28"/>
        <v>NA</v>
      </c>
      <c r="BT43" s="12" t="str">
        <f t="shared" ca="1" si="29"/>
        <v>NA</v>
      </c>
      <c r="BU43" s="12" t="str">
        <f t="shared" ca="1" si="30"/>
        <v>NA</v>
      </c>
      <c r="BV43" s="5"/>
      <c r="BW43" s="5"/>
      <c r="BX43" s="12" t="str">
        <f t="shared" ca="1" si="31"/>
        <v>NA</v>
      </c>
      <c r="BY43" s="12" t="str">
        <f t="shared" ca="1" si="32"/>
        <v>NA</v>
      </c>
      <c r="BZ43" s="12" t="str">
        <f t="shared" ca="1" si="33"/>
        <v>NA</v>
      </c>
      <c r="CA43" s="5"/>
    </row>
    <row r="44" spans="1:79" ht="12.75" customHeight="1" x14ac:dyDescent="0.15">
      <c r="A44" s="4">
        <v>1086</v>
      </c>
      <c r="B44" s="5" t="s">
        <v>79</v>
      </c>
      <c r="C44" s="5" t="s">
        <v>79</v>
      </c>
      <c r="D44" s="6" t="s">
        <v>297</v>
      </c>
      <c r="E44" s="7">
        <v>102637</v>
      </c>
      <c r="F44" s="6" t="s">
        <v>298</v>
      </c>
      <c r="G44" s="8"/>
      <c r="H44" s="8"/>
      <c r="I44" s="8"/>
      <c r="J44" s="8"/>
      <c r="K44" s="8"/>
      <c r="L44" s="8" t="s">
        <v>82</v>
      </c>
      <c r="M44" s="7">
        <v>1041</v>
      </c>
      <c r="N44" s="7">
        <v>1040</v>
      </c>
      <c r="O44" s="13">
        <v>33824</v>
      </c>
      <c r="P44" s="10">
        <f t="shared" ca="1" si="0"/>
        <v>2.7777777777777779E-3</v>
      </c>
      <c r="Q44" s="5">
        <f t="shared" ca="1" si="1"/>
        <v>0</v>
      </c>
      <c r="R44" s="5">
        <f t="shared" ca="1" si="2"/>
        <v>1</v>
      </c>
      <c r="S44" s="7">
        <f t="shared" ca="1" si="3"/>
        <v>1992</v>
      </c>
      <c r="T44" s="7">
        <f t="shared" ca="1" si="4"/>
        <v>8</v>
      </c>
      <c r="U44" s="7">
        <f t="shared" ca="1" si="5"/>
        <v>8</v>
      </c>
      <c r="V44" s="6" t="s">
        <v>299</v>
      </c>
      <c r="W44" s="14" t="s">
        <v>96</v>
      </c>
      <c r="X44" s="15"/>
      <c r="Y44" s="5">
        <f t="shared" ca="1" si="6"/>
        <v>0</v>
      </c>
      <c r="Z44" s="6"/>
      <c r="AA44" s="12" t="str">
        <f t="shared" ca="1" si="7"/>
        <v>NA</v>
      </c>
      <c r="AB44" s="12" t="str">
        <f t="shared" ca="1" si="8"/>
        <v>NA</v>
      </c>
      <c r="AC44" s="12" t="str">
        <f t="shared" ca="1" si="9"/>
        <v>NA</v>
      </c>
      <c r="AD44" s="6"/>
      <c r="AE44" s="5"/>
      <c r="AF44" s="6"/>
      <c r="AG44" s="11">
        <v>33825</v>
      </c>
      <c r="AH44" s="12">
        <f t="shared" ca="1" si="10"/>
        <v>1992</v>
      </c>
      <c r="AI44" s="12">
        <f t="shared" ca="1" si="11"/>
        <v>8</v>
      </c>
      <c r="AJ44" s="12">
        <f t="shared" ca="1" si="12"/>
        <v>9</v>
      </c>
      <c r="AK44" s="8" t="s">
        <v>300</v>
      </c>
      <c r="AL44" s="8"/>
      <c r="AM44" s="5"/>
      <c r="AN44" s="5"/>
      <c r="AO44" s="5"/>
      <c r="AP44" s="12" t="str">
        <f t="shared" ca="1" si="13"/>
        <v>NA</v>
      </c>
      <c r="AQ44" s="12" t="str">
        <f t="shared" ca="1" si="14"/>
        <v>NA</v>
      </c>
      <c r="AR44" s="12" t="str">
        <f t="shared" ca="1" si="15"/>
        <v>NA</v>
      </c>
      <c r="AS44" s="5"/>
      <c r="AT44" s="5"/>
      <c r="AU44" s="5"/>
      <c r="AV44" s="12" t="str">
        <f t="shared" ca="1" si="16"/>
        <v>NA</v>
      </c>
      <c r="AW44" s="12" t="str">
        <f t="shared" ca="1" si="17"/>
        <v>NA</v>
      </c>
      <c r="AX44" s="12" t="str">
        <f t="shared" ca="1" si="18"/>
        <v>NA</v>
      </c>
      <c r="AY44" s="5"/>
      <c r="AZ44" s="5"/>
      <c r="BA44" s="6"/>
      <c r="BB44" s="12" t="str">
        <f t="shared" ca="1" si="19"/>
        <v>NA</v>
      </c>
      <c r="BC44" s="12" t="str">
        <f t="shared" ca="1" si="20"/>
        <v>NA</v>
      </c>
      <c r="BD44" s="12" t="str">
        <f t="shared" ca="1" si="21"/>
        <v>NA</v>
      </c>
      <c r="BE44" s="5"/>
      <c r="BF44" s="5"/>
      <c r="BG44" s="5"/>
      <c r="BH44" s="12" t="str">
        <f t="shared" ca="1" si="22"/>
        <v>NA</v>
      </c>
      <c r="BI44" s="12" t="str">
        <f t="shared" ca="1" si="23"/>
        <v>NA</v>
      </c>
      <c r="BJ44" s="12" t="str">
        <f t="shared" ca="1" si="24"/>
        <v>NA</v>
      </c>
      <c r="BK44" s="5"/>
      <c r="BL44" s="5"/>
      <c r="BM44" s="12" t="str">
        <f t="shared" ca="1" si="25"/>
        <v>NA</v>
      </c>
      <c r="BN44" s="12" t="str">
        <f t="shared" ca="1" si="26"/>
        <v>NA</v>
      </c>
      <c r="BO44" s="12" t="str">
        <f t="shared" ca="1" si="27"/>
        <v>NA</v>
      </c>
      <c r="BP44" s="5"/>
      <c r="BQ44" s="5"/>
      <c r="BR44" s="5"/>
      <c r="BS44" s="12" t="str">
        <f t="shared" ca="1" si="28"/>
        <v>NA</v>
      </c>
      <c r="BT44" s="12" t="str">
        <f t="shared" ca="1" si="29"/>
        <v>NA</v>
      </c>
      <c r="BU44" s="12" t="str">
        <f t="shared" ca="1" si="30"/>
        <v>NA</v>
      </c>
      <c r="BV44" s="5"/>
      <c r="BW44" s="5"/>
      <c r="BX44" s="12" t="str">
        <f t="shared" ca="1" si="31"/>
        <v>NA</v>
      </c>
      <c r="BY44" s="12" t="str">
        <f t="shared" ca="1" si="32"/>
        <v>NA</v>
      </c>
      <c r="BZ44" s="12" t="str">
        <f t="shared" ca="1" si="33"/>
        <v>NA</v>
      </c>
      <c r="CA44" s="5"/>
    </row>
    <row r="45" spans="1:79" ht="12.75" customHeight="1" x14ac:dyDescent="0.15">
      <c r="A45" s="4">
        <v>1090</v>
      </c>
      <c r="B45" s="5" t="s">
        <v>79</v>
      </c>
      <c r="C45" s="5" t="s">
        <v>79</v>
      </c>
      <c r="D45" s="6" t="s">
        <v>301</v>
      </c>
      <c r="E45" s="18"/>
      <c r="F45" s="6" t="s">
        <v>302</v>
      </c>
      <c r="G45" s="8"/>
      <c r="H45" s="8"/>
      <c r="I45" s="8"/>
      <c r="J45" s="8"/>
      <c r="K45" s="8"/>
      <c r="L45" s="8" t="s">
        <v>82</v>
      </c>
      <c r="M45" s="7">
        <v>1015</v>
      </c>
      <c r="N45" s="7">
        <v>1014</v>
      </c>
      <c r="O45" s="13">
        <v>33922</v>
      </c>
      <c r="P45" s="10">
        <f t="shared" ca="1" si="0"/>
        <v>14.558333333333334</v>
      </c>
      <c r="Q45" s="5">
        <f t="shared" ca="1" si="1"/>
        <v>174</v>
      </c>
      <c r="R45" s="5">
        <f t="shared" ca="1" si="2"/>
        <v>5316</v>
      </c>
      <c r="S45" s="7">
        <f t="shared" ca="1" si="3"/>
        <v>1992</v>
      </c>
      <c r="T45" s="7">
        <f t="shared" ca="1" si="4"/>
        <v>11</v>
      </c>
      <c r="U45" s="7">
        <f t="shared" ca="1" si="5"/>
        <v>14</v>
      </c>
      <c r="V45" s="6" t="s">
        <v>303</v>
      </c>
      <c r="W45" s="14" t="s">
        <v>96</v>
      </c>
      <c r="X45" s="15"/>
      <c r="Y45" s="5">
        <f t="shared" ca="1" si="6"/>
        <v>1</v>
      </c>
      <c r="Z45" s="6"/>
      <c r="AA45" s="12" t="str">
        <f t="shared" ca="1" si="7"/>
        <v>NA</v>
      </c>
      <c r="AB45" s="12" t="str">
        <f t="shared" ca="1" si="8"/>
        <v>NA</v>
      </c>
      <c r="AC45" s="12" t="str">
        <f t="shared" ca="1" si="9"/>
        <v>NA</v>
      </c>
      <c r="AD45" s="6"/>
      <c r="AE45" s="5"/>
      <c r="AF45" s="6"/>
      <c r="AG45" s="11">
        <v>39238</v>
      </c>
      <c r="AH45" s="12">
        <f t="shared" ca="1" si="10"/>
        <v>2007</v>
      </c>
      <c r="AI45" s="12">
        <f t="shared" ca="1" si="11"/>
        <v>6</v>
      </c>
      <c r="AJ45" s="12">
        <f t="shared" ca="1" si="12"/>
        <v>5</v>
      </c>
      <c r="AK45" s="8" t="s">
        <v>304</v>
      </c>
      <c r="AL45" s="8"/>
      <c r="AM45" s="5"/>
      <c r="AN45" s="5"/>
      <c r="AO45" s="11">
        <v>38433</v>
      </c>
      <c r="AP45" s="12">
        <f t="shared" ca="1" si="13"/>
        <v>2005</v>
      </c>
      <c r="AQ45" s="12">
        <f t="shared" ca="1" si="14"/>
        <v>3</v>
      </c>
      <c r="AR45" s="12">
        <f t="shared" ca="1" si="15"/>
        <v>22</v>
      </c>
      <c r="AS45" s="8" t="s">
        <v>305</v>
      </c>
      <c r="AT45" s="8"/>
      <c r="AU45" s="5"/>
      <c r="AV45" s="12" t="str">
        <f t="shared" ca="1" si="16"/>
        <v>NA</v>
      </c>
      <c r="AW45" s="12" t="str">
        <f t="shared" ca="1" si="17"/>
        <v>NA</v>
      </c>
      <c r="AX45" s="12" t="str">
        <f t="shared" ca="1" si="18"/>
        <v>NA</v>
      </c>
      <c r="AY45" s="5"/>
      <c r="AZ45" s="5"/>
      <c r="BA45" s="6"/>
      <c r="BB45" s="12" t="str">
        <f t="shared" ca="1" si="19"/>
        <v>NA</v>
      </c>
      <c r="BC45" s="12" t="str">
        <f t="shared" ca="1" si="20"/>
        <v>NA</v>
      </c>
      <c r="BD45" s="12" t="str">
        <f t="shared" ca="1" si="21"/>
        <v>NA</v>
      </c>
      <c r="BE45" s="5"/>
      <c r="BF45" s="5"/>
      <c r="BG45" s="5"/>
      <c r="BH45" s="12" t="str">
        <f t="shared" ca="1" si="22"/>
        <v>NA</v>
      </c>
      <c r="BI45" s="12" t="str">
        <f t="shared" ca="1" si="23"/>
        <v>NA</v>
      </c>
      <c r="BJ45" s="12" t="str">
        <f t="shared" ca="1" si="24"/>
        <v>NA</v>
      </c>
      <c r="BK45" s="5"/>
      <c r="BL45" s="5"/>
      <c r="BM45" s="12" t="str">
        <f t="shared" ca="1" si="25"/>
        <v>NA</v>
      </c>
      <c r="BN45" s="12" t="str">
        <f t="shared" ca="1" si="26"/>
        <v>NA</v>
      </c>
      <c r="BO45" s="12" t="str">
        <f t="shared" ca="1" si="27"/>
        <v>NA</v>
      </c>
      <c r="BP45" s="5"/>
      <c r="BQ45" s="5"/>
      <c r="BR45" s="5"/>
      <c r="BS45" s="12" t="str">
        <f t="shared" ca="1" si="28"/>
        <v>NA</v>
      </c>
      <c r="BT45" s="12" t="str">
        <f t="shared" ca="1" si="29"/>
        <v>NA</v>
      </c>
      <c r="BU45" s="12" t="str">
        <f t="shared" ca="1" si="30"/>
        <v>NA</v>
      </c>
      <c r="BV45" s="5"/>
      <c r="BW45" s="5"/>
      <c r="BX45" s="12" t="str">
        <f t="shared" ca="1" si="31"/>
        <v>NA</v>
      </c>
      <c r="BY45" s="12" t="str">
        <f t="shared" ca="1" si="32"/>
        <v>NA</v>
      </c>
      <c r="BZ45" s="12" t="str">
        <f t="shared" ca="1" si="33"/>
        <v>NA</v>
      </c>
      <c r="CA45" s="5"/>
    </row>
    <row r="46" spans="1:79" ht="12.75" customHeight="1" x14ac:dyDescent="0.15">
      <c r="A46" s="4">
        <v>1091</v>
      </c>
      <c r="B46" s="5" t="s">
        <v>79</v>
      </c>
      <c r="C46" s="5" t="s">
        <v>79</v>
      </c>
      <c r="D46" s="6" t="s">
        <v>306</v>
      </c>
      <c r="E46" s="7">
        <v>591</v>
      </c>
      <c r="F46" s="6" t="s">
        <v>307</v>
      </c>
      <c r="G46" s="8"/>
      <c r="H46" s="8"/>
      <c r="I46" s="8"/>
      <c r="J46" s="8"/>
      <c r="K46" s="8"/>
      <c r="L46" s="8" t="s">
        <v>82</v>
      </c>
      <c r="M46" s="7">
        <v>1015</v>
      </c>
      <c r="N46" s="7">
        <v>1014</v>
      </c>
      <c r="O46" s="13">
        <v>33922</v>
      </c>
      <c r="P46" s="10">
        <f t="shared" ca="1" si="0"/>
        <v>15.019444444444444</v>
      </c>
      <c r="Q46" s="5">
        <f t="shared" ca="1" si="1"/>
        <v>180</v>
      </c>
      <c r="R46" s="5">
        <f t="shared" ca="1" si="2"/>
        <v>5485</v>
      </c>
      <c r="S46" s="7">
        <f t="shared" ca="1" si="3"/>
        <v>1992</v>
      </c>
      <c r="T46" s="7">
        <f t="shared" ca="1" si="4"/>
        <v>11</v>
      </c>
      <c r="U46" s="7">
        <f t="shared" ca="1" si="5"/>
        <v>14</v>
      </c>
      <c r="V46" s="6" t="s">
        <v>308</v>
      </c>
      <c r="W46" s="14" t="s">
        <v>96</v>
      </c>
      <c r="X46" s="15"/>
      <c r="Y46" s="5">
        <f t="shared" ca="1" si="6"/>
        <v>1</v>
      </c>
      <c r="Z46" s="6"/>
      <c r="AA46" s="12" t="str">
        <f t="shared" ca="1" si="7"/>
        <v>NA</v>
      </c>
      <c r="AB46" s="12" t="str">
        <f t="shared" ca="1" si="8"/>
        <v>NA</v>
      </c>
      <c r="AC46" s="12" t="str">
        <f t="shared" ca="1" si="9"/>
        <v>NA</v>
      </c>
      <c r="AD46" s="6"/>
      <c r="AE46" s="5"/>
      <c r="AF46" s="6"/>
      <c r="AG46" s="11">
        <v>39407</v>
      </c>
      <c r="AH46" s="12">
        <f t="shared" ca="1" si="10"/>
        <v>2007</v>
      </c>
      <c r="AI46" s="12">
        <f t="shared" ca="1" si="11"/>
        <v>11</v>
      </c>
      <c r="AJ46" s="12">
        <f t="shared" ca="1" si="12"/>
        <v>21</v>
      </c>
      <c r="AK46" s="8" t="s">
        <v>309</v>
      </c>
      <c r="AL46" s="8"/>
      <c r="AM46" s="5"/>
      <c r="AN46" s="5"/>
      <c r="AO46" s="11">
        <v>38275</v>
      </c>
      <c r="AP46" s="12">
        <f t="shared" ca="1" si="13"/>
        <v>2004</v>
      </c>
      <c r="AQ46" s="12">
        <f t="shared" ca="1" si="14"/>
        <v>10</v>
      </c>
      <c r="AR46" s="12">
        <f t="shared" ca="1" si="15"/>
        <v>15</v>
      </c>
      <c r="AS46" s="8" t="s">
        <v>310</v>
      </c>
      <c r="AT46" s="8"/>
      <c r="AU46" s="5"/>
      <c r="AV46" s="12" t="str">
        <f t="shared" ca="1" si="16"/>
        <v>NA</v>
      </c>
      <c r="AW46" s="12" t="str">
        <f t="shared" ca="1" si="17"/>
        <v>NA</v>
      </c>
      <c r="AX46" s="12" t="str">
        <f t="shared" ca="1" si="18"/>
        <v>NA</v>
      </c>
      <c r="AY46" s="5"/>
      <c r="AZ46" s="5"/>
      <c r="BA46" s="6"/>
      <c r="BB46" s="12" t="str">
        <f t="shared" ca="1" si="19"/>
        <v>NA</v>
      </c>
      <c r="BC46" s="12" t="str">
        <f t="shared" ca="1" si="20"/>
        <v>NA</v>
      </c>
      <c r="BD46" s="12" t="str">
        <f t="shared" ca="1" si="21"/>
        <v>NA</v>
      </c>
      <c r="BE46" s="5"/>
      <c r="BF46" s="5"/>
      <c r="BG46" s="5"/>
      <c r="BH46" s="12" t="str">
        <f t="shared" ca="1" si="22"/>
        <v>NA</v>
      </c>
      <c r="BI46" s="12" t="str">
        <f t="shared" ca="1" si="23"/>
        <v>NA</v>
      </c>
      <c r="BJ46" s="12" t="str">
        <f t="shared" ca="1" si="24"/>
        <v>NA</v>
      </c>
      <c r="BK46" s="5"/>
      <c r="BL46" s="5"/>
      <c r="BM46" s="12" t="str">
        <f t="shared" ca="1" si="25"/>
        <v>NA</v>
      </c>
      <c r="BN46" s="12" t="str">
        <f t="shared" ca="1" si="26"/>
        <v>NA</v>
      </c>
      <c r="BO46" s="12" t="str">
        <f t="shared" ca="1" si="27"/>
        <v>NA</v>
      </c>
      <c r="BP46" s="5"/>
      <c r="BQ46" s="5"/>
      <c r="BR46" s="5"/>
      <c r="BS46" s="12" t="str">
        <f t="shared" ca="1" si="28"/>
        <v>NA</v>
      </c>
      <c r="BT46" s="12" t="str">
        <f t="shared" ca="1" si="29"/>
        <v>NA</v>
      </c>
      <c r="BU46" s="12" t="str">
        <f t="shared" ca="1" si="30"/>
        <v>NA</v>
      </c>
      <c r="BV46" s="5"/>
      <c r="BW46" s="5"/>
      <c r="BX46" s="12" t="str">
        <f t="shared" ca="1" si="31"/>
        <v>NA</v>
      </c>
      <c r="BY46" s="12" t="str">
        <f t="shared" ca="1" si="32"/>
        <v>NA</v>
      </c>
      <c r="BZ46" s="12" t="str">
        <f t="shared" ca="1" si="33"/>
        <v>NA</v>
      </c>
      <c r="CA46" s="5"/>
    </row>
    <row r="47" spans="1:79" ht="12.75" customHeight="1" x14ac:dyDescent="0.15">
      <c r="A47" s="4">
        <v>1092</v>
      </c>
      <c r="B47" s="5" t="s">
        <v>79</v>
      </c>
      <c r="C47" s="5" t="s">
        <v>79</v>
      </c>
      <c r="D47" s="6" t="s">
        <v>311</v>
      </c>
      <c r="E47" s="7">
        <v>593089</v>
      </c>
      <c r="F47" s="6" t="s">
        <v>312</v>
      </c>
      <c r="G47" s="8"/>
      <c r="H47" s="8"/>
      <c r="I47" s="8"/>
      <c r="J47" s="8"/>
      <c r="K47" s="8"/>
      <c r="L47" s="8" t="s">
        <v>82</v>
      </c>
      <c r="M47" s="7">
        <v>1017</v>
      </c>
      <c r="N47" s="7">
        <v>1021</v>
      </c>
      <c r="O47" s="13">
        <v>34052</v>
      </c>
      <c r="P47" s="10">
        <f t="shared" ca="1" si="0"/>
        <v>8.3333333333333332E-3</v>
      </c>
      <c r="Q47" s="5">
        <f t="shared" ca="1" si="1"/>
        <v>0</v>
      </c>
      <c r="R47" s="5">
        <f t="shared" ca="1" si="2"/>
        <v>3</v>
      </c>
      <c r="S47" s="7">
        <f t="shared" ca="1" si="3"/>
        <v>1993</v>
      </c>
      <c r="T47" s="7">
        <f t="shared" ca="1" si="4"/>
        <v>3</v>
      </c>
      <c r="U47" s="7">
        <f t="shared" ca="1" si="5"/>
        <v>24</v>
      </c>
      <c r="V47" s="6" t="s">
        <v>313</v>
      </c>
      <c r="W47" s="14" t="s">
        <v>96</v>
      </c>
      <c r="X47" s="15"/>
      <c r="Y47" s="5">
        <f t="shared" ca="1" si="6"/>
        <v>0</v>
      </c>
      <c r="Z47" s="6"/>
      <c r="AA47" s="12" t="str">
        <f t="shared" ca="1" si="7"/>
        <v>NA</v>
      </c>
      <c r="AB47" s="12" t="str">
        <f t="shared" ca="1" si="8"/>
        <v>NA</v>
      </c>
      <c r="AC47" s="12" t="str">
        <f t="shared" ca="1" si="9"/>
        <v>NA</v>
      </c>
      <c r="AD47" s="6"/>
      <c r="AE47" s="5"/>
      <c r="AF47" s="6"/>
      <c r="AG47" s="11">
        <v>34055</v>
      </c>
      <c r="AH47" s="12">
        <f t="shared" ca="1" si="10"/>
        <v>1993</v>
      </c>
      <c r="AI47" s="12">
        <f t="shared" ca="1" si="11"/>
        <v>3</v>
      </c>
      <c r="AJ47" s="12">
        <f t="shared" ca="1" si="12"/>
        <v>27</v>
      </c>
      <c r="AK47" s="8" t="s">
        <v>314</v>
      </c>
      <c r="AL47" s="8"/>
      <c r="AM47" s="5"/>
      <c r="AN47" s="5"/>
      <c r="AO47" s="5"/>
      <c r="AP47" s="12" t="str">
        <f t="shared" ca="1" si="13"/>
        <v>NA</v>
      </c>
      <c r="AQ47" s="12" t="str">
        <f t="shared" ca="1" si="14"/>
        <v>NA</v>
      </c>
      <c r="AR47" s="12" t="str">
        <f t="shared" ca="1" si="15"/>
        <v>NA</v>
      </c>
      <c r="AS47" s="5"/>
      <c r="AT47" s="5"/>
      <c r="AU47" s="5"/>
      <c r="AV47" s="12" t="str">
        <f t="shared" ca="1" si="16"/>
        <v>NA</v>
      </c>
      <c r="AW47" s="12" t="str">
        <f t="shared" ca="1" si="17"/>
        <v>NA</v>
      </c>
      <c r="AX47" s="12" t="str">
        <f t="shared" ca="1" si="18"/>
        <v>NA</v>
      </c>
      <c r="AY47" s="5"/>
      <c r="AZ47" s="5"/>
      <c r="BA47" s="6"/>
      <c r="BB47" s="12" t="str">
        <f t="shared" ca="1" si="19"/>
        <v>NA</v>
      </c>
      <c r="BC47" s="12" t="str">
        <f t="shared" ca="1" si="20"/>
        <v>NA</v>
      </c>
      <c r="BD47" s="12" t="str">
        <f t="shared" ca="1" si="21"/>
        <v>NA</v>
      </c>
      <c r="BE47" s="5"/>
      <c r="BF47" s="5"/>
      <c r="BG47" s="5"/>
      <c r="BH47" s="12" t="str">
        <f t="shared" ca="1" si="22"/>
        <v>NA</v>
      </c>
      <c r="BI47" s="12" t="str">
        <f t="shared" ca="1" si="23"/>
        <v>NA</v>
      </c>
      <c r="BJ47" s="12" t="str">
        <f t="shared" ca="1" si="24"/>
        <v>NA</v>
      </c>
      <c r="BK47" s="5"/>
      <c r="BL47" s="5"/>
      <c r="BM47" s="12" t="str">
        <f t="shared" ca="1" si="25"/>
        <v>NA</v>
      </c>
      <c r="BN47" s="12" t="str">
        <f t="shared" ca="1" si="26"/>
        <v>NA</v>
      </c>
      <c r="BO47" s="12" t="str">
        <f t="shared" ca="1" si="27"/>
        <v>NA</v>
      </c>
      <c r="BP47" s="5"/>
      <c r="BQ47" s="5"/>
      <c r="BR47" s="5"/>
      <c r="BS47" s="12" t="str">
        <f t="shared" ca="1" si="28"/>
        <v>NA</v>
      </c>
      <c r="BT47" s="12" t="str">
        <f t="shared" ca="1" si="29"/>
        <v>NA</v>
      </c>
      <c r="BU47" s="12" t="str">
        <f t="shared" ca="1" si="30"/>
        <v>NA</v>
      </c>
      <c r="BV47" s="5"/>
      <c r="BW47" s="5"/>
      <c r="BX47" s="12" t="str">
        <f t="shared" ca="1" si="31"/>
        <v>NA</v>
      </c>
      <c r="BY47" s="12" t="str">
        <f t="shared" ca="1" si="32"/>
        <v>NA</v>
      </c>
      <c r="BZ47" s="12" t="str">
        <f t="shared" ca="1" si="33"/>
        <v>NA</v>
      </c>
      <c r="CA47" s="5"/>
    </row>
    <row r="48" spans="1:79" ht="12.75" customHeight="1" x14ac:dyDescent="0.15">
      <c r="A48" s="4">
        <v>1093</v>
      </c>
      <c r="B48" s="5" t="s">
        <v>79</v>
      </c>
      <c r="C48" s="5" t="s">
        <v>79</v>
      </c>
      <c r="D48" s="6" t="s">
        <v>315</v>
      </c>
      <c r="E48" s="7">
        <v>17084</v>
      </c>
      <c r="F48" s="6" t="s">
        <v>316</v>
      </c>
      <c r="G48" s="8"/>
      <c r="H48" s="8"/>
      <c r="I48" s="8"/>
      <c r="J48" s="8"/>
      <c r="K48" s="8"/>
      <c r="L48" s="8" t="s">
        <v>82</v>
      </c>
      <c r="M48" s="7">
        <v>1051</v>
      </c>
      <c r="N48" s="7">
        <v>1054</v>
      </c>
      <c r="O48" s="13">
        <v>34119</v>
      </c>
      <c r="P48" s="10">
        <f t="shared" ca="1" si="0"/>
        <v>9.8888888888888893</v>
      </c>
      <c r="Q48" s="5">
        <f t="shared" ca="1" si="1"/>
        <v>118</v>
      </c>
      <c r="R48" s="5">
        <f t="shared" ca="1" si="2"/>
        <v>3612</v>
      </c>
      <c r="S48" s="7">
        <f t="shared" ca="1" si="3"/>
        <v>1993</v>
      </c>
      <c r="T48" s="7">
        <f t="shared" ca="1" si="4"/>
        <v>5</v>
      </c>
      <c r="U48" s="7">
        <f t="shared" ca="1" si="5"/>
        <v>30</v>
      </c>
      <c r="V48" s="6" t="s">
        <v>317</v>
      </c>
      <c r="W48" s="14" t="s">
        <v>96</v>
      </c>
      <c r="X48" s="15"/>
      <c r="Y48" s="5">
        <f t="shared" ca="1" si="6"/>
        <v>1</v>
      </c>
      <c r="Z48" s="6"/>
      <c r="AA48" s="12" t="str">
        <f t="shared" ca="1" si="7"/>
        <v>NA</v>
      </c>
      <c r="AB48" s="12" t="str">
        <f t="shared" ca="1" si="8"/>
        <v>NA</v>
      </c>
      <c r="AC48" s="12" t="str">
        <f t="shared" ca="1" si="9"/>
        <v>NA</v>
      </c>
      <c r="AD48" s="6"/>
      <c r="AE48" s="5"/>
      <c r="AF48" s="6"/>
      <c r="AG48" s="11">
        <v>37731</v>
      </c>
      <c r="AH48" s="12">
        <f t="shared" ca="1" si="10"/>
        <v>2003</v>
      </c>
      <c r="AI48" s="12">
        <f t="shared" ca="1" si="11"/>
        <v>4</v>
      </c>
      <c r="AJ48" s="12">
        <f t="shared" ca="1" si="12"/>
        <v>20</v>
      </c>
      <c r="AK48" s="8" t="s">
        <v>318</v>
      </c>
      <c r="AL48" s="8"/>
      <c r="AM48" s="5"/>
      <c r="AN48" s="5"/>
      <c r="AO48" s="11">
        <v>35689</v>
      </c>
      <c r="AP48" s="12">
        <f t="shared" ca="1" si="13"/>
        <v>1997</v>
      </c>
      <c r="AQ48" s="12">
        <f t="shared" ca="1" si="14"/>
        <v>9</v>
      </c>
      <c r="AR48" s="12">
        <f t="shared" ca="1" si="15"/>
        <v>16</v>
      </c>
      <c r="AS48" s="8" t="s">
        <v>319</v>
      </c>
      <c r="AT48" s="8"/>
      <c r="AU48" s="5"/>
      <c r="AV48" s="12" t="str">
        <f t="shared" ca="1" si="16"/>
        <v>NA</v>
      </c>
      <c r="AW48" s="12" t="str">
        <f t="shared" ca="1" si="17"/>
        <v>NA</v>
      </c>
      <c r="AX48" s="12" t="str">
        <f t="shared" ca="1" si="18"/>
        <v>NA</v>
      </c>
      <c r="AY48" s="5"/>
      <c r="AZ48" s="5"/>
      <c r="BA48" s="6"/>
      <c r="BB48" s="12" t="str">
        <f t="shared" ca="1" si="19"/>
        <v>NA</v>
      </c>
      <c r="BC48" s="12" t="str">
        <f t="shared" ca="1" si="20"/>
        <v>NA</v>
      </c>
      <c r="BD48" s="12" t="str">
        <f t="shared" ca="1" si="21"/>
        <v>NA</v>
      </c>
      <c r="BE48" s="5"/>
      <c r="BF48" s="5"/>
      <c r="BG48" s="5"/>
      <c r="BH48" s="12" t="str">
        <f t="shared" ca="1" si="22"/>
        <v>NA</v>
      </c>
      <c r="BI48" s="12" t="str">
        <f t="shared" ca="1" si="23"/>
        <v>NA</v>
      </c>
      <c r="BJ48" s="12" t="str">
        <f t="shared" ca="1" si="24"/>
        <v>NA</v>
      </c>
      <c r="BK48" s="5"/>
      <c r="BL48" s="5"/>
      <c r="BM48" s="12" t="str">
        <f t="shared" ca="1" si="25"/>
        <v>NA</v>
      </c>
      <c r="BN48" s="12" t="str">
        <f t="shared" ca="1" si="26"/>
        <v>NA</v>
      </c>
      <c r="BO48" s="12" t="str">
        <f t="shared" ca="1" si="27"/>
        <v>NA</v>
      </c>
      <c r="BP48" s="5"/>
      <c r="BQ48" s="5"/>
      <c r="BR48" s="5"/>
      <c r="BS48" s="12" t="str">
        <f t="shared" ca="1" si="28"/>
        <v>NA</v>
      </c>
      <c r="BT48" s="12" t="str">
        <f t="shared" ca="1" si="29"/>
        <v>NA</v>
      </c>
      <c r="BU48" s="12" t="str">
        <f t="shared" ca="1" si="30"/>
        <v>NA</v>
      </c>
      <c r="BV48" s="5"/>
      <c r="BW48" s="5"/>
      <c r="BX48" s="12" t="str">
        <f t="shared" ca="1" si="31"/>
        <v>NA</v>
      </c>
      <c r="BY48" s="12" t="str">
        <f t="shared" ca="1" si="32"/>
        <v>NA</v>
      </c>
      <c r="BZ48" s="12" t="str">
        <f t="shared" ca="1" si="33"/>
        <v>NA</v>
      </c>
      <c r="CA48" s="5"/>
    </row>
    <row r="49" spans="1:79" ht="12.75" customHeight="1" x14ac:dyDescent="0.15">
      <c r="A49" s="4">
        <v>1094</v>
      </c>
      <c r="B49" s="5" t="s">
        <v>79</v>
      </c>
      <c r="C49" s="5" t="s">
        <v>79</v>
      </c>
      <c r="D49" s="6" t="s">
        <v>320</v>
      </c>
      <c r="E49" s="7">
        <v>193269</v>
      </c>
      <c r="F49" s="6" t="s">
        <v>321</v>
      </c>
      <c r="G49" s="8"/>
      <c r="H49" s="8"/>
      <c r="I49" s="8"/>
      <c r="J49" s="8"/>
      <c r="K49" s="8"/>
      <c r="L49" s="8" t="s">
        <v>82</v>
      </c>
      <c r="M49" s="7">
        <v>1051</v>
      </c>
      <c r="N49" s="7">
        <v>1054</v>
      </c>
      <c r="O49" s="13">
        <v>34119</v>
      </c>
      <c r="P49" s="10">
        <f t="shared" ca="1" si="0"/>
        <v>0.89444444444444449</v>
      </c>
      <c r="Q49" s="5">
        <f t="shared" ca="1" si="1"/>
        <v>10</v>
      </c>
      <c r="R49" s="5">
        <f t="shared" ca="1" si="2"/>
        <v>327</v>
      </c>
      <c r="S49" s="7">
        <f t="shared" ca="1" si="3"/>
        <v>1993</v>
      </c>
      <c r="T49" s="7">
        <f t="shared" ca="1" si="4"/>
        <v>5</v>
      </c>
      <c r="U49" s="7">
        <f t="shared" ca="1" si="5"/>
        <v>30</v>
      </c>
      <c r="V49" s="6" t="s">
        <v>322</v>
      </c>
      <c r="W49" s="14" t="s">
        <v>96</v>
      </c>
      <c r="X49" s="15"/>
      <c r="Y49" s="5">
        <f t="shared" ca="1" si="6"/>
        <v>1</v>
      </c>
      <c r="Z49" s="6"/>
      <c r="AA49" s="12" t="str">
        <f t="shared" ca="1" si="7"/>
        <v>NA</v>
      </c>
      <c r="AB49" s="12" t="str">
        <f t="shared" ca="1" si="8"/>
        <v>NA</v>
      </c>
      <c r="AC49" s="12" t="str">
        <f t="shared" ca="1" si="9"/>
        <v>NA</v>
      </c>
      <c r="AD49" s="6"/>
      <c r="AE49" s="5"/>
      <c r="AF49" s="6"/>
      <c r="AG49" s="11">
        <v>34446</v>
      </c>
      <c r="AH49" s="12">
        <f t="shared" ca="1" si="10"/>
        <v>1994</v>
      </c>
      <c r="AI49" s="12">
        <f t="shared" ca="1" si="11"/>
        <v>4</v>
      </c>
      <c r="AJ49" s="12">
        <f t="shared" ca="1" si="12"/>
        <v>22</v>
      </c>
      <c r="AK49" s="8" t="s">
        <v>323</v>
      </c>
      <c r="AL49" s="8"/>
      <c r="AM49" s="5"/>
      <c r="AN49" s="5"/>
      <c r="AO49" s="11">
        <v>34417</v>
      </c>
      <c r="AP49" s="12">
        <f t="shared" ca="1" si="13"/>
        <v>1994</v>
      </c>
      <c r="AQ49" s="12">
        <f t="shared" ca="1" si="14"/>
        <v>3</v>
      </c>
      <c r="AR49" s="12">
        <f t="shared" ca="1" si="15"/>
        <v>24</v>
      </c>
      <c r="AS49" s="8" t="s">
        <v>324</v>
      </c>
      <c r="AT49" s="8"/>
      <c r="AU49" s="5"/>
      <c r="AV49" s="12" t="str">
        <f t="shared" ca="1" si="16"/>
        <v>NA</v>
      </c>
      <c r="AW49" s="12" t="str">
        <f t="shared" ca="1" si="17"/>
        <v>NA</v>
      </c>
      <c r="AX49" s="12" t="str">
        <f t="shared" ca="1" si="18"/>
        <v>NA</v>
      </c>
      <c r="AY49" s="5"/>
      <c r="AZ49" s="5"/>
      <c r="BA49" s="6"/>
      <c r="BB49" s="12" t="str">
        <f t="shared" ca="1" si="19"/>
        <v>NA</v>
      </c>
      <c r="BC49" s="12" t="str">
        <f t="shared" ca="1" si="20"/>
        <v>NA</v>
      </c>
      <c r="BD49" s="12" t="str">
        <f t="shared" ca="1" si="21"/>
        <v>NA</v>
      </c>
      <c r="BE49" s="5"/>
      <c r="BF49" s="5"/>
      <c r="BG49" s="5"/>
      <c r="BH49" s="12" t="str">
        <f t="shared" ca="1" si="22"/>
        <v>NA</v>
      </c>
      <c r="BI49" s="12" t="str">
        <f t="shared" ca="1" si="23"/>
        <v>NA</v>
      </c>
      <c r="BJ49" s="12" t="str">
        <f t="shared" ca="1" si="24"/>
        <v>NA</v>
      </c>
      <c r="BK49" s="5"/>
      <c r="BL49" s="5"/>
      <c r="BM49" s="12" t="str">
        <f t="shared" ca="1" si="25"/>
        <v>NA</v>
      </c>
      <c r="BN49" s="12" t="str">
        <f t="shared" ca="1" si="26"/>
        <v>NA</v>
      </c>
      <c r="BO49" s="12" t="str">
        <f t="shared" ca="1" si="27"/>
        <v>NA</v>
      </c>
      <c r="BP49" s="5"/>
      <c r="BQ49" s="5"/>
      <c r="BR49" s="5"/>
      <c r="BS49" s="12" t="str">
        <f t="shared" ca="1" si="28"/>
        <v>NA</v>
      </c>
      <c r="BT49" s="12" t="str">
        <f t="shared" ca="1" si="29"/>
        <v>NA</v>
      </c>
      <c r="BU49" s="12" t="str">
        <f t="shared" ca="1" si="30"/>
        <v>NA</v>
      </c>
      <c r="BV49" s="5"/>
      <c r="BW49" s="5"/>
      <c r="BX49" s="12" t="str">
        <f t="shared" ca="1" si="31"/>
        <v>NA</v>
      </c>
      <c r="BY49" s="12" t="str">
        <f t="shared" ca="1" si="32"/>
        <v>NA</v>
      </c>
      <c r="BZ49" s="12" t="str">
        <f t="shared" ca="1" si="33"/>
        <v>NA</v>
      </c>
      <c r="CA49" s="5"/>
    </row>
    <row r="50" spans="1:79" ht="12.75" customHeight="1" x14ac:dyDescent="0.15">
      <c r="A50" s="4">
        <v>1095</v>
      </c>
      <c r="B50" s="5" t="s">
        <v>79</v>
      </c>
      <c r="C50" s="5" t="s">
        <v>79</v>
      </c>
      <c r="D50" s="6" t="s">
        <v>325</v>
      </c>
      <c r="E50" s="7">
        <v>102867</v>
      </c>
      <c r="F50" s="6" t="s">
        <v>326</v>
      </c>
      <c r="G50" s="8"/>
      <c r="H50" s="8"/>
      <c r="I50" s="8"/>
      <c r="J50" s="8"/>
      <c r="K50" s="8"/>
      <c r="L50" s="8" t="s">
        <v>82</v>
      </c>
      <c r="M50" s="7">
        <v>1041</v>
      </c>
      <c r="N50" s="7">
        <v>1040</v>
      </c>
      <c r="O50" s="13">
        <v>34402</v>
      </c>
      <c r="P50" s="10">
        <f t="shared" ca="1" si="0"/>
        <v>2.7777777777777779E-3</v>
      </c>
      <c r="Q50" s="5">
        <f t="shared" ca="1" si="1"/>
        <v>0</v>
      </c>
      <c r="R50" s="5">
        <f t="shared" ca="1" si="2"/>
        <v>1</v>
      </c>
      <c r="S50" s="7">
        <f t="shared" ca="1" si="3"/>
        <v>1994</v>
      </c>
      <c r="T50" s="7">
        <f t="shared" ca="1" si="4"/>
        <v>3</v>
      </c>
      <c r="U50" s="7">
        <f t="shared" ca="1" si="5"/>
        <v>9</v>
      </c>
      <c r="V50" s="6" t="s">
        <v>327</v>
      </c>
      <c r="W50" s="14" t="s">
        <v>96</v>
      </c>
      <c r="X50" s="15"/>
      <c r="Y50" s="5">
        <f t="shared" ca="1" si="6"/>
        <v>0</v>
      </c>
      <c r="Z50" s="6"/>
      <c r="AA50" s="12" t="str">
        <f t="shared" ca="1" si="7"/>
        <v>NA</v>
      </c>
      <c r="AB50" s="12" t="str">
        <f t="shared" ca="1" si="8"/>
        <v>NA</v>
      </c>
      <c r="AC50" s="12" t="str">
        <f t="shared" ca="1" si="9"/>
        <v>NA</v>
      </c>
      <c r="AD50" s="6"/>
      <c r="AE50" s="5"/>
      <c r="AF50" s="6"/>
      <c r="AG50" s="11">
        <v>34403</v>
      </c>
      <c r="AH50" s="12">
        <f t="shared" ca="1" si="10"/>
        <v>1994</v>
      </c>
      <c r="AI50" s="12">
        <f t="shared" ca="1" si="11"/>
        <v>3</v>
      </c>
      <c r="AJ50" s="12">
        <f t="shared" ca="1" si="12"/>
        <v>10</v>
      </c>
      <c r="AK50" s="8" t="s">
        <v>328</v>
      </c>
      <c r="AL50" s="8"/>
      <c r="AM50" s="5"/>
      <c r="AN50" s="5"/>
      <c r="AO50" s="5"/>
      <c r="AP50" s="12" t="str">
        <f t="shared" ca="1" si="13"/>
        <v>NA</v>
      </c>
      <c r="AQ50" s="12" t="str">
        <f t="shared" ca="1" si="14"/>
        <v>NA</v>
      </c>
      <c r="AR50" s="12" t="str">
        <f t="shared" ca="1" si="15"/>
        <v>NA</v>
      </c>
      <c r="AS50" s="5"/>
      <c r="AT50" s="5"/>
      <c r="AU50" s="5"/>
      <c r="AV50" s="12" t="str">
        <f t="shared" ca="1" si="16"/>
        <v>NA</v>
      </c>
      <c r="AW50" s="12" t="str">
        <f t="shared" ca="1" si="17"/>
        <v>NA</v>
      </c>
      <c r="AX50" s="12" t="str">
        <f t="shared" ca="1" si="18"/>
        <v>NA</v>
      </c>
      <c r="AY50" s="5"/>
      <c r="AZ50" s="5"/>
      <c r="BA50" s="6"/>
      <c r="BB50" s="12" t="str">
        <f t="shared" ca="1" si="19"/>
        <v>NA</v>
      </c>
      <c r="BC50" s="12" t="str">
        <f t="shared" ca="1" si="20"/>
        <v>NA</v>
      </c>
      <c r="BD50" s="12" t="str">
        <f t="shared" ca="1" si="21"/>
        <v>NA</v>
      </c>
      <c r="BE50" s="5"/>
      <c r="BF50" s="5"/>
      <c r="BG50" s="5"/>
      <c r="BH50" s="12" t="str">
        <f t="shared" ca="1" si="22"/>
        <v>NA</v>
      </c>
      <c r="BI50" s="12" t="str">
        <f t="shared" ca="1" si="23"/>
        <v>NA</v>
      </c>
      <c r="BJ50" s="12" t="str">
        <f t="shared" ca="1" si="24"/>
        <v>NA</v>
      </c>
      <c r="BK50" s="5"/>
      <c r="BL50" s="5"/>
      <c r="BM50" s="12" t="str">
        <f t="shared" ca="1" si="25"/>
        <v>NA</v>
      </c>
      <c r="BN50" s="12" t="str">
        <f t="shared" ca="1" si="26"/>
        <v>NA</v>
      </c>
      <c r="BO50" s="12" t="str">
        <f t="shared" ca="1" si="27"/>
        <v>NA</v>
      </c>
      <c r="BP50" s="5"/>
      <c r="BQ50" s="5"/>
      <c r="BR50" s="5"/>
      <c r="BS50" s="12" t="str">
        <f t="shared" ca="1" si="28"/>
        <v>NA</v>
      </c>
      <c r="BT50" s="12" t="str">
        <f t="shared" ca="1" si="29"/>
        <v>NA</v>
      </c>
      <c r="BU50" s="12" t="str">
        <f t="shared" ca="1" si="30"/>
        <v>NA</v>
      </c>
      <c r="BV50" s="5"/>
      <c r="BW50" s="5"/>
      <c r="BX50" s="12" t="str">
        <f t="shared" ca="1" si="31"/>
        <v>NA</v>
      </c>
      <c r="BY50" s="12" t="str">
        <f t="shared" ca="1" si="32"/>
        <v>NA</v>
      </c>
      <c r="BZ50" s="12" t="str">
        <f t="shared" ca="1" si="33"/>
        <v>NA</v>
      </c>
      <c r="CA50" s="5"/>
    </row>
    <row r="51" spans="1:79" ht="12.75" customHeight="1" x14ac:dyDescent="0.15">
      <c r="A51" s="4">
        <v>1096</v>
      </c>
      <c r="B51" s="5" t="s">
        <v>79</v>
      </c>
      <c r="C51" s="5" t="s">
        <v>79</v>
      </c>
      <c r="D51" s="6" t="s">
        <v>329</v>
      </c>
      <c r="E51" s="7">
        <v>102866</v>
      </c>
      <c r="F51" s="6" t="s">
        <v>330</v>
      </c>
      <c r="G51" s="8"/>
      <c r="H51" s="8"/>
      <c r="I51" s="8"/>
      <c r="J51" s="8"/>
      <c r="K51" s="8"/>
      <c r="L51" s="8" t="s">
        <v>82</v>
      </c>
      <c r="M51" s="7">
        <v>1041</v>
      </c>
      <c r="N51" s="7">
        <v>1040</v>
      </c>
      <c r="O51" s="13">
        <v>34402</v>
      </c>
      <c r="P51" s="10">
        <f t="shared" ca="1" si="0"/>
        <v>1.9444444444444445E-2</v>
      </c>
      <c r="Q51" s="5">
        <f t="shared" ca="1" si="1"/>
        <v>0</v>
      </c>
      <c r="R51" s="5">
        <f t="shared" ca="1" si="2"/>
        <v>7</v>
      </c>
      <c r="S51" s="7">
        <f t="shared" ca="1" si="3"/>
        <v>1994</v>
      </c>
      <c r="T51" s="7">
        <f t="shared" ca="1" si="4"/>
        <v>3</v>
      </c>
      <c r="U51" s="7">
        <f t="shared" ca="1" si="5"/>
        <v>9</v>
      </c>
      <c r="V51" s="6" t="s">
        <v>331</v>
      </c>
      <c r="W51" s="14" t="s">
        <v>96</v>
      </c>
      <c r="X51" s="15"/>
      <c r="Y51" s="5">
        <f t="shared" ca="1" si="6"/>
        <v>0</v>
      </c>
      <c r="Z51" s="6"/>
      <c r="AA51" s="12" t="str">
        <f t="shared" ca="1" si="7"/>
        <v>NA</v>
      </c>
      <c r="AB51" s="12" t="str">
        <f t="shared" ca="1" si="8"/>
        <v>NA</v>
      </c>
      <c r="AC51" s="12" t="str">
        <f t="shared" ca="1" si="9"/>
        <v>NA</v>
      </c>
      <c r="AD51" s="6"/>
      <c r="AE51" s="5"/>
      <c r="AF51" s="6"/>
      <c r="AG51" s="11">
        <v>34409</v>
      </c>
      <c r="AH51" s="12">
        <f t="shared" ca="1" si="10"/>
        <v>1994</v>
      </c>
      <c r="AI51" s="12">
        <f t="shared" ca="1" si="11"/>
        <v>3</v>
      </c>
      <c r="AJ51" s="12">
        <f t="shared" ca="1" si="12"/>
        <v>16</v>
      </c>
      <c r="AK51" s="8" t="s">
        <v>332</v>
      </c>
      <c r="AL51" s="8"/>
      <c r="AM51" s="5"/>
      <c r="AN51" s="5"/>
      <c r="AO51" s="5"/>
      <c r="AP51" s="12" t="str">
        <f t="shared" ca="1" si="13"/>
        <v>NA</v>
      </c>
      <c r="AQ51" s="12" t="str">
        <f t="shared" ca="1" si="14"/>
        <v>NA</v>
      </c>
      <c r="AR51" s="12" t="str">
        <f t="shared" ca="1" si="15"/>
        <v>NA</v>
      </c>
      <c r="AS51" s="5"/>
      <c r="AT51" s="5"/>
      <c r="AU51" s="5"/>
      <c r="AV51" s="12" t="str">
        <f t="shared" ca="1" si="16"/>
        <v>NA</v>
      </c>
      <c r="AW51" s="12" t="str">
        <f t="shared" ca="1" si="17"/>
        <v>NA</v>
      </c>
      <c r="AX51" s="12" t="str">
        <f t="shared" ca="1" si="18"/>
        <v>NA</v>
      </c>
      <c r="AY51" s="5"/>
      <c r="AZ51" s="5"/>
      <c r="BA51" s="6"/>
      <c r="BB51" s="12" t="str">
        <f t="shared" ca="1" si="19"/>
        <v>NA</v>
      </c>
      <c r="BC51" s="12" t="str">
        <f t="shared" ca="1" si="20"/>
        <v>NA</v>
      </c>
      <c r="BD51" s="12" t="str">
        <f t="shared" ca="1" si="21"/>
        <v>NA</v>
      </c>
      <c r="BE51" s="5"/>
      <c r="BF51" s="5"/>
      <c r="BG51" s="5"/>
      <c r="BH51" s="12" t="str">
        <f t="shared" ca="1" si="22"/>
        <v>NA</v>
      </c>
      <c r="BI51" s="12" t="str">
        <f t="shared" ca="1" si="23"/>
        <v>NA</v>
      </c>
      <c r="BJ51" s="12" t="str">
        <f t="shared" ca="1" si="24"/>
        <v>NA</v>
      </c>
      <c r="BK51" s="5"/>
      <c r="BL51" s="5"/>
      <c r="BM51" s="12" t="str">
        <f t="shared" ca="1" si="25"/>
        <v>NA</v>
      </c>
      <c r="BN51" s="12" t="str">
        <f t="shared" ca="1" si="26"/>
        <v>NA</v>
      </c>
      <c r="BO51" s="12" t="str">
        <f t="shared" ca="1" si="27"/>
        <v>NA</v>
      </c>
      <c r="BP51" s="5"/>
      <c r="BQ51" s="5"/>
      <c r="BR51" s="5"/>
      <c r="BS51" s="12" t="str">
        <f t="shared" ca="1" si="28"/>
        <v>NA</v>
      </c>
      <c r="BT51" s="12" t="str">
        <f t="shared" ca="1" si="29"/>
        <v>NA</v>
      </c>
      <c r="BU51" s="12" t="str">
        <f t="shared" ca="1" si="30"/>
        <v>NA</v>
      </c>
      <c r="BV51" s="5"/>
      <c r="BW51" s="5"/>
      <c r="BX51" s="12" t="str">
        <f t="shared" ca="1" si="31"/>
        <v>NA</v>
      </c>
      <c r="BY51" s="12" t="str">
        <f t="shared" ca="1" si="32"/>
        <v>NA</v>
      </c>
      <c r="BZ51" s="12" t="str">
        <f t="shared" ca="1" si="33"/>
        <v>NA</v>
      </c>
      <c r="CA51" s="5"/>
    </row>
    <row r="52" spans="1:79" ht="12.75" customHeight="1" x14ac:dyDescent="0.15">
      <c r="A52" s="4">
        <v>1097</v>
      </c>
      <c r="B52" s="5" t="s">
        <v>79</v>
      </c>
      <c r="C52" s="5" t="s">
        <v>79</v>
      </c>
      <c r="D52" s="6" t="s">
        <v>333</v>
      </c>
      <c r="E52" s="7">
        <v>2901</v>
      </c>
      <c r="F52" s="6" t="s">
        <v>334</v>
      </c>
      <c r="G52" s="8"/>
      <c r="H52" s="8"/>
      <c r="I52" s="8"/>
      <c r="J52" s="8"/>
      <c r="K52" s="8"/>
      <c r="L52" s="8" t="s">
        <v>82</v>
      </c>
      <c r="M52" s="7">
        <v>1023</v>
      </c>
      <c r="N52" s="7">
        <v>1008</v>
      </c>
      <c r="O52" s="13">
        <v>34408</v>
      </c>
      <c r="P52" s="10">
        <f t="shared" ca="1" si="0"/>
        <v>19.247222222222224</v>
      </c>
      <c r="Q52" s="5">
        <f t="shared" ca="1" si="1"/>
        <v>230</v>
      </c>
      <c r="R52" s="5">
        <f t="shared" ca="1" si="2"/>
        <v>7031</v>
      </c>
      <c r="S52" s="7">
        <f t="shared" ca="1" si="3"/>
        <v>1994</v>
      </c>
      <c r="T52" s="7">
        <f t="shared" ca="1" si="4"/>
        <v>3</v>
      </c>
      <c r="U52" s="7">
        <f t="shared" ca="1" si="5"/>
        <v>15</v>
      </c>
      <c r="V52" s="6" t="s">
        <v>335</v>
      </c>
      <c r="W52" s="14" t="s">
        <v>96</v>
      </c>
      <c r="X52" s="15"/>
      <c r="Y52" s="5">
        <f t="shared" ca="1" si="6"/>
        <v>0</v>
      </c>
      <c r="Z52" s="6"/>
      <c r="AA52" s="12" t="str">
        <f t="shared" ca="1" si="7"/>
        <v>NA</v>
      </c>
      <c r="AB52" s="12" t="str">
        <f t="shared" ca="1" si="8"/>
        <v>NA</v>
      </c>
      <c r="AC52" s="12" t="str">
        <f t="shared" ca="1" si="9"/>
        <v>NA</v>
      </c>
      <c r="AD52" s="6"/>
      <c r="AE52" s="5"/>
      <c r="AF52" s="6"/>
      <c r="AG52" s="11">
        <v>41439</v>
      </c>
      <c r="AH52" s="12">
        <f t="shared" ca="1" si="10"/>
        <v>2013</v>
      </c>
      <c r="AI52" s="12">
        <f t="shared" ca="1" si="11"/>
        <v>6</v>
      </c>
      <c r="AJ52" s="12">
        <f t="shared" ca="1" si="12"/>
        <v>14</v>
      </c>
      <c r="AK52" s="8" t="s">
        <v>336</v>
      </c>
      <c r="AL52" s="8"/>
      <c r="AM52" s="5"/>
      <c r="AN52" s="5"/>
      <c r="AO52" s="5"/>
      <c r="AP52" s="12" t="str">
        <f t="shared" ca="1" si="13"/>
        <v>NA</v>
      </c>
      <c r="AQ52" s="12" t="str">
        <f t="shared" ca="1" si="14"/>
        <v>NA</v>
      </c>
      <c r="AR52" s="12" t="str">
        <f t="shared" ca="1" si="15"/>
        <v>NA</v>
      </c>
      <c r="AS52" s="5"/>
      <c r="AT52" s="5"/>
      <c r="AU52" s="5"/>
      <c r="AV52" s="12" t="str">
        <f t="shared" ca="1" si="16"/>
        <v>NA</v>
      </c>
      <c r="AW52" s="12" t="str">
        <f t="shared" ca="1" si="17"/>
        <v>NA</v>
      </c>
      <c r="AX52" s="12" t="str">
        <f t="shared" ca="1" si="18"/>
        <v>NA</v>
      </c>
      <c r="AY52" s="5"/>
      <c r="AZ52" s="5"/>
      <c r="BA52" s="6"/>
      <c r="BB52" s="12" t="str">
        <f t="shared" ca="1" si="19"/>
        <v>NA</v>
      </c>
      <c r="BC52" s="12" t="str">
        <f t="shared" ca="1" si="20"/>
        <v>NA</v>
      </c>
      <c r="BD52" s="12" t="str">
        <f t="shared" ca="1" si="21"/>
        <v>NA</v>
      </c>
      <c r="BE52" s="5"/>
      <c r="BF52" s="5"/>
      <c r="BG52" s="5"/>
      <c r="BH52" s="12" t="str">
        <f t="shared" ca="1" si="22"/>
        <v>NA</v>
      </c>
      <c r="BI52" s="12" t="str">
        <f t="shared" ca="1" si="23"/>
        <v>NA</v>
      </c>
      <c r="BJ52" s="12" t="str">
        <f t="shared" ca="1" si="24"/>
        <v>NA</v>
      </c>
      <c r="BK52" s="5"/>
      <c r="BL52" s="5"/>
      <c r="BM52" s="12" t="str">
        <f t="shared" ca="1" si="25"/>
        <v>NA</v>
      </c>
      <c r="BN52" s="12" t="str">
        <f t="shared" ca="1" si="26"/>
        <v>NA</v>
      </c>
      <c r="BO52" s="12" t="str">
        <f t="shared" ca="1" si="27"/>
        <v>NA</v>
      </c>
      <c r="BP52" s="5"/>
      <c r="BQ52" s="5"/>
      <c r="BR52" s="5"/>
      <c r="BS52" s="12" t="str">
        <f t="shared" ca="1" si="28"/>
        <v>NA</v>
      </c>
      <c r="BT52" s="12" t="str">
        <f t="shared" ca="1" si="29"/>
        <v>NA</v>
      </c>
      <c r="BU52" s="12" t="str">
        <f t="shared" ca="1" si="30"/>
        <v>NA</v>
      </c>
      <c r="BV52" s="5"/>
      <c r="BW52" s="5"/>
      <c r="BX52" s="12" t="str">
        <f t="shared" ca="1" si="31"/>
        <v>NA</v>
      </c>
      <c r="BY52" s="12" t="str">
        <f t="shared" ca="1" si="32"/>
        <v>NA</v>
      </c>
      <c r="BZ52" s="12" t="str">
        <f t="shared" ca="1" si="33"/>
        <v>NA</v>
      </c>
      <c r="CA52" s="5"/>
    </row>
    <row r="53" spans="1:79" ht="12.75" customHeight="1" x14ac:dyDescent="0.15">
      <c r="A53" s="4">
        <v>1098</v>
      </c>
      <c r="B53" s="5" t="s">
        <v>79</v>
      </c>
      <c r="C53" s="5" t="s">
        <v>79</v>
      </c>
      <c r="D53" s="6" t="s">
        <v>337</v>
      </c>
      <c r="E53" s="7">
        <v>599469</v>
      </c>
      <c r="F53" s="6" t="s">
        <v>338</v>
      </c>
      <c r="G53" s="8"/>
      <c r="H53" s="8"/>
      <c r="I53" s="8"/>
      <c r="J53" s="8"/>
      <c r="K53" s="8"/>
      <c r="L53" s="8" t="s">
        <v>82</v>
      </c>
      <c r="M53" s="7">
        <v>1051</v>
      </c>
      <c r="N53" s="7">
        <v>1054</v>
      </c>
      <c r="O53" s="13">
        <v>34411</v>
      </c>
      <c r="P53" s="10">
        <f t="shared" ca="1" si="0"/>
        <v>14.536111111111111</v>
      </c>
      <c r="Q53" s="5">
        <f t="shared" ca="1" si="1"/>
        <v>174</v>
      </c>
      <c r="R53" s="5">
        <f t="shared" ca="1" si="2"/>
        <v>5311</v>
      </c>
      <c r="S53" s="7">
        <f t="shared" ca="1" si="3"/>
        <v>1994</v>
      </c>
      <c r="T53" s="7">
        <f t="shared" ca="1" si="4"/>
        <v>3</v>
      </c>
      <c r="U53" s="7">
        <f t="shared" ca="1" si="5"/>
        <v>18</v>
      </c>
      <c r="V53" s="6" t="s">
        <v>339</v>
      </c>
      <c r="W53" s="14" t="s">
        <v>96</v>
      </c>
      <c r="X53" s="15"/>
      <c r="Y53" s="5">
        <f t="shared" ca="1" si="6"/>
        <v>1</v>
      </c>
      <c r="Z53" s="6"/>
      <c r="AA53" s="12" t="str">
        <f t="shared" ca="1" si="7"/>
        <v>NA</v>
      </c>
      <c r="AB53" s="12" t="str">
        <f t="shared" ca="1" si="8"/>
        <v>NA</v>
      </c>
      <c r="AC53" s="12" t="str">
        <f t="shared" ca="1" si="9"/>
        <v>NA</v>
      </c>
      <c r="AD53" s="6"/>
      <c r="AE53" s="5"/>
      <c r="AF53" s="6"/>
      <c r="AG53" s="11">
        <v>39722</v>
      </c>
      <c r="AH53" s="12">
        <f t="shared" ca="1" si="10"/>
        <v>2008</v>
      </c>
      <c r="AI53" s="12">
        <f t="shared" ca="1" si="11"/>
        <v>10</v>
      </c>
      <c r="AJ53" s="12">
        <f t="shared" ca="1" si="12"/>
        <v>1</v>
      </c>
      <c r="AK53" s="8" t="s">
        <v>340</v>
      </c>
      <c r="AL53" s="8"/>
      <c r="AM53" s="5"/>
      <c r="AN53" s="5"/>
      <c r="AO53" s="11">
        <v>36498</v>
      </c>
      <c r="AP53" s="12">
        <f t="shared" ca="1" si="13"/>
        <v>1999</v>
      </c>
      <c r="AQ53" s="12">
        <f t="shared" ca="1" si="14"/>
        <v>12</v>
      </c>
      <c r="AR53" s="12">
        <f t="shared" ca="1" si="15"/>
        <v>4</v>
      </c>
      <c r="AS53" s="8" t="s">
        <v>341</v>
      </c>
      <c r="AT53" s="8"/>
      <c r="AU53" s="5"/>
      <c r="AV53" s="12" t="str">
        <f t="shared" ca="1" si="16"/>
        <v>NA</v>
      </c>
      <c r="AW53" s="12" t="str">
        <f t="shared" ca="1" si="17"/>
        <v>NA</v>
      </c>
      <c r="AX53" s="12" t="str">
        <f t="shared" ca="1" si="18"/>
        <v>NA</v>
      </c>
      <c r="AY53" s="5"/>
      <c r="AZ53" s="5"/>
      <c r="BA53" s="6"/>
      <c r="BB53" s="12" t="str">
        <f t="shared" ca="1" si="19"/>
        <v>NA</v>
      </c>
      <c r="BC53" s="12" t="str">
        <f t="shared" ca="1" si="20"/>
        <v>NA</v>
      </c>
      <c r="BD53" s="12" t="str">
        <f t="shared" ca="1" si="21"/>
        <v>NA</v>
      </c>
      <c r="BE53" s="5"/>
      <c r="BF53" s="5"/>
      <c r="BG53" s="5"/>
      <c r="BH53" s="12" t="str">
        <f t="shared" ca="1" si="22"/>
        <v>NA</v>
      </c>
      <c r="BI53" s="12" t="str">
        <f t="shared" ca="1" si="23"/>
        <v>NA</v>
      </c>
      <c r="BJ53" s="12" t="str">
        <f t="shared" ca="1" si="24"/>
        <v>NA</v>
      </c>
      <c r="BK53" s="5"/>
      <c r="BL53" s="5"/>
      <c r="BM53" s="12" t="str">
        <f t="shared" ca="1" si="25"/>
        <v>NA</v>
      </c>
      <c r="BN53" s="12" t="str">
        <f t="shared" ca="1" si="26"/>
        <v>NA</v>
      </c>
      <c r="BO53" s="12" t="str">
        <f t="shared" ca="1" si="27"/>
        <v>NA</v>
      </c>
      <c r="BP53" s="5"/>
      <c r="BQ53" s="5"/>
      <c r="BR53" s="5"/>
      <c r="BS53" s="12" t="str">
        <f t="shared" ca="1" si="28"/>
        <v>NA</v>
      </c>
      <c r="BT53" s="12" t="str">
        <f t="shared" ca="1" si="29"/>
        <v>NA</v>
      </c>
      <c r="BU53" s="12" t="str">
        <f t="shared" ca="1" si="30"/>
        <v>NA</v>
      </c>
      <c r="BV53" s="5"/>
      <c r="BW53" s="5"/>
      <c r="BX53" s="12" t="str">
        <f t="shared" ca="1" si="31"/>
        <v>NA</v>
      </c>
      <c r="BY53" s="12" t="str">
        <f t="shared" ca="1" si="32"/>
        <v>NA</v>
      </c>
      <c r="BZ53" s="12" t="str">
        <f t="shared" ca="1" si="33"/>
        <v>NA</v>
      </c>
      <c r="CA53" s="5"/>
    </row>
    <row r="54" spans="1:79" ht="12.75" customHeight="1" x14ac:dyDescent="0.15">
      <c r="A54" s="4">
        <v>1099</v>
      </c>
      <c r="B54" s="5" t="s">
        <v>79</v>
      </c>
      <c r="C54" s="5" t="s">
        <v>79</v>
      </c>
      <c r="D54" s="6" t="s">
        <v>342</v>
      </c>
      <c r="E54" s="7">
        <v>17370</v>
      </c>
      <c r="F54" s="6" t="s">
        <v>343</v>
      </c>
      <c r="G54" s="8"/>
      <c r="H54" s="8"/>
      <c r="I54" s="8"/>
      <c r="J54" s="8"/>
      <c r="K54" s="8"/>
      <c r="L54" s="8" t="s">
        <v>82</v>
      </c>
      <c r="M54" s="7">
        <v>1051</v>
      </c>
      <c r="N54" s="7">
        <v>1054</v>
      </c>
      <c r="O54" s="13">
        <v>34411</v>
      </c>
      <c r="P54" s="10">
        <f t="shared" ca="1" si="0"/>
        <v>11.786111111111111</v>
      </c>
      <c r="Q54" s="5">
        <f t="shared" ca="1" si="1"/>
        <v>141</v>
      </c>
      <c r="R54" s="5">
        <f t="shared" ca="1" si="2"/>
        <v>4307</v>
      </c>
      <c r="S54" s="7">
        <f t="shared" ca="1" si="3"/>
        <v>1994</v>
      </c>
      <c r="T54" s="7">
        <f t="shared" ca="1" si="4"/>
        <v>3</v>
      </c>
      <c r="U54" s="7">
        <f t="shared" ca="1" si="5"/>
        <v>18</v>
      </c>
      <c r="V54" s="6" t="s">
        <v>344</v>
      </c>
      <c r="W54" s="14" t="s">
        <v>96</v>
      </c>
      <c r="X54" s="15"/>
      <c r="Y54" s="5">
        <f t="shared" ca="1" si="6"/>
        <v>1</v>
      </c>
      <c r="Z54" s="6"/>
      <c r="AA54" s="12" t="str">
        <f t="shared" ca="1" si="7"/>
        <v>NA</v>
      </c>
      <c r="AB54" s="12" t="str">
        <f t="shared" ca="1" si="8"/>
        <v>NA</v>
      </c>
      <c r="AC54" s="12" t="str">
        <f t="shared" ca="1" si="9"/>
        <v>NA</v>
      </c>
      <c r="AD54" s="6"/>
      <c r="AE54" s="5"/>
      <c r="AF54" s="6"/>
      <c r="AG54" s="11">
        <v>38718</v>
      </c>
      <c r="AH54" s="12">
        <f t="shared" ca="1" si="10"/>
        <v>2006</v>
      </c>
      <c r="AI54" s="12">
        <f t="shared" ca="1" si="11"/>
        <v>1</v>
      </c>
      <c r="AJ54" s="12">
        <f t="shared" ca="1" si="12"/>
        <v>1</v>
      </c>
      <c r="AK54" s="8" t="s">
        <v>345</v>
      </c>
      <c r="AL54" s="8"/>
      <c r="AM54" s="5"/>
      <c r="AN54" s="5"/>
      <c r="AO54" s="11">
        <v>35772</v>
      </c>
      <c r="AP54" s="12">
        <f t="shared" ca="1" si="13"/>
        <v>1997</v>
      </c>
      <c r="AQ54" s="12">
        <f t="shared" ca="1" si="14"/>
        <v>12</v>
      </c>
      <c r="AR54" s="12">
        <f t="shared" ca="1" si="15"/>
        <v>8</v>
      </c>
      <c r="AS54" s="8" t="s">
        <v>346</v>
      </c>
      <c r="AT54" s="8"/>
      <c r="AU54" s="5"/>
      <c r="AV54" s="12" t="str">
        <f t="shared" ca="1" si="16"/>
        <v>NA</v>
      </c>
      <c r="AW54" s="12" t="str">
        <f t="shared" ca="1" si="17"/>
        <v>NA</v>
      </c>
      <c r="AX54" s="12" t="str">
        <f t="shared" ca="1" si="18"/>
        <v>NA</v>
      </c>
      <c r="AY54" s="5"/>
      <c r="AZ54" s="5"/>
      <c r="BA54" s="6"/>
      <c r="BB54" s="12" t="str">
        <f t="shared" ca="1" si="19"/>
        <v>NA</v>
      </c>
      <c r="BC54" s="12" t="str">
        <f t="shared" ca="1" si="20"/>
        <v>NA</v>
      </c>
      <c r="BD54" s="12" t="str">
        <f t="shared" ca="1" si="21"/>
        <v>NA</v>
      </c>
      <c r="BE54" s="5"/>
      <c r="BF54" s="5"/>
      <c r="BG54" s="5"/>
      <c r="BH54" s="12" t="str">
        <f t="shared" ca="1" si="22"/>
        <v>NA</v>
      </c>
      <c r="BI54" s="12" t="str">
        <f t="shared" ca="1" si="23"/>
        <v>NA</v>
      </c>
      <c r="BJ54" s="12" t="str">
        <f t="shared" ca="1" si="24"/>
        <v>NA</v>
      </c>
      <c r="BK54" s="5"/>
      <c r="BL54" s="5"/>
      <c r="BM54" s="12" t="str">
        <f t="shared" ca="1" si="25"/>
        <v>NA</v>
      </c>
      <c r="BN54" s="12" t="str">
        <f t="shared" ca="1" si="26"/>
        <v>NA</v>
      </c>
      <c r="BO54" s="12" t="str">
        <f t="shared" ca="1" si="27"/>
        <v>NA</v>
      </c>
      <c r="BP54" s="5"/>
      <c r="BQ54" s="5"/>
      <c r="BR54" s="5"/>
      <c r="BS54" s="12" t="str">
        <f t="shared" ca="1" si="28"/>
        <v>NA</v>
      </c>
      <c r="BT54" s="12" t="str">
        <f t="shared" ca="1" si="29"/>
        <v>NA</v>
      </c>
      <c r="BU54" s="12" t="str">
        <f t="shared" ca="1" si="30"/>
        <v>NA</v>
      </c>
      <c r="BV54" s="5"/>
      <c r="BW54" s="5"/>
      <c r="BX54" s="12" t="str">
        <f t="shared" ca="1" si="31"/>
        <v>NA</v>
      </c>
      <c r="BY54" s="12" t="str">
        <f t="shared" ca="1" si="32"/>
        <v>NA</v>
      </c>
      <c r="BZ54" s="12" t="str">
        <f t="shared" ca="1" si="33"/>
        <v>NA</v>
      </c>
      <c r="CA54" s="5"/>
    </row>
    <row r="55" spans="1:79" ht="12.75" customHeight="1" x14ac:dyDescent="0.15">
      <c r="A55" s="4">
        <v>1100</v>
      </c>
      <c r="B55" s="5" t="s">
        <v>79</v>
      </c>
      <c r="C55" s="5" t="s">
        <v>79</v>
      </c>
      <c r="D55" s="6" t="s">
        <v>347</v>
      </c>
      <c r="E55" s="7">
        <v>2903</v>
      </c>
      <c r="F55" s="6" t="s">
        <v>348</v>
      </c>
      <c r="G55" s="8"/>
      <c r="H55" s="8"/>
      <c r="I55" s="8"/>
      <c r="J55" s="8"/>
      <c r="K55" s="8"/>
      <c r="L55" s="8" t="s">
        <v>82</v>
      </c>
      <c r="M55" s="7">
        <v>1012</v>
      </c>
      <c r="N55" s="7">
        <v>1044</v>
      </c>
      <c r="O55" s="13">
        <v>34435</v>
      </c>
      <c r="P55" s="10">
        <f t="shared" ca="1" si="0"/>
        <v>0</v>
      </c>
      <c r="Q55" s="5">
        <f t="shared" ca="1" si="1"/>
        <v>0</v>
      </c>
      <c r="R55" s="5">
        <f t="shared" ca="1" si="2"/>
        <v>0</v>
      </c>
      <c r="S55" s="7">
        <f t="shared" ca="1" si="3"/>
        <v>1994</v>
      </c>
      <c r="T55" s="7">
        <f t="shared" ca="1" si="4"/>
        <v>4</v>
      </c>
      <c r="U55" s="7">
        <f t="shared" ca="1" si="5"/>
        <v>11</v>
      </c>
      <c r="V55" s="6" t="s">
        <v>349</v>
      </c>
      <c r="W55" s="14" t="s">
        <v>96</v>
      </c>
      <c r="X55" s="15"/>
      <c r="Y55" s="5">
        <f t="shared" ca="1" si="6"/>
        <v>0</v>
      </c>
      <c r="Z55" s="6"/>
      <c r="AA55" s="12" t="str">
        <f t="shared" ca="1" si="7"/>
        <v>NA</v>
      </c>
      <c r="AB55" s="12" t="str">
        <f t="shared" ca="1" si="8"/>
        <v>NA</v>
      </c>
      <c r="AC55" s="12" t="str">
        <f t="shared" ca="1" si="9"/>
        <v>NA</v>
      </c>
      <c r="AD55" s="6"/>
      <c r="AE55" s="5"/>
      <c r="AF55" s="6"/>
      <c r="AG55" s="11">
        <v>34435</v>
      </c>
      <c r="AH55" s="12">
        <f t="shared" ca="1" si="10"/>
        <v>1994</v>
      </c>
      <c r="AI55" s="12">
        <f t="shared" ca="1" si="11"/>
        <v>4</v>
      </c>
      <c r="AJ55" s="12">
        <f t="shared" ca="1" si="12"/>
        <v>11</v>
      </c>
      <c r="AK55" s="8" t="s">
        <v>350</v>
      </c>
      <c r="AL55" s="8"/>
      <c r="AM55" s="5"/>
      <c r="AN55" s="5"/>
      <c r="AO55" s="5"/>
      <c r="AP55" s="12" t="str">
        <f t="shared" ca="1" si="13"/>
        <v>NA</v>
      </c>
      <c r="AQ55" s="12" t="str">
        <f t="shared" ca="1" si="14"/>
        <v>NA</v>
      </c>
      <c r="AR55" s="12" t="str">
        <f t="shared" ca="1" si="15"/>
        <v>NA</v>
      </c>
      <c r="AS55" s="5"/>
      <c r="AT55" s="5"/>
      <c r="AU55" s="5"/>
      <c r="AV55" s="12" t="str">
        <f t="shared" ca="1" si="16"/>
        <v>NA</v>
      </c>
      <c r="AW55" s="12" t="str">
        <f t="shared" ca="1" si="17"/>
        <v>NA</v>
      </c>
      <c r="AX55" s="12" t="str">
        <f t="shared" ca="1" si="18"/>
        <v>NA</v>
      </c>
      <c r="AY55" s="5"/>
      <c r="AZ55" s="5"/>
      <c r="BA55" s="6"/>
      <c r="BB55" s="12" t="str">
        <f t="shared" ca="1" si="19"/>
        <v>NA</v>
      </c>
      <c r="BC55" s="12" t="str">
        <f t="shared" ca="1" si="20"/>
        <v>NA</v>
      </c>
      <c r="BD55" s="12" t="str">
        <f t="shared" ca="1" si="21"/>
        <v>NA</v>
      </c>
      <c r="BE55" s="5"/>
      <c r="BF55" s="5"/>
      <c r="BG55" s="5"/>
      <c r="BH55" s="12" t="str">
        <f t="shared" ca="1" si="22"/>
        <v>NA</v>
      </c>
      <c r="BI55" s="12" t="str">
        <f t="shared" ca="1" si="23"/>
        <v>NA</v>
      </c>
      <c r="BJ55" s="12" t="str">
        <f t="shared" ca="1" si="24"/>
        <v>NA</v>
      </c>
      <c r="BK55" s="5"/>
      <c r="BL55" s="5"/>
      <c r="BM55" s="12" t="str">
        <f t="shared" ca="1" si="25"/>
        <v>NA</v>
      </c>
      <c r="BN55" s="12" t="str">
        <f t="shared" ca="1" si="26"/>
        <v>NA</v>
      </c>
      <c r="BO55" s="12" t="str">
        <f t="shared" ca="1" si="27"/>
        <v>NA</v>
      </c>
      <c r="BP55" s="5"/>
      <c r="BQ55" s="5"/>
      <c r="BR55" s="5"/>
      <c r="BS55" s="12" t="str">
        <f t="shared" ca="1" si="28"/>
        <v>NA</v>
      </c>
      <c r="BT55" s="12" t="str">
        <f t="shared" ca="1" si="29"/>
        <v>NA</v>
      </c>
      <c r="BU55" s="12" t="str">
        <f t="shared" ca="1" si="30"/>
        <v>NA</v>
      </c>
      <c r="BV55" s="5"/>
      <c r="BW55" s="5"/>
      <c r="BX55" s="12" t="str">
        <f t="shared" ca="1" si="31"/>
        <v>NA</v>
      </c>
      <c r="BY55" s="12" t="str">
        <f t="shared" ca="1" si="32"/>
        <v>NA</v>
      </c>
      <c r="BZ55" s="12" t="str">
        <f t="shared" ca="1" si="33"/>
        <v>NA</v>
      </c>
      <c r="CA55" s="5"/>
    </row>
    <row r="56" spans="1:79" ht="12.75" customHeight="1" x14ac:dyDescent="0.15">
      <c r="A56" s="4">
        <v>1101</v>
      </c>
      <c r="B56" s="5" t="s">
        <v>79</v>
      </c>
      <c r="C56" s="5" t="s">
        <v>79</v>
      </c>
      <c r="D56" s="6" t="s">
        <v>351</v>
      </c>
      <c r="E56" s="7">
        <v>2904</v>
      </c>
      <c r="F56" s="6" t="s">
        <v>352</v>
      </c>
      <c r="G56" s="8"/>
      <c r="H56" s="8"/>
      <c r="I56" s="8"/>
      <c r="J56" s="8"/>
      <c r="K56" s="8"/>
      <c r="L56" s="8" t="s">
        <v>82</v>
      </c>
      <c r="M56" s="7">
        <v>1012</v>
      </c>
      <c r="N56" s="7">
        <v>1044</v>
      </c>
      <c r="O56" s="13">
        <v>34435</v>
      </c>
      <c r="P56" s="10">
        <f t="shared" ca="1" si="0"/>
        <v>0</v>
      </c>
      <c r="Q56" s="5">
        <f t="shared" ca="1" si="1"/>
        <v>0</v>
      </c>
      <c r="R56" s="5">
        <f t="shared" ca="1" si="2"/>
        <v>0</v>
      </c>
      <c r="S56" s="7">
        <f t="shared" ca="1" si="3"/>
        <v>1994</v>
      </c>
      <c r="T56" s="7">
        <f t="shared" ca="1" si="4"/>
        <v>4</v>
      </c>
      <c r="U56" s="7">
        <f t="shared" ca="1" si="5"/>
        <v>11</v>
      </c>
      <c r="V56" s="6" t="s">
        <v>353</v>
      </c>
      <c r="W56" s="14" t="s">
        <v>96</v>
      </c>
      <c r="X56" s="15"/>
      <c r="Y56" s="5">
        <f t="shared" ca="1" si="6"/>
        <v>0</v>
      </c>
      <c r="Z56" s="6"/>
      <c r="AA56" s="12" t="str">
        <f t="shared" ca="1" si="7"/>
        <v>NA</v>
      </c>
      <c r="AB56" s="12" t="str">
        <f t="shared" ca="1" si="8"/>
        <v>NA</v>
      </c>
      <c r="AC56" s="12" t="str">
        <f t="shared" ca="1" si="9"/>
        <v>NA</v>
      </c>
      <c r="AD56" s="6"/>
      <c r="AE56" s="5"/>
      <c r="AF56" s="6"/>
      <c r="AG56" s="11">
        <v>34435</v>
      </c>
      <c r="AH56" s="12">
        <f t="shared" ca="1" si="10"/>
        <v>1994</v>
      </c>
      <c r="AI56" s="12">
        <f t="shared" ca="1" si="11"/>
        <v>4</v>
      </c>
      <c r="AJ56" s="12">
        <f t="shared" ca="1" si="12"/>
        <v>11</v>
      </c>
      <c r="AK56" s="8" t="s">
        <v>354</v>
      </c>
      <c r="AL56" s="8"/>
      <c r="AM56" s="5"/>
      <c r="AN56" s="5"/>
      <c r="AO56" s="5"/>
      <c r="AP56" s="12" t="str">
        <f t="shared" ca="1" si="13"/>
        <v>NA</v>
      </c>
      <c r="AQ56" s="12" t="str">
        <f t="shared" ca="1" si="14"/>
        <v>NA</v>
      </c>
      <c r="AR56" s="12" t="str">
        <f t="shared" ca="1" si="15"/>
        <v>NA</v>
      </c>
      <c r="AS56" s="5"/>
      <c r="AT56" s="5"/>
      <c r="AU56" s="5"/>
      <c r="AV56" s="12" t="str">
        <f t="shared" ca="1" si="16"/>
        <v>NA</v>
      </c>
      <c r="AW56" s="12" t="str">
        <f t="shared" ca="1" si="17"/>
        <v>NA</v>
      </c>
      <c r="AX56" s="12" t="str">
        <f t="shared" ca="1" si="18"/>
        <v>NA</v>
      </c>
      <c r="AY56" s="5"/>
      <c r="AZ56" s="5"/>
      <c r="BA56" s="6"/>
      <c r="BB56" s="12" t="str">
        <f t="shared" ca="1" si="19"/>
        <v>NA</v>
      </c>
      <c r="BC56" s="12" t="str">
        <f t="shared" ca="1" si="20"/>
        <v>NA</v>
      </c>
      <c r="BD56" s="12" t="str">
        <f t="shared" ca="1" si="21"/>
        <v>NA</v>
      </c>
      <c r="BE56" s="5"/>
      <c r="BF56" s="5"/>
      <c r="BG56" s="5"/>
      <c r="BH56" s="12" t="str">
        <f t="shared" ca="1" si="22"/>
        <v>NA</v>
      </c>
      <c r="BI56" s="12" t="str">
        <f t="shared" ca="1" si="23"/>
        <v>NA</v>
      </c>
      <c r="BJ56" s="12" t="str">
        <f t="shared" ca="1" si="24"/>
        <v>NA</v>
      </c>
      <c r="BK56" s="5"/>
      <c r="BL56" s="5"/>
      <c r="BM56" s="12" t="str">
        <f t="shared" ca="1" si="25"/>
        <v>NA</v>
      </c>
      <c r="BN56" s="12" t="str">
        <f t="shared" ca="1" si="26"/>
        <v>NA</v>
      </c>
      <c r="BO56" s="12" t="str">
        <f t="shared" ca="1" si="27"/>
        <v>NA</v>
      </c>
      <c r="BP56" s="5"/>
      <c r="BQ56" s="5"/>
      <c r="BR56" s="5"/>
      <c r="BS56" s="12" t="str">
        <f t="shared" ca="1" si="28"/>
        <v>NA</v>
      </c>
      <c r="BT56" s="12" t="str">
        <f t="shared" ca="1" si="29"/>
        <v>NA</v>
      </c>
      <c r="BU56" s="12" t="str">
        <f t="shared" ca="1" si="30"/>
        <v>NA</v>
      </c>
      <c r="BV56" s="5"/>
      <c r="BW56" s="5"/>
      <c r="BX56" s="12" t="str">
        <f t="shared" ca="1" si="31"/>
        <v>NA</v>
      </c>
      <c r="BY56" s="12" t="str">
        <f t="shared" ca="1" si="32"/>
        <v>NA</v>
      </c>
      <c r="BZ56" s="12" t="str">
        <f t="shared" ca="1" si="33"/>
        <v>NA</v>
      </c>
      <c r="CA56" s="5"/>
    </row>
    <row r="57" spans="1:79" ht="12.75" customHeight="1" x14ac:dyDescent="0.15">
      <c r="A57" s="4">
        <v>1102</v>
      </c>
      <c r="B57" s="5" t="s">
        <v>79</v>
      </c>
      <c r="C57" s="5" t="s">
        <v>79</v>
      </c>
      <c r="D57" s="6" t="s">
        <v>355</v>
      </c>
      <c r="E57" s="7">
        <v>950018</v>
      </c>
      <c r="F57" s="6" t="s">
        <v>356</v>
      </c>
      <c r="G57" s="8"/>
      <c r="H57" s="8"/>
      <c r="I57" s="8"/>
      <c r="J57" s="8"/>
      <c r="K57" s="8"/>
      <c r="L57" s="8" t="s">
        <v>82</v>
      </c>
      <c r="M57" s="7">
        <v>1064</v>
      </c>
      <c r="N57" s="7">
        <v>1088</v>
      </c>
      <c r="O57" s="13">
        <v>34741</v>
      </c>
      <c r="P57" s="10">
        <f t="shared" ca="1" si="0"/>
        <v>12.408333333333333</v>
      </c>
      <c r="Q57" s="5">
        <f t="shared" ca="1" si="1"/>
        <v>148</v>
      </c>
      <c r="R57" s="5">
        <f t="shared" ca="1" si="2"/>
        <v>4530</v>
      </c>
      <c r="S57" s="7">
        <f t="shared" ca="1" si="3"/>
        <v>1995</v>
      </c>
      <c r="T57" s="7">
        <f t="shared" ca="1" si="4"/>
        <v>2</v>
      </c>
      <c r="U57" s="7">
        <f t="shared" ca="1" si="5"/>
        <v>11</v>
      </c>
      <c r="V57" s="6" t="s">
        <v>357</v>
      </c>
      <c r="W57" s="14" t="s">
        <v>96</v>
      </c>
      <c r="X57" s="15"/>
      <c r="Y57" s="5">
        <f t="shared" ca="1" si="6"/>
        <v>0</v>
      </c>
      <c r="Z57" s="6"/>
      <c r="AA57" s="12" t="str">
        <f t="shared" ca="1" si="7"/>
        <v>NA</v>
      </c>
      <c r="AB57" s="12" t="str">
        <f t="shared" ca="1" si="8"/>
        <v>NA</v>
      </c>
      <c r="AC57" s="12" t="str">
        <f t="shared" ca="1" si="9"/>
        <v>NA</v>
      </c>
      <c r="AD57" s="6"/>
      <c r="AE57" s="5"/>
      <c r="AF57" s="6"/>
      <c r="AG57" s="11">
        <v>39271</v>
      </c>
      <c r="AH57" s="12">
        <f t="shared" ca="1" si="10"/>
        <v>2007</v>
      </c>
      <c r="AI57" s="12">
        <f t="shared" ca="1" si="11"/>
        <v>7</v>
      </c>
      <c r="AJ57" s="12">
        <f t="shared" ca="1" si="12"/>
        <v>8</v>
      </c>
      <c r="AK57" s="8" t="s">
        <v>358</v>
      </c>
      <c r="AL57" s="8"/>
      <c r="AM57" s="5"/>
      <c r="AN57" s="5"/>
      <c r="AO57" s="5"/>
      <c r="AP57" s="12" t="str">
        <f t="shared" ca="1" si="13"/>
        <v>NA</v>
      </c>
      <c r="AQ57" s="12" t="str">
        <f t="shared" ca="1" si="14"/>
        <v>NA</v>
      </c>
      <c r="AR57" s="12" t="str">
        <f t="shared" ca="1" si="15"/>
        <v>NA</v>
      </c>
      <c r="AS57" s="5"/>
      <c r="AT57" s="5"/>
      <c r="AU57" s="5"/>
      <c r="AV57" s="12" t="str">
        <f t="shared" ca="1" si="16"/>
        <v>NA</v>
      </c>
      <c r="AW57" s="12" t="str">
        <f t="shared" ca="1" si="17"/>
        <v>NA</v>
      </c>
      <c r="AX57" s="12" t="str">
        <f t="shared" ca="1" si="18"/>
        <v>NA</v>
      </c>
      <c r="AY57" s="5"/>
      <c r="AZ57" s="5"/>
      <c r="BA57" s="6"/>
      <c r="BB57" s="12" t="str">
        <f t="shared" ca="1" si="19"/>
        <v>NA</v>
      </c>
      <c r="BC57" s="12" t="str">
        <f t="shared" ca="1" si="20"/>
        <v>NA</v>
      </c>
      <c r="BD57" s="12" t="str">
        <f t="shared" ca="1" si="21"/>
        <v>NA</v>
      </c>
      <c r="BE57" s="5"/>
      <c r="BF57" s="5"/>
      <c r="BG57" s="5"/>
      <c r="BH57" s="12" t="str">
        <f t="shared" ca="1" si="22"/>
        <v>NA</v>
      </c>
      <c r="BI57" s="12" t="str">
        <f t="shared" ca="1" si="23"/>
        <v>NA</v>
      </c>
      <c r="BJ57" s="12" t="str">
        <f t="shared" ca="1" si="24"/>
        <v>NA</v>
      </c>
      <c r="BK57" s="5"/>
      <c r="BL57" s="5"/>
      <c r="BM57" s="12" t="str">
        <f t="shared" ca="1" si="25"/>
        <v>NA</v>
      </c>
      <c r="BN57" s="12" t="str">
        <f t="shared" ca="1" si="26"/>
        <v>NA</v>
      </c>
      <c r="BO57" s="12" t="str">
        <f t="shared" ca="1" si="27"/>
        <v>NA</v>
      </c>
      <c r="BP57" s="5"/>
      <c r="BQ57" s="5"/>
      <c r="BR57" s="5"/>
      <c r="BS57" s="12" t="str">
        <f t="shared" ca="1" si="28"/>
        <v>NA</v>
      </c>
      <c r="BT57" s="12" t="str">
        <f t="shared" ca="1" si="29"/>
        <v>NA</v>
      </c>
      <c r="BU57" s="12" t="str">
        <f t="shared" ca="1" si="30"/>
        <v>NA</v>
      </c>
      <c r="BV57" s="5"/>
      <c r="BW57" s="5"/>
      <c r="BX57" s="12" t="str">
        <f t="shared" ca="1" si="31"/>
        <v>NA</v>
      </c>
      <c r="BY57" s="12" t="str">
        <f t="shared" ca="1" si="32"/>
        <v>NA</v>
      </c>
      <c r="BZ57" s="12" t="str">
        <f t="shared" ca="1" si="33"/>
        <v>NA</v>
      </c>
      <c r="CA57" s="5"/>
    </row>
    <row r="58" spans="1:79" ht="12.75" customHeight="1" x14ac:dyDescent="0.15">
      <c r="A58" s="4">
        <v>1103</v>
      </c>
      <c r="B58" s="5" t="s">
        <v>79</v>
      </c>
      <c r="C58" s="5" t="s">
        <v>79</v>
      </c>
      <c r="D58" s="6" t="s">
        <v>359</v>
      </c>
      <c r="E58" s="7">
        <v>2907</v>
      </c>
      <c r="F58" s="6" t="s">
        <v>360</v>
      </c>
      <c r="G58" s="8"/>
      <c r="H58" s="8"/>
      <c r="I58" s="8"/>
      <c r="J58" s="8"/>
      <c r="K58" s="8"/>
      <c r="L58" s="8" t="s">
        <v>82</v>
      </c>
      <c r="M58" s="7">
        <v>1012</v>
      </c>
      <c r="N58" s="7">
        <v>1044</v>
      </c>
      <c r="O58" s="13">
        <v>34745</v>
      </c>
      <c r="P58" s="10">
        <f t="shared" ca="1" si="0"/>
        <v>14.519444444444444</v>
      </c>
      <c r="Q58" s="5">
        <f t="shared" ca="1" si="1"/>
        <v>174</v>
      </c>
      <c r="R58" s="5">
        <f t="shared" ca="1" si="2"/>
        <v>5302</v>
      </c>
      <c r="S58" s="7">
        <f t="shared" ca="1" si="3"/>
        <v>1995</v>
      </c>
      <c r="T58" s="7">
        <f t="shared" ca="1" si="4"/>
        <v>2</v>
      </c>
      <c r="U58" s="7">
        <f t="shared" ca="1" si="5"/>
        <v>15</v>
      </c>
      <c r="V58" s="6" t="s">
        <v>361</v>
      </c>
      <c r="W58" s="14" t="s">
        <v>96</v>
      </c>
      <c r="X58" s="15"/>
      <c r="Y58" s="5">
        <f t="shared" ca="1" si="6"/>
        <v>0</v>
      </c>
      <c r="Z58" s="6"/>
      <c r="AA58" s="12" t="str">
        <f t="shared" ca="1" si="7"/>
        <v>NA</v>
      </c>
      <c r="AB58" s="12" t="str">
        <f t="shared" ca="1" si="8"/>
        <v>NA</v>
      </c>
      <c r="AC58" s="12" t="str">
        <f t="shared" ca="1" si="9"/>
        <v>NA</v>
      </c>
      <c r="AD58" s="6"/>
      <c r="AE58" s="5"/>
      <c r="AF58" s="6"/>
      <c r="AG58" s="11">
        <v>40047</v>
      </c>
      <c r="AH58" s="12">
        <f t="shared" ca="1" si="10"/>
        <v>2009</v>
      </c>
      <c r="AI58" s="12">
        <f t="shared" ca="1" si="11"/>
        <v>8</v>
      </c>
      <c r="AJ58" s="12">
        <f t="shared" ca="1" si="12"/>
        <v>22</v>
      </c>
      <c r="AK58" s="8" t="s">
        <v>362</v>
      </c>
      <c r="AL58" s="8"/>
      <c r="AM58" s="5"/>
      <c r="AN58" s="5"/>
      <c r="AO58" s="5"/>
      <c r="AP58" s="12" t="str">
        <f t="shared" ca="1" si="13"/>
        <v>NA</v>
      </c>
      <c r="AQ58" s="12" t="str">
        <f t="shared" ca="1" si="14"/>
        <v>NA</v>
      </c>
      <c r="AR58" s="12" t="str">
        <f t="shared" ca="1" si="15"/>
        <v>NA</v>
      </c>
      <c r="AS58" s="5"/>
      <c r="AT58" s="5"/>
      <c r="AU58" s="5"/>
      <c r="AV58" s="12" t="str">
        <f t="shared" ca="1" si="16"/>
        <v>NA</v>
      </c>
      <c r="AW58" s="12" t="str">
        <f t="shared" ca="1" si="17"/>
        <v>NA</v>
      </c>
      <c r="AX58" s="12" t="str">
        <f t="shared" ca="1" si="18"/>
        <v>NA</v>
      </c>
      <c r="AY58" s="5"/>
      <c r="AZ58" s="5"/>
      <c r="BA58" s="6"/>
      <c r="BB58" s="12" t="str">
        <f t="shared" ca="1" si="19"/>
        <v>NA</v>
      </c>
      <c r="BC58" s="12" t="str">
        <f t="shared" ca="1" si="20"/>
        <v>NA</v>
      </c>
      <c r="BD58" s="12" t="str">
        <f t="shared" ca="1" si="21"/>
        <v>NA</v>
      </c>
      <c r="BE58" s="5"/>
      <c r="BF58" s="5"/>
      <c r="BG58" s="5"/>
      <c r="BH58" s="12" t="str">
        <f t="shared" ca="1" si="22"/>
        <v>NA</v>
      </c>
      <c r="BI58" s="12" t="str">
        <f t="shared" ca="1" si="23"/>
        <v>NA</v>
      </c>
      <c r="BJ58" s="12" t="str">
        <f t="shared" ca="1" si="24"/>
        <v>NA</v>
      </c>
      <c r="BK58" s="5"/>
      <c r="BL58" s="5"/>
      <c r="BM58" s="12" t="str">
        <f t="shared" ca="1" si="25"/>
        <v>NA</v>
      </c>
      <c r="BN58" s="12" t="str">
        <f t="shared" ca="1" si="26"/>
        <v>NA</v>
      </c>
      <c r="BO58" s="12" t="str">
        <f t="shared" ca="1" si="27"/>
        <v>NA</v>
      </c>
      <c r="BP58" s="5"/>
      <c r="BQ58" s="5"/>
      <c r="BR58" s="5"/>
      <c r="BS58" s="12" t="str">
        <f t="shared" ca="1" si="28"/>
        <v>NA</v>
      </c>
      <c r="BT58" s="12" t="str">
        <f t="shared" ca="1" si="29"/>
        <v>NA</v>
      </c>
      <c r="BU58" s="12" t="str">
        <f t="shared" ca="1" si="30"/>
        <v>NA</v>
      </c>
      <c r="BV58" s="5"/>
      <c r="BW58" s="5"/>
      <c r="BX58" s="12" t="str">
        <f t="shared" ca="1" si="31"/>
        <v>NA</v>
      </c>
      <c r="BY58" s="12" t="str">
        <f t="shared" ca="1" si="32"/>
        <v>NA</v>
      </c>
      <c r="BZ58" s="12" t="str">
        <f t="shared" ca="1" si="33"/>
        <v>NA</v>
      </c>
      <c r="CA58" s="5"/>
    </row>
    <row r="59" spans="1:79" ht="12.75" customHeight="1" x14ac:dyDescent="0.15">
      <c r="A59" s="4">
        <v>1104</v>
      </c>
      <c r="B59" s="5" t="s">
        <v>79</v>
      </c>
      <c r="C59" s="5" t="s">
        <v>79</v>
      </c>
      <c r="D59" s="6" t="s">
        <v>363</v>
      </c>
      <c r="E59" s="7">
        <v>202338</v>
      </c>
      <c r="F59" s="6" t="s">
        <v>364</v>
      </c>
      <c r="G59" s="8"/>
      <c r="H59" s="8"/>
      <c r="I59" s="8"/>
      <c r="J59" s="8"/>
      <c r="K59" s="8"/>
      <c r="L59" s="8" t="s">
        <v>82</v>
      </c>
      <c r="M59" s="7">
        <v>1012</v>
      </c>
      <c r="N59" s="7">
        <v>1044</v>
      </c>
      <c r="O59" s="13">
        <v>34745</v>
      </c>
      <c r="P59" s="10">
        <f t="shared" ca="1" si="0"/>
        <v>15.508333333333333</v>
      </c>
      <c r="Q59" s="5">
        <f t="shared" ca="1" si="1"/>
        <v>186</v>
      </c>
      <c r="R59" s="5">
        <f t="shared" ca="1" si="2"/>
        <v>5663</v>
      </c>
      <c r="S59" s="7">
        <f t="shared" ca="1" si="3"/>
        <v>1995</v>
      </c>
      <c r="T59" s="7">
        <f t="shared" ca="1" si="4"/>
        <v>2</v>
      </c>
      <c r="U59" s="7">
        <f t="shared" ca="1" si="5"/>
        <v>15</v>
      </c>
      <c r="V59" s="6" t="s">
        <v>365</v>
      </c>
      <c r="W59" s="14" t="s">
        <v>96</v>
      </c>
      <c r="X59" s="15"/>
      <c r="Y59" s="5">
        <f t="shared" ca="1" si="6"/>
        <v>2</v>
      </c>
      <c r="Z59" s="6"/>
      <c r="AA59" s="12" t="str">
        <f t="shared" ca="1" si="7"/>
        <v>NA</v>
      </c>
      <c r="AB59" s="12" t="str">
        <f t="shared" ca="1" si="8"/>
        <v>NA</v>
      </c>
      <c r="AC59" s="12" t="str">
        <f t="shared" ca="1" si="9"/>
        <v>NA</v>
      </c>
      <c r="AD59" s="6"/>
      <c r="AE59" s="5"/>
      <c r="AF59" s="6"/>
      <c r="AG59" s="11">
        <v>40408</v>
      </c>
      <c r="AH59" s="12">
        <f t="shared" ca="1" si="10"/>
        <v>2010</v>
      </c>
      <c r="AI59" s="12">
        <f t="shared" ca="1" si="11"/>
        <v>8</v>
      </c>
      <c r="AJ59" s="12">
        <f t="shared" ca="1" si="12"/>
        <v>18</v>
      </c>
      <c r="AK59" s="8" t="s">
        <v>366</v>
      </c>
      <c r="AL59" s="8"/>
      <c r="AM59" s="5"/>
      <c r="AN59" s="5"/>
      <c r="AO59" s="11">
        <v>35908</v>
      </c>
      <c r="AP59" s="12">
        <f t="shared" ca="1" si="13"/>
        <v>1998</v>
      </c>
      <c r="AQ59" s="12">
        <f t="shared" ca="1" si="14"/>
        <v>4</v>
      </c>
      <c r="AR59" s="12">
        <f t="shared" ca="1" si="15"/>
        <v>23</v>
      </c>
      <c r="AS59" s="8" t="s">
        <v>367</v>
      </c>
      <c r="AT59" s="8"/>
      <c r="AU59" s="11">
        <v>39028</v>
      </c>
      <c r="AV59" s="12">
        <f t="shared" ca="1" si="16"/>
        <v>2006</v>
      </c>
      <c r="AW59" s="12">
        <f t="shared" ca="1" si="17"/>
        <v>11</v>
      </c>
      <c r="AX59" s="12">
        <f t="shared" ca="1" si="18"/>
        <v>7</v>
      </c>
      <c r="AY59" s="8" t="s">
        <v>368</v>
      </c>
      <c r="AZ59" s="8"/>
      <c r="BA59" s="6"/>
      <c r="BB59" s="12" t="str">
        <f t="shared" ca="1" si="19"/>
        <v>NA</v>
      </c>
      <c r="BC59" s="12" t="str">
        <f t="shared" ca="1" si="20"/>
        <v>NA</v>
      </c>
      <c r="BD59" s="12" t="str">
        <f t="shared" ca="1" si="21"/>
        <v>NA</v>
      </c>
      <c r="BE59" s="5"/>
      <c r="BF59" s="5"/>
      <c r="BG59" s="5"/>
      <c r="BH59" s="12" t="str">
        <f t="shared" ca="1" si="22"/>
        <v>NA</v>
      </c>
      <c r="BI59" s="12" t="str">
        <f t="shared" ca="1" si="23"/>
        <v>NA</v>
      </c>
      <c r="BJ59" s="12" t="str">
        <f t="shared" ca="1" si="24"/>
        <v>NA</v>
      </c>
      <c r="BK59" s="5"/>
      <c r="BL59" s="5"/>
      <c r="BM59" s="12" t="str">
        <f t="shared" ca="1" si="25"/>
        <v>NA</v>
      </c>
      <c r="BN59" s="12" t="str">
        <f t="shared" ca="1" si="26"/>
        <v>NA</v>
      </c>
      <c r="BO59" s="12" t="str">
        <f t="shared" ca="1" si="27"/>
        <v>NA</v>
      </c>
      <c r="BP59" s="5"/>
      <c r="BQ59" s="5"/>
      <c r="BR59" s="5"/>
      <c r="BS59" s="12" t="str">
        <f t="shared" ca="1" si="28"/>
        <v>NA</v>
      </c>
      <c r="BT59" s="12" t="str">
        <f t="shared" ca="1" si="29"/>
        <v>NA</v>
      </c>
      <c r="BU59" s="12" t="str">
        <f t="shared" ca="1" si="30"/>
        <v>NA</v>
      </c>
      <c r="BV59" s="5"/>
      <c r="BW59" s="5"/>
      <c r="BX59" s="12" t="str">
        <f t="shared" ca="1" si="31"/>
        <v>NA</v>
      </c>
      <c r="BY59" s="12" t="str">
        <f t="shared" ca="1" si="32"/>
        <v>NA</v>
      </c>
      <c r="BZ59" s="12" t="str">
        <f t="shared" ca="1" si="33"/>
        <v>NA</v>
      </c>
      <c r="CA59" s="5"/>
    </row>
    <row r="60" spans="1:79" ht="12.75" customHeight="1" x14ac:dyDescent="0.15">
      <c r="A60" s="4">
        <v>1105</v>
      </c>
      <c r="B60" s="5" t="s">
        <v>79</v>
      </c>
      <c r="C60" s="5" t="s">
        <v>79</v>
      </c>
      <c r="D60" s="6" t="s">
        <v>369</v>
      </c>
      <c r="E60" s="7">
        <v>595042</v>
      </c>
      <c r="F60" s="6" t="s">
        <v>370</v>
      </c>
      <c r="G60" s="8"/>
      <c r="H60" s="8"/>
      <c r="I60" s="8"/>
      <c r="J60" s="8"/>
      <c r="K60" s="8"/>
      <c r="L60" s="8" t="s">
        <v>82</v>
      </c>
      <c r="M60" s="7">
        <v>1057</v>
      </c>
      <c r="N60" s="7">
        <v>1060</v>
      </c>
      <c r="O60" s="13">
        <v>34752</v>
      </c>
      <c r="P60" s="10">
        <f t="shared" ca="1" si="0"/>
        <v>19.338888888888889</v>
      </c>
      <c r="Q60" s="5">
        <f t="shared" ca="1" si="1"/>
        <v>232</v>
      </c>
      <c r="R60" s="5">
        <f t="shared" ca="1" si="2"/>
        <v>7062</v>
      </c>
      <c r="S60" s="7">
        <f t="shared" ca="1" si="3"/>
        <v>1995</v>
      </c>
      <c r="T60" s="7">
        <f t="shared" ca="1" si="4"/>
        <v>2</v>
      </c>
      <c r="U60" s="7">
        <f t="shared" ca="1" si="5"/>
        <v>22</v>
      </c>
      <c r="V60" s="6" t="s">
        <v>371</v>
      </c>
      <c r="W60" s="14" t="s">
        <v>96</v>
      </c>
      <c r="X60" s="15"/>
      <c r="Y60" s="5">
        <f t="shared" ca="1" si="6"/>
        <v>0</v>
      </c>
      <c r="Z60" s="6"/>
      <c r="AA60" s="12" t="str">
        <f t="shared" ca="1" si="7"/>
        <v>NA</v>
      </c>
      <c r="AB60" s="12" t="str">
        <f t="shared" ca="1" si="8"/>
        <v>NA</v>
      </c>
      <c r="AC60" s="12" t="str">
        <f t="shared" ca="1" si="9"/>
        <v>NA</v>
      </c>
      <c r="AD60" s="6"/>
      <c r="AE60" s="5"/>
      <c r="AF60" s="6"/>
      <c r="AG60" s="11">
        <v>41814</v>
      </c>
      <c r="AH60" s="12">
        <f t="shared" ca="1" si="10"/>
        <v>2014</v>
      </c>
      <c r="AI60" s="12">
        <f t="shared" ca="1" si="11"/>
        <v>6</v>
      </c>
      <c r="AJ60" s="12">
        <f t="shared" ca="1" si="12"/>
        <v>24</v>
      </c>
      <c r="AK60" s="8" t="s">
        <v>372</v>
      </c>
      <c r="AL60" s="8"/>
      <c r="AM60" s="5"/>
      <c r="AN60" s="5"/>
      <c r="AO60" s="5"/>
      <c r="AP60" s="12" t="str">
        <f t="shared" ca="1" si="13"/>
        <v>NA</v>
      </c>
      <c r="AQ60" s="12" t="str">
        <f t="shared" ca="1" si="14"/>
        <v>NA</v>
      </c>
      <c r="AR60" s="12" t="str">
        <f t="shared" ca="1" si="15"/>
        <v>NA</v>
      </c>
      <c r="AS60" s="5"/>
      <c r="AT60" s="5"/>
      <c r="AU60" s="5"/>
      <c r="AV60" s="12" t="str">
        <f t="shared" ca="1" si="16"/>
        <v>NA</v>
      </c>
      <c r="AW60" s="12" t="str">
        <f t="shared" ca="1" si="17"/>
        <v>NA</v>
      </c>
      <c r="AX60" s="12" t="str">
        <f t="shared" ca="1" si="18"/>
        <v>NA</v>
      </c>
      <c r="AY60" s="5"/>
      <c r="AZ60" s="5"/>
      <c r="BA60" s="6"/>
      <c r="BB60" s="12" t="str">
        <f t="shared" ca="1" si="19"/>
        <v>NA</v>
      </c>
      <c r="BC60" s="12" t="str">
        <f t="shared" ca="1" si="20"/>
        <v>NA</v>
      </c>
      <c r="BD60" s="12" t="str">
        <f t="shared" ca="1" si="21"/>
        <v>NA</v>
      </c>
      <c r="BE60" s="5"/>
      <c r="BF60" s="5"/>
      <c r="BG60" s="5"/>
      <c r="BH60" s="12" t="str">
        <f t="shared" ca="1" si="22"/>
        <v>NA</v>
      </c>
      <c r="BI60" s="12" t="str">
        <f t="shared" ca="1" si="23"/>
        <v>NA</v>
      </c>
      <c r="BJ60" s="12" t="str">
        <f t="shared" ca="1" si="24"/>
        <v>NA</v>
      </c>
      <c r="BK60" s="5"/>
      <c r="BL60" s="5"/>
      <c r="BM60" s="12" t="str">
        <f t="shared" ca="1" si="25"/>
        <v>NA</v>
      </c>
      <c r="BN60" s="12" t="str">
        <f t="shared" ca="1" si="26"/>
        <v>NA</v>
      </c>
      <c r="BO60" s="12" t="str">
        <f t="shared" ca="1" si="27"/>
        <v>NA</v>
      </c>
      <c r="BP60" s="5"/>
      <c r="BQ60" s="5"/>
      <c r="BR60" s="5"/>
      <c r="BS60" s="12" t="str">
        <f t="shared" ca="1" si="28"/>
        <v>NA</v>
      </c>
      <c r="BT60" s="12" t="str">
        <f t="shared" ca="1" si="29"/>
        <v>NA</v>
      </c>
      <c r="BU60" s="12" t="str">
        <f t="shared" ca="1" si="30"/>
        <v>NA</v>
      </c>
      <c r="BV60" s="5"/>
      <c r="BW60" s="5"/>
      <c r="BX60" s="12" t="str">
        <f t="shared" ca="1" si="31"/>
        <v>NA</v>
      </c>
      <c r="BY60" s="12" t="str">
        <f t="shared" ca="1" si="32"/>
        <v>NA</v>
      </c>
      <c r="BZ60" s="12" t="str">
        <f t="shared" ca="1" si="33"/>
        <v>NA</v>
      </c>
      <c r="CA60" s="5"/>
    </row>
    <row r="61" spans="1:79" ht="12.75" customHeight="1" x14ac:dyDescent="0.15">
      <c r="A61" s="4">
        <v>1106</v>
      </c>
      <c r="B61" s="5" t="s">
        <v>79</v>
      </c>
      <c r="C61" s="5" t="s">
        <v>79</v>
      </c>
      <c r="D61" s="6" t="s">
        <v>373</v>
      </c>
      <c r="E61" s="7">
        <v>16671</v>
      </c>
      <c r="F61" s="6" t="s">
        <v>374</v>
      </c>
      <c r="G61" s="8"/>
      <c r="H61" s="8"/>
      <c r="I61" s="8"/>
      <c r="J61" s="8"/>
      <c r="K61" s="8"/>
      <c r="L61" s="8" t="s">
        <v>82</v>
      </c>
      <c r="M61" s="7">
        <v>1041</v>
      </c>
      <c r="N61" s="7">
        <v>1040</v>
      </c>
      <c r="O61" s="13">
        <v>34753</v>
      </c>
      <c r="P61" s="10">
        <f t="shared" ca="1" si="0"/>
        <v>10.272222222222222</v>
      </c>
      <c r="Q61" s="5">
        <f t="shared" ca="1" si="1"/>
        <v>123</v>
      </c>
      <c r="R61" s="5">
        <f t="shared" ca="1" si="2"/>
        <v>3751</v>
      </c>
      <c r="S61" s="7">
        <f t="shared" ca="1" si="3"/>
        <v>1995</v>
      </c>
      <c r="T61" s="7">
        <f t="shared" ca="1" si="4"/>
        <v>2</v>
      </c>
      <c r="U61" s="7">
        <f t="shared" ca="1" si="5"/>
        <v>23</v>
      </c>
      <c r="V61" s="6" t="s">
        <v>375</v>
      </c>
      <c r="W61" s="14" t="s">
        <v>96</v>
      </c>
      <c r="X61" s="15"/>
      <c r="Y61" s="5">
        <f t="shared" ca="1" si="6"/>
        <v>1</v>
      </c>
      <c r="Z61" s="6"/>
      <c r="AA61" s="12" t="str">
        <f t="shared" ca="1" si="7"/>
        <v>NA</v>
      </c>
      <c r="AB61" s="12" t="str">
        <f t="shared" ca="1" si="8"/>
        <v>NA</v>
      </c>
      <c r="AC61" s="12" t="str">
        <f t="shared" ca="1" si="9"/>
        <v>NA</v>
      </c>
      <c r="AD61" s="6"/>
      <c r="AE61" s="5"/>
      <c r="AF61" s="6"/>
      <c r="AG61" s="11">
        <v>38504</v>
      </c>
      <c r="AH61" s="12">
        <f t="shared" ca="1" si="10"/>
        <v>2005</v>
      </c>
      <c r="AI61" s="12">
        <f t="shared" ca="1" si="11"/>
        <v>6</v>
      </c>
      <c r="AJ61" s="12">
        <f t="shared" ca="1" si="12"/>
        <v>1</v>
      </c>
      <c r="AK61" s="8" t="s">
        <v>376</v>
      </c>
      <c r="AL61" s="8"/>
      <c r="AM61" s="5"/>
      <c r="AN61" s="5"/>
      <c r="AO61" s="11">
        <v>35493</v>
      </c>
      <c r="AP61" s="12">
        <f t="shared" ca="1" si="13"/>
        <v>1997</v>
      </c>
      <c r="AQ61" s="12">
        <f t="shared" ca="1" si="14"/>
        <v>3</v>
      </c>
      <c r="AR61" s="12">
        <f t="shared" ca="1" si="15"/>
        <v>4</v>
      </c>
      <c r="AS61" s="8" t="s">
        <v>377</v>
      </c>
      <c r="AT61" s="8"/>
      <c r="AU61" s="5"/>
      <c r="AV61" s="12" t="str">
        <f t="shared" ca="1" si="16"/>
        <v>NA</v>
      </c>
      <c r="AW61" s="12" t="str">
        <f t="shared" ca="1" si="17"/>
        <v>NA</v>
      </c>
      <c r="AX61" s="12" t="str">
        <f t="shared" ca="1" si="18"/>
        <v>NA</v>
      </c>
      <c r="AY61" s="5"/>
      <c r="AZ61" s="5"/>
      <c r="BA61" s="6"/>
      <c r="BB61" s="12" t="str">
        <f t="shared" ca="1" si="19"/>
        <v>NA</v>
      </c>
      <c r="BC61" s="12" t="str">
        <f t="shared" ca="1" si="20"/>
        <v>NA</v>
      </c>
      <c r="BD61" s="12" t="str">
        <f t="shared" ca="1" si="21"/>
        <v>NA</v>
      </c>
      <c r="BE61" s="5"/>
      <c r="BF61" s="5"/>
      <c r="BG61" s="5"/>
      <c r="BH61" s="12" t="str">
        <f t="shared" ca="1" si="22"/>
        <v>NA</v>
      </c>
      <c r="BI61" s="12" t="str">
        <f t="shared" ca="1" si="23"/>
        <v>NA</v>
      </c>
      <c r="BJ61" s="12" t="str">
        <f t="shared" ca="1" si="24"/>
        <v>NA</v>
      </c>
      <c r="BK61" s="5"/>
      <c r="BL61" s="5"/>
      <c r="BM61" s="12" t="str">
        <f t="shared" ca="1" si="25"/>
        <v>NA</v>
      </c>
      <c r="BN61" s="12" t="str">
        <f t="shared" ca="1" si="26"/>
        <v>NA</v>
      </c>
      <c r="BO61" s="12" t="str">
        <f t="shared" ca="1" si="27"/>
        <v>NA</v>
      </c>
      <c r="BP61" s="5"/>
      <c r="BQ61" s="5"/>
      <c r="BR61" s="5"/>
      <c r="BS61" s="12" t="str">
        <f t="shared" ca="1" si="28"/>
        <v>NA</v>
      </c>
      <c r="BT61" s="12" t="str">
        <f t="shared" ca="1" si="29"/>
        <v>NA</v>
      </c>
      <c r="BU61" s="12" t="str">
        <f t="shared" ca="1" si="30"/>
        <v>NA</v>
      </c>
      <c r="BV61" s="5"/>
      <c r="BW61" s="5"/>
      <c r="BX61" s="12" t="str">
        <f t="shared" ca="1" si="31"/>
        <v>NA</v>
      </c>
      <c r="BY61" s="12" t="str">
        <f t="shared" ca="1" si="32"/>
        <v>NA</v>
      </c>
      <c r="BZ61" s="12" t="str">
        <f t="shared" ca="1" si="33"/>
        <v>NA</v>
      </c>
      <c r="CA61" s="5"/>
    </row>
    <row r="62" spans="1:79" ht="12.75" customHeight="1" x14ac:dyDescent="0.15">
      <c r="A62" s="4">
        <v>1107</v>
      </c>
      <c r="B62" s="5" t="s">
        <v>79</v>
      </c>
      <c r="C62" s="5" t="s">
        <v>79</v>
      </c>
      <c r="D62" s="6" t="s">
        <v>378</v>
      </c>
      <c r="E62" s="7">
        <v>970083</v>
      </c>
      <c r="F62" s="6" t="s">
        <v>379</v>
      </c>
      <c r="G62" s="8"/>
      <c r="H62" s="8"/>
      <c r="I62" s="8"/>
      <c r="J62" s="8"/>
      <c r="K62" s="8"/>
      <c r="L62" s="8" t="s">
        <v>82</v>
      </c>
      <c r="M62" s="7">
        <v>1041</v>
      </c>
      <c r="N62" s="7">
        <v>1040</v>
      </c>
      <c r="O62" s="13">
        <v>34753</v>
      </c>
      <c r="P62" s="10">
        <f t="shared" ca="1" si="0"/>
        <v>9.2750000000000004</v>
      </c>
      <c r="Q62" s="5">
        <f t="shared" ca="1" si="1"/>
        <v>111</v>
      </c>
      <c r="R62" s="5">
        <f t="shared" ca="1" si="2"/>
        <v>3387</v>
      </c>
      <c r="S62" s="7">
        <f t="shared" ca="1" si="3"/>
        <v>1995</v>
      </c>
      <c r="T62" s="7">
        <f t="shared" ca="1" si="4"/>
        <v>2</v>
      </c>
      <c r="U62" s="7">
        <f t="shared" ca="1" si="5"/>
        <v>23</v>
      </c>
      <c r="V62" s="6" t="s">
        <v>380</v>
      </c>
      <c r="W62" s="14" t="s">
        <v>96</v>
      </c>
      <c r="X62" s="15"/>
      <c r="Y62" s="5">
        <f t="shared" ca="1" si="6"/>
        <v>2</v>
      </c>
      <c r="Z62" s="6"/>
      <c r="AA62" s="12" t="str">
        <f t="shared" ca="1" si="7"/>
        <v>NA</v>
      </c>
      <c r="AB62" s="12" t="str">
        <f t="shared" ca="1" si="8"/>
        <v>NA</v>
      </c>
      <c r="AC62" s="12" t="str">
        <f t="shared" ca="1" si="9"/>
        <v>NA</v>
      </c>
      <c r="AD62" s="6"/>
      <c r="AE62" s="5"/>
      <c r="AF62" s="6"/>
      <c r="AG62" s="11">
        <v>38140</v>
      </c>
      <c r="AH62" s="12">
        <f t="shared" ca="1" si="10"/>
        <v>2004</v>
      </c>
      <c r="AI62" s="12">
        <f t="shared" ca="1" si="11"/>
        <v>6</v>
      </c>
      <c r="AJ62" s="12">
        <f t="shared" ca="1" si="12"/>
        <v>2</v>
      </c>
      <c r="AK62" s="8" t="s">
        <v>381</v>
      </c>
      <c r="AL62" s="8"/>
      <c r="AM62" s="5"/>
      <c r="AN62" s="5"/>
      <c r="AO62" s="11">
        <v>35481</v>
      </c>
      <c r="AP62" s="12">
        <f t="shared" ca="1" si="13"/>
        <v>1997</v>
      </c>
      <c r="AQ62" s="12">
        <f t="shared" ca="1" si="14"/>
        <v>2</v>
      </c>
      <c r="AR62" s="12">
        <f t="shared" ca="1" si="15"/>
        <v>20</v>
      </c>
      <c r="AS62" s="8" t="s">
        <v>382</v>
      </c>
      <c r="AT62" s="8"/>
      <c r="AU62" s="11">
        <v>35523</v>
      </c>
      <c r="AV62" s="12">
        <f t="shared" ca="1" si="16"/>
        <v>1997</v>
      </c>
      <c r="AW62" s="12">
        <f t="shared" ca="1" si="17"/>
        <v>4</v>
      </c>
      <c r="AX62" s="12">
        <f t="shared" ca="1" si="18"/>
        <v>3</v>
      </c>
      <c r="AY62" s="8" t="s">
        <v>383</v>
      </c>
      <c r="AZ62" s="8"/>
      <c r="BA62" s="6"/>
      <c r="BB62" s="12" t="str">
        <f t="shared" ca="1" si="19"/>
        <v>NA</v>
      </c>
      <c r="BC62" s="12" t="str">
        <f t="shared" ca="1" si="20"/>
        <v>NA</v>
      </c>
      <c r="BD62" s="12" t="str">
        <f t="shared" ca="1" si="21"/>
        <v>NA</v>
      </c>
      <c r="BE62" s="5"/>
      <c r="BF62" s="5"/>
      <c r="BG62" s="5"/>
      <c r="BH62" s="12" t="str">
        <f t="shared" ca="1" si="22"/>
        <v>NA</v>
      </c>
      <c r="BI62" s="12" t="str">
        <f t="shared" ca="1" si="23"/>
        <v>NA</v>
      </c>
      <c r="BJ62" s="12" t="str">
        <f t="shared" ca="1" si="24"/>
        <v>NA</v>
      </c>
      <c r="BK62" s="5"/>
      <c r="BL62" s="5"/>
      <c r="BM62" s="12" t="str">
        <f t="shared" ca="1" si="25"/>
        <v>NA</v>
      </c>
      <c r="BN62" s="12" t="str">
        <f t="shared" ca="1" si="26"/>
        <v>NA</v>
      </c>
      <c r="BO62" s="12" t="str">
        <f t="shared" ca="1" si="27"/>
        <v>NA</v>
      </c>
      <c r="BP62" s="5"/>
      <c r="BQ62" s="5"/>
      <c r="BR62" s="5"/>
      <c r="BS62" s="12" t="str">
        <f t="shared" ca="1" si="28"/>
        <v>NA</v>
      </c>
      <c r="BT62" s="12" t="str">
        <f t="shared" ca="1" si="29"/>
        <v>NA</v>
      </c>
      <c r="BU62" s="12" t="str">
        <f t="shared" ca="1" si="30"/>
        <v>NA</v>
      </c>
      <c r="BV62" s="5"/>
      <c r="BW62" s="5"/>
      <c r="BX62" s="12" t="str">
        <f t="shared" ca="1" si="31"/>
        <v>NA</v>
      </c>
      <c r="BY62" s="12" t="str">
        <f t="shared" ca="1" si="32"/>
        <v>NA</v>
      </c>
      <c r="BZ62" s="12" t="str">
        <f t="shared" ca="1" si="33"/>
        <v>NA</v>
      </c>
      <c r="CA62" s="5"/>
    </row>
    <row r="63" spans="1:79" ht="12.75" customHeight="1" x14ac:dyDescent="0.15">
      <c r="A63" s="4">
        <v>1108</v>
      </c>
      <c r="B63" s="5" t="s">
        <v>79</v>
      </c>
      <c r="C63" s="5" t="s">
        <v>79</v>
      </c>
      <c r="D63" s="6" t="s">
        <v>384</v>
      </c>
      <c r="E63" s="7">
        <v>595052</v>
      </c>
      <c r="F63" s="6" t="s">
        <v>385</v>
      </c>
      <c r="G63" s="8"/>
      <c r="H63" s="8"/>
      <c r="I63" s="8"/>
      <c r="J63" s="8"/>
      <c r="K63" s="8"/>
      <c r="L63" s="8" t="s">
        <v>82</v>
      </c>
      <c r="M63" s="7">
        <v>1017</v>
      </c>
      <c r="N63" s="7">
        <v>1019</v>
      </c>
      <c r="O63" s="13">
        <v>34756</v>
      </c>
      <c r="P63" s="10">
        <f t="shared" ca="1" si="0"/>
        <v>19.288888888888888</v>
      </c>
      <c r="Q63" s="5">
        <f t="shared" ca="1" si="1"/>
        <v>231</v>
      </c>
      <c r="R63" s="5">
        <f t="shared" ca="1" si="2"/>
        <v>7044</v>
      </c>
      <c r="S63" s="7">
        <f t="shared" ca="1" si="3"/>
        <v>1995</v>
      </c>
      <c r="T63" s="7">
        <f t="shared" ca="1" si="4"/>
        <v>2</v>
      </c>
      <c r="U63" s="7">
        <f t="shared" ca="1" si="5"/>
        <v>26</v>
      </c>
      <c r="V63" s="6" t="s">
        <v>386</v>
      </c>
      <c r="W63" s="14" t="s">
        <v>96</v>
      </c>
      <c r="X63" s="15"/>
      <c r="Y63" s="5">
        <f t="shared" ca="1" si="6"/>
        <v>0</v>
      </c>
      <c r="Z63" s="6"/>
      <c r="AA63" s="12" t="str">
        <f t="shared" ca="1" si="7"/>
        <v>NA</v>
      </c>
      <c r="AB63" s="12" t="str">
        <f t="shared" ca="1" si="8"/>
        <v>NA</v>
      </c>
      <c r="AC63" s="12" t="str">
        <f t="shared" ca="1" si="9"/>
        <v>NA</v>
      </c>
      <c r="AD63" s="6"/>
      <c r="AE63" s="5"/>
      <c r="AF63" s="6"/>
      <c r="AG63" s="11">
        <v>41800</v>
      </c>
      <c r="AH63" s="12">
        <f t="shared" ca="1" si="10"/>
        <v>2014</v>
      </c>
      <c r="AI63" s="12">
        <f t="shared" ca="1" si="11"/>
        <v>6</v>
      </c>
      <c r="AJ63" s="12">
        <f t="shared" ca="1" si="12"/>
        <v>10</v>
      </c>
      <c r="AK63" s="8" t="s">
        <v>387</v>
      </c>
      <c r="AL63" s="8"/>
      <c r="AM63" s="5"/>
      <c r="AN63" s="5"/>
      <c r="AO63" s="5"/>
      <c r="AP63" s="12" t="str">
        <f t="shared" ca="1" si="13"/>
        <v>NA</v>
      </c>
      <c r="AQ63" s="12" t="str">
        <f t="shared" ca="1" si="14"/>
        <v>NA</v>
      </c>
      <c r="AR63" s="12" t="str">
        <f t="shared" ca="1" si="15"/>
        <v>NA</v>
      </c>
      <c r="AS63" s="5"/>
      <c r="AT63" s="5"/>
      <c r="AU63" s="5"/>
      <c r="AV63" s="12" t="str">
        <f t="shared" ca="1" si="16"/>
        <v>NA</v>
      </c>
      <c r="AW63" s="12" t="str">
        <f t="shared" ca="1" si="17"/>
        <v>NA</v>
      </c>
      <c r="AX63" s="12" t="str">
        <f t="shared" ca="1" si="18"/>
        <v>NA</v>
      </c>
      <c r="AY63" s="5"/>
      <c r="AZ63" s="5"/>
      <c r="BA63" s="6"/>
      <c r="BB63" s="12" t="str">
        <f t="shared" ca="1" si="19"/>
        <v>NA</v>
      </c>
      <c r="BC63" s="12" t="str">
        <f t="shared" ca="1" si="20"/>
        <v>NA</v>
      </c>
      <c r="BD63" s="12" t="str">
        <f t="shared" ca="1" si="21"/>
        <v>NA</v>
      </c>
      <c r="BE63" s="5"/>
      <c r="BF63" s="5"/>
      <c r="BG63" s="5"/>
      <c r="BH63" s="12" t="str">
        <f t="shared" ca="1" si="22"/>
        <v>NA</v>
      </c>
      <c r="BI63" s="12" t="str">
        <f t="shared" ca="1" si="23"/>
        <v>NA</v>
      </c>
      <c r="BJ63" s="12" t="str">
        <f t="shared" ca="1" si="24"/>
        <v>NA</v>
      </c>
      <c r="BK63" s="5"/>
      <c r="BL63" s="5"/>
      <c r="BM63" s="12" t="str">
        <f t="shared" ca="1" si="25"/>
        <v>NA</v>
      </c>
      <c r="BN63" s="12" t="str">
        <f t="shared" ca="1" si="26"/>
        <v>NA</v>
      </c>
      <c r="BO63" s="12" t="str">
        <f t="shared" ca="1" si="27"/>
        <v>NA</v>
      </c>
      <c r="BP63" s="5"/>
      <c r="BQ63" s="5"/>
      <c r="BR63" s="5"/>
      <c r="BS63" s="12" t="str">
        <f t="shared" ca="1" si="28"/>
        <v>NA</v>
      </c>
      <c r="BT63" s="12" t="str">
        <f t="shared" ca="1" si="29"/>
        <v>NA</v>
      </c>
      <c r="BU63" s="12" t="str">
        <f t="shared" ca="1" si="30"/>
        <v>NA</v>
      </c>
      <c r="BV63" s="5"/>
      <c r="BW63" s="5"/>
      <c r="BX63" s="12" t="str">
        <f t="shared" ca="1" si="31"/>
        <v>NA</v>
      </c>
      <c r="BY63" s="12" t="str">
        <f t="shared" ca="1" si="32"/>
        <v>NA</v>
      </c>
      <c r="BZ63" s="12" t="str">
        <f t="shared" ca="1" si="33"/>
        <v>NA</v>
      </c>
      <c r="CA63" s="5"/>
    </row>
    <row r="64" spans="1:79" ht="12.75" customHeight="1" x14ac:dyDescent="0.15">
      <c r="A64" s="4">
        <v>1109</v>
      </c>
      <c r="B64" s="5" t="s">
        <v>79</v>
      </c>
      <c r="C64" s="5" t="s">
        <v>79</v>
      </c>
      <c r="D64" s="6" t="s">
        <v>388</v>
      </c>
      <c r="E64" s="7">
        <v>950045</v>
      </c>
      <c r="F64" s="6" t="s">
        <v>389</v>
      </c>
      <c r="G64" s="8"/>
      <c r="H64" s="8"/>
      <c r="I64" s="8"/>
      <c r="J64" s="8"/>
      <c r="K64" s="8"/>
      <c r="L64" s="8" t="s">
        <v>82</v>
      </c>
      <c r="M64" s="7">
        <v>1051</v>
      </c>
      <c r="N64" s="7">
        <v>1054</v>
      </c>
      <c r="O64" s="13">
        <v>34784</v>
      </c>
      <c r="P64" s="10">
        <f t="shared" ca="1" si="0"/>
        <v>2.9472222222222224</v>
      </c>
      <c r="Q64" s="5">
        <f t="shared" ca="1" si="1"/>
        <v>35</v>
      </c>
      <c r="R64" s="5">
        <f t="shared" ca="1" si="2"/>
        <v>1077</v>
      </c>
      <c r="S64" s="7">
        <f t="shared" ca="1" si="3"/>
        <v>1995</v>
      </c>
      <c r="T64" s="7">
        <f t="shared" ca="1" si="4"/>
        <v>3</v>
      </c>
      <c r="U64" s="7">
        <f t="shared" ca="1" si="5"/>
        <v>26</v>
      </c>
      <c r="V64" s="6" t="s">
        <v>390</v>
      </c>
      <c r="W64" s="14" t="s">
        <v>96</v>
      </c>
      <c r="X64" s="15"/>
      <c r="Y64" s="5">
        <f t="shared" ca="1" si="6"/>
        <v>0</v>
      </c>
      <c r="Z64" s="6"/>
      <c r="AA64" s="12" t="str">
        <f t="shared" ca="1" si="7"/>
        <v>NA</v>
      </c>
      <c r="AB64" s="12" t="str">
        <f t="shared" ca="1" si="8"/>
        <v>NA</v>
      </c>
      <c r="AC64" s="12" t="str">
        <f t="shared" ca="1" si="9"/>
        <v>NA</v>
      </c>
      <c r="AD64" s="6"/>
      <c r="AE64" s="5"/>
      <c r="AF64" s="6"/>
      <c r="AG64" s="11">
        <v>35861</v>
      </c>
      <c r="AH64" s="12">
        <f t="shared" ca="1" si="10"/>
        <v>1998</v>
      </c>
      <c r="AI64" s="12">
        <f t="shared" ca="1" si="11"/>
        <v>3</v>
      </c>
      <c r="AJ64" s="12">
        <f t="shared" ca="1" si="12"/>
        <v>7</v>
      </c>
      <c r="AK64" s="8" t="s">
        <v>391</v>
      </c>
      <c r="AL64" s="8"/>
      <c r="AM64" s="5"/>
      <c r="AN64" s="5"/>
      <c r="AO64" s="5"/>
      <c r="AP64" s="12" t="str">
        <f t="shared" ca="1" si="13"/>
        <v>NA</v>
      </c>
      <c r="AQ64" s="12" t="str">
        <f t="shared" ca="1" si="14"/>
        <v>NA</v>
      </c>
      <c r="AR64" s="12" t="str">
        <f t="shared" ca="1" si="15"/>
        <v>NA</v>
      </c>
      <c r="AS64" s="5"/>
      <c r="AT64" s="5"/>
      <c r="AU64" s="5"/>
      <c r="AV64" s="12" t="str">
        <f t="shared" ca="1" si="16"/>
        <v>NA</v>
      </c>
      <c r="AW64" s="12" t="str">
        <f t="shared" ca="1" si="17"/>
        <v>NA</v>
      </c>
      <c r="AX64" s="12" t="str">
        <f t="shared" ca="1" si="18"/>
        <v>NA</v>
      </c>
      <c r="AY64" s="5"/>
      <c r="AZ64" s="5"/>
      <c r="BA64" s="6"/>
      <c r="BB64" s="12" t="str">
        <f t="shared" ca="1" si="19"/>
        <v>NA</v>
      </c>
      <c r="BC64" s="12" t="str">
        <f t="shared" ca="1" si="20"/>
        <v>NA</v>
      </c>
      <c r="BD64" s="12" t="str">
        <f t="shared" ca="1" si="21"/>
        <v>NA</v>
      </c>
      <c r="BE64" s="5"/>
      <c r="BF64" s="5"/>
      <c r="BG64" s="5"/>
      <c r="BH64" s="12" t="str">
        <f t="shared" ca="1" si="22"/>
        <v>NA</v>
      </c>
      <c r="BI64" s="12" t="str">
        <f t="shared" ca="1" si="23"/>
        <v>NA</v>
      </c>
      <c r="BJ64" s="12" t="str">
        <f t="shared" ca="1" si="24"/>
        <v>NA</v>
      </c>
      <c r="BK64" s="5"/>
      <c r="BL64" s="5"/>
      <c r="BM64" s="12" t="str">
        <f t="shared" ca="1" si="25"/>
        <v>NA</v>
      </c>
      <c r="BN64" s="12" t="str">
        <f t="shared" ca="1" si="26"/>
        <v>NA</v>
      </c>
      <c r="BO64" s="12" t="str">
        <f t="shared" ca="1" si="27"/>
        <v>NA</v>
      </c>
      <c r="BP64" s="5"/>
      <c r="BQ64" s="5"/>
      <c r="BR64" s="5"/>
      <c r="BS64" s="12" t="str">
        <f t="shared" ca="1" si="28"/>
        <v>NA</v>
      </c>
      <c r="BT64" s="12" t="str">
        <f t="shared" ca="1" si="29"/>
        <v>NA</v>
      </c>
      <c r="BU64" s="12" t="str">
        <f t="shared" ca="1" si="30"/>
        <v>NA</v>
      </c>
      <c r="BV64" s="5"/>
      <c r="BW64" s="5"/>
      <c r="BX64" s="12" t="str">
        <f t="shared" ca="1" si="31"/>
        <v>NA</v>
      </c>
      <c r="BY64" s="12" t="str">
        <f t="shared" ca="1" si="32"/>
        <v>NA</v>
      </c>
      <c r="BZ64" s="12" t="str">
        <f t="shared" ca="1" si="33"/>
        <v>NA</v>
      </c>
      <c r="CA64" s="5"/>
    </row>
    <row r="65" spans="1:79" ht="12.75" customHeight="1" x14ac:dyDescent="0.15">
      <c r="A65" s="4">
        <v>1110</v>
      </c>
      <c r="B65" s="5" t="s">
        <v>79</v>
      </c>
      <c r="C65" s="5" t="s">
        <v>79</v>
      </c>
      <c r="D65" s="6" t="s">
        <v>392</v>
      </c>
      <c r="E65" s="7">
        <v>950046</v>
      </c>
      <c r="F65" s="6" t="s">
        <v>393</v>
      </c>
      <c r="G65" s="8"/>
      <c r="H65" s="8"/>
      <c r="I65" s="8"/>
      <c r="J65" s="8"/>
      <c r="K65" s="8"/>
      <c r="L65" s="8" t="s">
        <v>82</v>
      </c>
      <c r="M65" s="7">
        <v>1051</v>
      </c>
      <c r="N65" s="7">
        <v>1054</v>
      </c>
      <c r="O65" s="13">
        <v>34784</v>
      </c>
      <c r="P65" s="10">
        <f t="shared" ca="1" si="0"/>
        <v>0</v>
      </c>
      <c r="Q65" s="5">
        <f t="shared" ca="1" si="1"/>
        <v>0</v>
      </c>
      <c r="R65" s="5">
        <f t="shared" ca="1" si="2"/>
        <v>0</v>
      </c>
      <c r="S65" s="7">
        <f t="shared" ca="1" si="3"/>
        <v>1995</v>
      </c>
      <c r="T65" s="7">
        <f t="shared" ca="1" si="4"/>
        <v>3</v>
      </c>
      <c r="U65" s="7">
        <f t="shared" ca="1" si="5"/>
        <v>26</v>
      </c>
      <c r="V65" s="6" t="s">
        <v>394</v>
      </c>
      <c r="W65" s="14" t="s">
        <v>96</v>
      </c>
      <c r="X65" s="15"/>
      <c r="Y65" s="5">
        <f t="shared" ca="1" si="6"/>
        <v>0</v>
      </c>
      <c r="Z65" s="6"/>
      <c r="AA65" s="12" t="str">
        <f t="shared" ca="1" si="7"/>
        <v>NA</v>
      </c>
      <c r="AB65" s="12" t="str">
        <f t="shared" ca="1" si="8"/>
        <v>NA</v>
      </c>
      <c r="AC65" s="12" t="str">
        <f t="shared" ca="1" si="9"/>
        <v>NA</v>
      </c>
      <c r="AD65" s="6"/>
      <c r="AE65" s="5"/>
      <c r="AF65" s="6"/>
      <c r="AG65" s="11">
        <v>34784</v>
      </c>
      <c r="AH65" s="12">
        <f t="shared" ca="1" si="10"/>
        <v>1995</v>
      </c>
      <c r="AI65" s="12">
        <f t="shared" ca="1" si="11"/>
        <v>3</v>
      </c>
      <c r="AJ65" s="12">
        <f t="shared" ca="1" si="12"/>
        <v>26</v>
      </c>
      <c r="AK65" s="8" t="s">
        <v>395</v>
      </c>
      <c r="AL65" s="8"/>
      <c r="AM65" s="5"/>
      <c r="AN65" s="5"/>
      <c r="AO65" s="5"/>
      <c r="AP65" s="12" t="str">
        <f t="shared" ca="1" si="13"/>
        <v>NA</v>
      </c>
      <c r="AQ65" s="12" t="str">
        <f t="shared" ca="1" si="14"/>
        <v>NA</v>
      </c>
      <c r="AR65" s="12" t="str">
        <f t="shared" ca="1" si="15"/>
        <v>NA</v>
      </c>
      <c r="AS65" s="5"/>
      <c r="AT65" s="5"/>
      <c r="AU65" s="5"/>
      <c r="AV65" s="12" t="str">
        <f t="shared" ca="1" si="16"/>
        <v>NA</v>
      </c>
      <c r="AW65" s="12" t="str">
        <f t="shared" ca="1" si="17"/>
        <v>NA</v>
      </c>
      <c r="AX65" s="12" t="str">
        <f t="shared" ca="1" si="18"/>
        <v>NA</v>
      </c>
      <c r="AY65" s="5"/>
      <c r="AZ65" s="5"/>
      <c r="BA65" s="6"/>
      <c r="BB65" s="12" t="str">
        <f t="shared" ca="1" si="19"/>
        <v>NA</v>
      </c>
      <c r="BC65" s="12" t="str">
        <f t="shared" ca="1" si="20"/>
        <v>NA</v>
      </c>
      <c r="BD65" s="12" t="str">
        <f t="shared" ca="1" si="21"/>
        <v>NA</v>
      </c>
      <c r="BE65" s="5"/>
      <c r="BF65" s="5"/>
      <c r="BG65" s="5"/>
      <c r="BH65" s="12" t="str">
        <f t="shared" ca="1" si="22"/>
        <v>NA</v>
      </c>
      <c r="BI65" s="12" t="str">
        <f t="shared" ca="1" si="23"/>
        <v>NA</v>
      </c>
      <c r="BJ65" s="12" t="str">
        <f t="shared" ca="1" si="24"/>
        <v>NA</v>
      </c>
      <c r="BK65" s="5"/>
      <c r="BL65" s="5"/>
      <c r="BM65" s="12" t="str">
        <f t="shared" ca="1" si="25"/>
        <v>NA</v>
      </c>
      <c r="BN65" s="12" t="str">
        <f t="shared" ca="1" si="26"/>
        <v>NA</v>
      </c>
      <c r="BO65" s="12" t="str">
        <f t="shared" ca="1" si="27"/>
        <v>NA</v>
      </c>
      <c r="BP65" s="5"/>
      <c r="BQ65" s="5"/>
      <c r="BR65" s="5"/>
      <c r="BS65" s="12" t="str">
        <f t="shared" ca="1" si="28"/>
        <v>NA</v>
      </c>
      <c r="BT65" s="12" t="str">
        <f t="shared" ca="1" si="29"/>
        <v>NA</v>
      </c>
      <c r="BU65" s="12" t="str">
        <f t="shared" ca="1" si="30"/>
        <v>NA</v>
      </c>
      <c r="BV65" s="5"/>
      <c r="BW65" s="5"/>
      <c r="BX65" s="12" t="str">
        <f t="shared" ca="1" si="31"/>
        <v>NA</v>
      </c>
      <c r="BY65" s="12" t="str">
        <f t="shared" ca="1" si="32"/>
        <v>NA</v>
      </c>
      <c r="BZ65" s="12" t="str">
        <f t="shared" ca="1" si="33"/>
        <v>NA</v>
      </c>
      <c r="CA65" s="5"/>
    </row>
    <row r="66" spans="1:79" ht="12.75" customHeight="1" x14ac:dyDescent="0.15">
      <c r="A66" s="4">
        <v>1115</v>
      </c>
      <c r="B66" s="5" t="s">
        <v>79</v>
      </c>
      <c r="C66" s="5" t="s">
        <v>79</v>
      </c>
      <c r="D66" s="6" t="s">
        <v>396</v>
      </c>
      <c r="E66" s="7">
        <v>111009</v>
      </c>
      <c r="F66" s="6" t="s">
        <v>397</v>
      </c>
      <c r="G66" s="8"/>
      <c r="H66" s="8"/>
      <c r="I66" s="8"/>
      <c r="J66" s="8"/>
      <c r="K66" s="8"/>
      <c r="L66" s="8" t="s">
        <v>82</v>
      </c>
      <c r="M66" s="7">
        <v>1064</v>
      </c>
      <c r="N66" s="7">
        <v>1088</v>
      </c>
      <c r="O66" s="13">
        <v>35069</v>
      </c>
      <c r="P66" s="10">
        <f t="shared" ca="1" si="0"/>
        <v>17.586111111111112</v>
      </c>
      <c r="Q66" s="5">
        <f t="shared" ca="1" si="1"/>
        <v>211</v>
      </c>
      <c r="R66" s="5">
        <f t="shared" ca="1" si="2"/>
        <v>6423</v>
      </c>
      <c r="S66" s="7">
        <f t="shared" ca="1" si="3"/>
        <v>1996</v>
      </c>
      <c r="T66" s="7">
        <f t="shared" ca="1" si="4"/>
        <v>1</v>
      </c>
      <c r="U66" s="7">
        <f t="shared" ca="1" si="5"/>
        <v>5</v>
      </c>
      <c r="V66" s="6" t="s">
        <v>398</v>
      </c>
      <c r="W66" s="14" t="s">
        <v>96</v>
      </c>
      <c r="X66" s="15"/>
      <c r="Y66" s="5">
        <f t="shared" ca="1" si="6"/>
        <v>3</v>
      </c>
      <c r="Z66" s="6"/>
      <c r="AA66" s="12" t="str">
        <f t="shared" ca="1" si="7"/>
        <v>NA</v>
      </c>
      <c r="AB66" s="12" t="str">
        <f t="shared" ca="1" si="8"/>
        <v>NA</v>
      </c>
      <c r="AC66" s="12" t="str">
        <f t="shared" ca="1" si="9"/>
        <v>NA</v>
      </c>
      <c r="AD66" s="6"/>
      <c r="AE66" s="5"/>
      <c r="AF66" s="6"/>
      <c r="AG66" s="11">
        <v>41492</v>
      </c>
      <c r="AH66" s="12">
        <f t="shared" ca="1" si="10"/>
        <v>2013</v>
      </c>
      <c r="AI66" s="12">
        <f t="shared" ca="1" si="11"/>
        <v>8</v>
      </c>
      <c r="AJ66" s="12">
        <f t="shared" ca="1" si="12"/>
        <v>6</v>
      </c>
      <c r="AK66" s="8" t="s">
        <v>399</v>
      </c>
      <c r="AL66" s="8"/>
      <c r="AM66" s="5"/>
      <c r="AN66" s="5"/>
      <c r="AO66" s="11">
        <v>35908</v>
      </c>
      <c r="AP66" s="12">
        <f t="shared" ca="1" si="13"/>
        <v>1998</v>
      </c>
      <c r="AQ66" s="12">
        <f t="shared" ca="1" si="14"/>
        <v>4</v>
      </c>
      <c r="AR66" s="12">
        <f t="shared" ca="1" si="15"/>
        <v>23</v>
      </c>
      <c r="AS66" s="8" t="s">
        <v>400</v>
      </c>
      <c r="AT66" s="8"/>
      <c r="AU66" s="11">
        <v>39738</v>
      </c>
      <c r="AV66" s="12">
        <f t="shared" ca="1" si="16"/>
        <v>2008</v>
      </c>
      <c r="AW66" s="12">
        <f t="shared" ca="1" si="17"/>
        <v>10</v>
      </c>
      <c r="AX66" s="12">
        <f t="shared" ca="1" si="18"/>
        <v>17</v>
      </c>
      <c r="AY66" s="8" t="s">
        <v>401</v>
      </c>
      <c r="AZ66" s="8"/>
      <c r="BA66" s="11">
        <v>40823</v>
      </c>
      <c r="BB66" s="12">
        <f t="shared" ca="1" si="19"/>
        <v>2011</v>
      </c>
      <c r="BC66" s="12">
        <f t="shared" ca="1" si="20"/>
        <v>10</v>
      </c>
      <c r="BD66" s="12">
        <f t="shared" ca="1" si="21"/>
        <v>7</v>
      </c>
      <c r="BE66" s="8" t="s">
        <v>402</v>
      </c>
      <c r="BF66" s="8"/>
      <c r="BG66" s="5"/>
      <c r="BH66" s="12" t="str">
        <f t="shared" ca="1" si="22"/>
        <v>NA</v>
      </c>
      <c r="BI66" s="12" t="str">
        <f t="shared" ca="1" si="23"/>
        <v>NA</v>
      </c>
      <c r="BJ66" s="12" t="str">
        <f t="shared" ca="1" si="24"/>
        <v>NA</v>
      </c>
      <c r="BK66" s="5"/>
      <c r="BL66" s="5"/>
      <c r="BM66" s="12" t="str">
        <f t="shared" ca="1" si="25"/>
        <v>NA</v>
      </c>
      <c r="BN66" s="12" t="str">
        <f t="shared" ca="1" si="26"/>
        <v>NA</v>
      </c>
      <c r="BO66" s="12" t="str">
        <f t="shared" ca="1" si="27"/>
        <v>NA</v>
      </c>
      <c r="BP66" s="5"/>
      <c r="BQ66" s="5"/>
      <c r="BR66" s="5"/>
      <c r="BS66" s="12" t="str">
        <f t="shared" ca="1" si="28"/>
        <v>NA</v>
      </c>
      <c r="BT66" s="12" t="str">
        <f t="shared" ca="1" si="29"/>
        <v>NA</v>
      </c>
      <c r="BU66" s="12" t="str">
        <f t="shared" ca="1" si="30"/>
        <v>NA</v>
      </c>
      <c r="BV66" s="5"/>
      <c r="BW66" s="5"/>
      <c r="BX66" s="12" t="str">
        <f t="shared" ca="1" si="31"/>
        <v>NA</v>
      </c>
      <c r="BY66" s="12" t="str">
        <f t="shared" ca="1" si="32"/>
        <v>NA</v>
      </c>
      <c r="BZ66" s="12" t="str">
        <f t="shared" ca="1" si="33"/>
        <v>NA</v>
      </c>
      <c r="CA66" s="5"/>
    </row>
    <row r="67" spans="1:79" ht="12.75" customHeight="1" x14ac:dyDescent="0.15">
      <c r="A67" s="4">
        <v>1116</v>
      </c>
      <c r="B67" s="5" t="s">
        <v>79</v>
      </c>
      <c r="C67" s="5" t="s">
        <v>79</v>
      </c>
      <c r="D67" s="6" t="s">
        <v>403</v>
      </c>
      <c r="E67" s="7">
        <v>980287</v>
      </c>
      <c r="F67" s="6" t="s">
        <v>404</v>
      </c>
      <c r="G67" s="8"/>
      <c r="H67" s="8"/>
      <c r="I67" s="8"/>
      <c r="J67" s="8"/>
      <c r="K67" s="8"/>
      <c r="L67" s="8" t="s">
        <v>82</v>
      </c>
      <c r="M67" s="7">
        <v>1064</v>
      </c>
      <c r="N67" s="7">
        <v>1088</v>
      </c>
      <c r="O67" s="13">
        <v>35069</v>
      </c>
      <c r="P67" s="10">
        <f t="shared" ca="1" si="0"/>
        <v>13.069444444444445</v>
      </c>
      <c r="Q67" s="5">
        <f t="shared" ca="1" si="1"/>
        <v>156</v>
      </c>
      <c r="R67" s="5">
        <f t="shared" ca="1" si="2"/>
        <v>4774</v>
      </c>
      <c r="S67" s="7">
        <f t="shared" ca="1" si="3"/>
        <v>1996</v>
      </c>
      <c r="T67" s="7">
        <f t="shared" ca="1" si="4"/>
        <v>1</v>
      </c>
      <c r="U67" s="7">
        <f t="shared" ca="1" si="5"/>
        <v>5</v>
      </c>
      <c r="V67" s="6" t="s">
        <v>405</v>
      </c>
      <c r="W67" s="14" t="s">
        <v>96</v>
      </c>
      <c r="X67" s="15"/>
      <c r="Y67" s="5">
        <f t="shared" ca="1" si="6"/>
        <v>1</v>
      </c>
      <c r="Z67" s="6"/>
      <c r="AA67" s="12" t="str">
        <f t="shared" ca="1" si="7"/>
        <v>NA</v>
      </c>
      <c r="AB67" s="12" t="str">
        <f t="shared" ca="1" si="8"/>
        <v>NA</v>
      </c>
      <c r="AC67" s="12" t="str">
        <f t="shared" ca="1" si="9"/>
        <v>NA</v>
      </c>
      <c r="AD67" s="6"/>
      <c r="AE67" s="5"/>
      <c r="AF67" s="6"/>
      <c r="AG67" s="11">
        <v>39843</v>
      </c>
      <c r="AH67" s="12">
        <f t="shared" ca="1" si="10"/>
        <v>2009</v>
      </c>
      <c r="AI67" s="12">
        <f t="shared" ca="1" si="11"/>
        <v>1</v>
      </c>
      <c r="AJ67" s="12">
        <f t="shared" ca="1" si="12"/>
        <v>30</v>
      </c>
      <c r="AK67" s="8" t="s">
        <v>406</v>
      </c>
      <c r="AL67" s="8"/>
      <c r="AM67" s="5"/>
      <c r="AN67" s="5"/>
      <c r="AO67" s="11">
        <v>36069</v>
      </c>
      <c r="AP67" s="12">
        <f t="shared" ca="1" si="13"/>
        <v>1998</v>
      </c>
      <c r="AQ67" s="12">
        <f t="shared" ca="1" si="14"/>
        <v>10</v>
      </c>
      <c r="AR67" s="12">
        <f t="shared" ca="1" si="15"/>
        <v>1</v>
      </c>
      <c r="AS67" s="8" t="s">
        <v>407</v>
      </c>
      <c r="AT67" s="8"/>
      <c r="AU67" s="5"/>
      <c r="AV67" s="12" t="str">
        <f t="shared" ca="1" si="16"/>
        <v>NA</v>
      </c>
      <c r="AW67" s="12" t="str">
        <f t="shared" ca="1" si="17"/>
        <v>NA</v>
      </c>
      <c r="AX67" s="12" t="str">
        <f t="shared" ca="1" si="18"/>
        <v>NA</v>
      </c>
      <c r="AY67" s="5"/>
      <c r="AZ67" s="5"/>
      <c r="BA67" s="6"/>
      <c r="BB67" s="12" t="str">
        <f t="shared" ca="1" si="19"/>
        <v>NA</v>
      </c>
      <c r="BC67" s="12" t="str">
        <f t="shared" ca="1" si="20"/>
        <v>NA</v>
      </c>
      <c r="BD67" s="12" t="str">
        <f t="shared" ca="1" si="21"/>
        <v>NA</v>
      </c>
      <c r="BE67" s="5"/>
      <c r="BF67" s="5"/>
      <c r="BG67" s="5"/>
      <c r="BH67" s="12" t="str">
        <f t="shared" ca="1" si="22"/>
        <v>NA</v>
      </c>
      <c r="BI67" s="12" t="str">
        <f t="shared" ca="1" si="23"/>
        <v>NA</v>
      </c>
      <c r="BJ67" s="12" t="str">
        <f t="shared" ca="1" si="24"/>
        <v>NA</v>
      </c>
      <c r="BK67" s="5"/>
      <c r="BL67" s="5"/>
      <c r="BM67" s="12" t="str">
        <f t="shared" ca="1" si="25"/>
        <v>NA</v>
      </c>
      <c r="BN67" s="12" t="str">
        <f t="shared" ca="1" si="26"/>
        <v>NA</v>
      </c>
      <c r="BO67" s="12" t="str">
        <f t="shared" ca="1" si="27"/>
        <v>NA</v>
      </c>
      <c r="BP67" s="5"/>
      <c r="BQ67" s="5"/>
      <c r="BR67" s="5"/>
      <c r="BS67" s="12" t="str">
        <f t="shared" ca="1" si="28"/>
        <v>NA</v>
      </c>
      <c r="BT67" s="12" t="str">
        <f t="shared" ca="1" si="29"/>
        <v>NA</v>
      </c>
      <c r="BU67" s="12" t="str">
        <f t="shared" ca="1" si="30"/>
        <v>NA</v>
      </c>
      <c r="BV67" s="5"/>
      <c r="BW67" s="5"/>
      <c r="BX67" s="12" t="str">
        <f t="shared" ca="1" si="31"/>
        <v>NA</v>
      </c>
      <c r="BY67" s="12" t="str">
        <f t="shared" ca="1" si="32"/>
        <v>NA</v>
      </c>
      <c r="BZ67" s="12" t="str">
        <f t="shared" ca="1" si="33"/>
        <v>NA</v>
      </c>
      <c r="CA67" s="5"/>
    </row>
    <row r="68" spans="1:79" ht="12.75" customHeight="1" x14ac:dyDescent="0.15">
      <c r="A68" s="4">
        <v>1117</v>
      </c>
      <c r="B68" s="5" t="s">
        <v>79</v>
      </c>
      <c r="C68" s="5" t="s">
        <v>79</v>
      </c>
      <c r="D68" s="6" t="s">
        <v>408</v>
      </c>
      <c r="E68" s="7">
        <v>960040</v>
      </c>
      <c r="F68" s="6" t="s">
        <v>409</v>
      </c>
      <c r="G68" s="8"/>
      <c r="H68" s="8"/>
      <c r="I68" s="8"/>
      <c r="J68" s="8"/>
      <c r="K68" s="8"/>
      <c r="L68" s="8" t="s">
        <v>82</v>
      </c>
      <c r="M68" s="7">
        <v>1051</v>
      </c>
      <c r="N68" s="7">
        <v>1054</v>
      </c>
      <c r="O68" s="13">
        <v>35097</v>
      </c>
      <c r="P68" s="10">
        <f t="shared" ca="1" si="0"/>
        <v>0</v>
      </c>
      <c r="Q68" s="5">
        <f t="shared" ca="1" si="1"/>
        <v>0</v>
      </c>
      <c r="R68" s="5">
        <f t="shared" ca="1" si="2"/>
        <v>0</v>
      </c>
      <c r="S68" s="7">
        <f t="shared" ca="1" si="3"/>
        <v>1996</v>
      </c>
      <c r="T68" s="7">
        <f t="shared" ca="1" si="4"/>
        <v>2</v>
      </c>
      <c r="U68" s="7">
        <f t="shared" ca="1" si="5"/>
        <v>2</v>
      </c>
      <c r="V68" s="6" t="s">
        <v>410</v>
      </c>
      <c r="W68" s="14" t="s">
        <v>96</v>
      </c>
      <c r="X68" s="15"/>
      <c r="Y68" s="5">
        <f t="shared" ca="1" si="6"/>
        <v>0</v>
      </c>
      <c r="Z68" s="6"/>
      <c r="AA68" s="12" t="str">
        <f t="shared" ca="1" si="7"/>
        <v>NA</v>
      </c>
      <c r="AB68" s="12" t="str">
        <f t="shared" ca="1" si="8"/>
        <v>NA</v>
      </c>
      <c r="AC68" s="12" t="str">
        <f t="shared" ca="1" si="9"/>
        <v>NA</v>
      </c>
      <c r="AD68" s="6"/>
      <c r="AE68" s="5"/>
      <c r="AF68" s="6"/>
      <c r="AG68" s="11">
        <v>35097</v>
      </c>
      <c r="AH68" s="12">
        <f t="shared" ca="1" si="10"/>
        <v>1996</v>
      </c>
      <c r="AI68" s="12">
        <f t="shared" ca="1" si="11"/>
        <v>2</v>
      </c>
      <c r="AJ68" s="12">
        <f t="shared" ca="1" si="12"/>
        <v>2</v>
      </c>
      <c r="AK68" s="8" t="s">
        <v>411</v>
      </c>
      <c r="AL68" s="8"/>
      <c r="AM68" s="5"/>
      <c r="AN68" s="5"/>
      <c r="AO68" s="5"/>
      <c r="AP68" s="12" t="str">
        <f t="shared" ca="1" si="13"/>
        <v>NA</v>
      </c>
      <c r="AQ68" s="12" t="str">
        <f t="shared" ca="1" si="14"/>
        <v>NA</v>
      </c>
      <c r="AR68" s="12" t="str">
        <f t="shared" ca="1" si="15"/>
        <v>NA</v>
      </c>
      <c r="AS68" s="5"/>
      <c r="AT68" s="5"/>
      <c r="AU68" s="5"/>
      <c r="AV68" s="12" t="str">
        <f t="shared" ca="1" si="16"/>
        <v>NA</v>
      </c>
      <c r="AW68" s="12" t="str">
        <f t="shared" ca="1" si="17"/>
        <v>NA</v>
      </c>
      <c r="AX68" s="12" t="str">
        <f t="shared" ca="1" si="18"/>
        <v>NA</v>
      </c>
      <c r="AY68" s="5"/>
      <c r="AZ68" s="5"/>
      <c r="BA68" s="6"/>
      <c r="BB68" s="12" t="str">
        <f t="shared" ca="1" si="19"/>
        <v>NA</v>
      </c>
      <c r="BC68" s="12" t="str">
        <f t="shared" ca="1" si="20"/>
        <v>NA</v>
      </c>
      <c r="BD68" s="12" t="str">
        <f t="shared" ca="1" si="21"/>
        <v>NA</v>
      </c>
      <c r="BE68" s="5"/>
      <c r="BF68" s="5"/>
      <c r="BG68" s="5"/>
      <c r="BH68" s="12" t="str">
        <f t="shared" ca="1" si="22"/>
        <v>NA</v>
      </c>
      <c r="BI68" s="12" t="str">
        <f t="shared" ca="1" si="23"/>
        <v>NA</v>
      </c>
      <c r="BJ68" s="12" t="str">
        <f t="shared" ca="1" si="24"/>
        <v>NA</v>
      </c>
      <c r="BK68" s="5"/>
      <c r="BL68" s="5"/>
      <c r="BM68" s="12" t="str">
        <f t="shared" ca="1" si="25"/>
        <v>NA</v>
      </c>
      <c r="BN68" s="12" t="str">
        <f t="shared" ca="1" si="26"/>
        <v>NA</v>
      </c>
      <c r="BO68" s="12" t="str">
        <f t="shared" ca="1" si="27"/>
        <v>NA</v>
      </c>
      <c r="BP68" s="5"/>
      <c r="BQ68" s="5"/>
      <c r="BR68" s="5"/>
      <c r="BS68" s="12" t="str">
        <f t="shared" ca="1" si="28"/>
        <v>NA</v>
      </c>
      <c r="BT68" s="12" t="str">
        <f t="shared" ca="1" si="29"/>
        <v>NA</v>
      </c>
      <c r="BU68" s="12" t="str">
        <f t="shared" ca="1" si="30"/>
        <v>NA</v>
      </c>
      <c r="BV68" s="5"/>
      <c r="BW68" s="5"/>
      <c r="BX68" s="12" t="str">
        <f t="shared" ca="1" si="31"/>
        <v>NA</v>
      </c>
      <c r="BY68" s="12" t="str">
        <f t="shared" ca="1" si="32"/>
        <v>NA</v>
      </c>
      <c r="BZ68" s="12" t="str">
        <f t="shared" ca="1" si="33"/>
        <v>NA</v>
      </c>
      <c r="CA68" s="5"/>
    </row>
    <row r="69" spans="1:79" ht="12.75" customHeight="1" x14ac:dyDescent="0.15">
      <c r="A69" s="4">
        <v>1118</v>
      </c>
      <c r="B69" s="5" t="s">
        <v>79</v>
      </c>
      <c r="C69" s="5" t="s">
        <v>79</v>
      </c>
      <c r="D69" s="6" t="s">
        <v>412</v>
      </c>
      <c r="E69" s="7">
        <v>960041</v>
      </c>
      <c r="F69" s="6" t="s">
        <v>413</v>
      </c>
      <c r="G69" s="8"/>
      <c r="H69" s="8"/>
      <c r="I69" s="8"/>
      <c r="J69" s="8"/>
      <c r="K69" s="8"/>
      <c r="L69" s="8" t="s">
        <v>82</v>
      </c>
      <c r="M69" s="7">
        <v>1051</v>
      </c>
      <c r="N69" s="7">
        <v>1054</v>
      </c>
      <c r="O69" s="13">
        <v>35097</v>
      </c>
      <c r="P69" s="10">
        <f t="shared" ca="1" si="0"/>
        <v>0</v>
      </c>
      <c r="Q69" s="5">
        <f t="shared" ca="1" si="1"/>
        <v>0</v>
      </c>
      <c r="R69" s="5">
        <f t="shared" ca="1" si="2"/>
        <v>0</v>
      </c>
      <c r="S69" s="7">
        <f t="shared" ca="1" si="3"/>
        <v>1996</v>
      </c>
      <c r="T69" s="7">
        <f t="shared" ca="1" si="4"/>
        <v>2</v>
      </c>
      <c r="U69" s="7">
        <f t="shared" ca="1" si="5"/>
        <v>2</v>
      </c>
      <c r="V69" s="6" t="s">
        <v>414</v>
      </c>
      <c r="W69" s="14" t="s">
        <v>96</v>
      </c>
      <c r="X69" s="15"/>
      <c r="Y69" s="5">
        <f t="shared" ca="1" si="6"/>
        <v>0</v>
      </c>
      <c r="Z69" s="6"/>
      <c r="AA69" s="12" t="str">
        <f t="shared" ca="1" si="7"/>
        <v>NA</v>
      </c>
      <c r="AB69" s="12" t="str">
        <f t="shared" ca="1" si="8"/>
        <v>NA</v>
      </c>
      <c r="AC69" s="12" t="str">
        <f t="shared" ca="1" si="9"/>
        <v>NA</v>
      </c>
      <c r="AD69" s="6"/>
      <c r="AE69" s="5"/>
      <c r="AF69" s="6"/>
      <c r="AG69" s="11">
        <v>35097</v>
      </c>
      <c r="AH69" s="12">
        <f t="shared" ca="1" si="10"/>
        <v>1996</v>
      </c>
      <c r="AI69" s="12">
        <f t="shared" ca="1" si="11"/>
        <v>2</v>
      </c>
      <c r="AJ69" s="12">
        <f t="shared" ca="1" si="12"/>
        <v>2</v>
      </c>
      <c r="AK69" s="8" t="s">
        <v>415</v>
      </c>
      <c r="AL69" s="8"/>
      <c r="AM69" s="5"/>
      <c r="AN69" s="5"/>
      <c r="AO69" s="5"/>
      <c r="AP69" s="12" t="str">
        <f t="shared" ca="1" si="13"/>
        <v>NA</v>
      </c>
      <c r="AQ69" s="12" t="str">
        <f t="shared" ca="1" si="14"/>
        <v>NA</v>
      </c>
      <c r="AR69" s="12" t="str">
        <f t="shared" ca="1" si="15"/>
        <v>NA</v>
      </c>
      <c r="AS69" s="5"/>
      <c r="AT69" s="5"/>
      <c r="AU69" s="5"/>
      <c r="AV69" s="12" t="str">
        <f t="shared" ca="1" si="16"/>
        <v>NA</v>
      </c>
      <c r="AW69" s="12" t="str">
        <f t="shared" ca="1" si="17"/>
        <v>NA</v>
      </c>
      <c r="AX69" s="12" t="str">
        <f t="shared" ca="1" si="18"/>
        <v>NA</v>
      </c>
      <c r="AY69" s="5"/>
      <c r="AZ69" s="5"/>
      <c r="BA69" s="6"/>
      <c r="BB69" s="12" t="str">
        <f t="shared" ca="1" si="19"/>
        <v>NA</v>
      </c>
      <c r="BC69" s="12" t="str">
        <f t="shared" ca="1" si="20"/>
        <v>NA</v>
      </c>
      <c r="BD69" s="12" t="str">
        <f t="shared" ca="1" si="21"/>
        <v>NA</v>
      </c>
      <c r="BE69" s="5"/>
      <c r="BF69" s="5"/>
      <c r="BG69" s="5"/>
      <c r="BH69" s="12" t="str">
        <f t="shared" ca="1" si="22"/>
        <v>NA</v>
      </c>
      <c r="BI69" s="12" t="str">
        <f t="shared" ca="1" si="23"/>
        <v>NA</v>
      </c>
      <c r="BJ69" s="12" t="str">
        <f t="shared" ca="1" si="24"/>
        <v>NA</v>
      </c>
      <c r="BK69" s="5"/>
      <c r="BL69" s="5"/>
      <c r="BM69" s="12" t="str">
        <f t="shared" ca="1" si="25"/>
        <v>NA</v>
      </c>
      <c r="BN69" s="12" t="str">
        <f t="shared" ca="1" si="26"/>
        <v>NA</v>
      </c>
      <c r="BO69" s="12" t="str">
        <f t="shared" ca="1" si="27"/>
        <v>NA</v>
      </c>
      <c r="BP69" s="5"/>
      <c r="BQ69" s="5"/>
      <c r="BR69" s="5"/>
      <c r="BS69" s="12" t="str">
        <f t="shared" ca="1" si="28"/>
        <v>NA</v>
      </c>
      <c r="BT69" s="12" t="str">
        <f t="shared" ca="1" si="29"/>
        <v>NA</v>
      </c>
      <c r="BU69" s="12" t="str">
        <f t="shared" ca="1" si="30"/>
        <v>NA</v>
      </c>
      <c r="BV69" s="5"/>
      <c r="BW69" s="5"/>
      <c r="BX69" s="12" t="str">
        <f t="shared" ca="1" si="31"/>
        <v>NA</v>
      </c>
      <c r="BY69" s="12" t="str">
        <f t="shared" ca="1" si="32"/>
        <v>NA</v>
      </c>
      <c r="BZ69" s="12" t="str">
        <f t="shared" ca="1" si="33"/>
        <v>NA</v>
      </c>
      <c r="CA69" s="5"/>
    </row>
    <row r="70" spans="1:79" ht="12.75" customHeight="1" x14ac:dyDescent="0.15">
      <c r="A70" s="4">
        <v>1119</v>
      </c>
      <c r="B70" s="5" t="s">
        <v>79</v>
      </c>
      <c r="C70" s="5" t="s">
        <v>79</v>
      </c>
      <c r="D70" s="6" t="s">
        <v>416</v>
      </c>
      <c r="E70" s="7">
        <v>596028</v>
      </c>
      <c r="F70" s="6" t="s">
        <v>417</v>
      </c>
      <c r="G70" s="8"/>
      <c r="H70" s="8"/>
      <c r="I70" s="8"/>
      <c r="J70" s="8"/>
      <c r="K70" s="8"/>
      <c r="L70" s="8" t="s">
        <v>82</v>
      </c>
      <c r="M70" s="7">
        <v>1059</v>
      </c>
      <c r="N70" s="7">
        <v>1058</v>
      </c>
      <c r="O70" s="13">
        <v>35102</v>
      </c>
      <c r="P70" s="10">
        <f t="shared" ca="1" si="0"/>
        <v>2.7777777777777779E-3</v>
      </c>
      <c r="Q70" s="5">
        <f t="shared" ca="1" si="1"/>
        <v>0</v>
      </c>
      <c r="R70" s="5">
        <f t="shared" ca="1" si="2"/>
        <v>1</v>
      </c>
      <c r="S70" s="7">
        <f t="shared" ca="1" si="3"/>
        <v>1996</v>
      </c>
      <c r="T70" s="7">
        <f t="shared" ca="1" si="4"/>
        <v>2</v>
      </c>
      <c r="U70" s="7">
        <f t="shared" ca="1" si="5"/>
        <v>7</v>
      </c>
      <c r="V70" s="6" t="s">
        <v>418</v>
      </c>
      <c r="W70" s="14" t="s">
        <v>96</v>
      </c>
      <c r="X70" s="15"/>
      <c r="Y70" s="5">
        <f t="shared" ca="1" si="6"/>
        <v>0</v>
      </c>
      <c r="Z70" s="6"/>
      <c r="AA70" s="12" t="str">
        <f t="shared" ca="1" si="7"/>
        <v>NA</v>
      </c>
      <c r="AB70" s="12" t="str">
        <f t="shared" ca="1" si="8"/>
        <v>NA</v>
      </c>
      <c r="AC70" s="12" t="str">
        <f t="shared" ca="1" si="9"/>
        <v>NA</v>
      </c>
      <c r="AD70" s="6"/>
      <c r="AE70" s="5"/>
      <c r="AF70" s="6"/>
      <c r="AG70" s="11">
        <v>35103</v>
      </c>
      <c r="AH70" s="12">
        <f t="shared" ca="1" si="10"/>
        <v>1996</v>
      </c>
      <c r="AI70" s="12">
        <f t="shared" ca="1" si="11"/>
        <v>2</v>
      </c>
      <c r="AJ70" s="12">
        <f t="shared" ca="1" si="12"/>
        <v>8</v>
      </c>
      <c r="AK70" s="8" t="s">
        <v>419</v>
      </c>
      <c r="AL70" s="8"/>
      <c r="AM70" s="5"/>
      <c r="AN70" s="5"/>
      <c r="AO70" s="5"/>
      <c r="AP70" s="12" t="str">
        <f t="shared" ca="1" si="13"/>
        <v>NA</v>
      </c>
      <c r="AQ70" s="12" t="str">
        <f t="shared" ca="1" si="14"/>
        <v>NA</v>
      </c>
      <c r="AR70" s="12" t="str">
        <f t="shared" ca="1" si="15"/>
        <v>NA</v>
      </c>
      <c r="AS70" s="5"/>
      <c r="AT70" s="5"/>
      <c r="AU70" s="5"/>
      <c r="AV70" s="12" t="str">
        <f t="shared" ca="1" si="16"/>
        <v>NA</v>
      </c>
      <c r="AW70" s="12" t="str">
        <f t="shared" ca="1" si="17"/>
        <v>NA</v>
      </c>
      <c r="AX70" s="12" t="str">
        <f t="shared" ca="1" si="18"/>
        <v>NA</v>
      </c>
      <c r="AY70" s="5"/>
      <c r="AZ70" s="5"/>
      <c r="BA70" s="6"/>
      <c r="BB70" s="12" t="str">
        <f t="shared" ca="1" si="19"/>
        <v>NA</v>
      </c>
      <c r="BC70" s="12" t="str">
        <f t="shared" ca="1" si="20"/>
        <v>NA</v>
      </c>
      <c r="BD70" s="12" t="str">
        <f t="shared" ca="1" si="21"/>
        <v>NA</v>
      </c>
      <c r="BE70" s="5"/>
      <c r="BF70" s="5"/>
      <c r="BG70" s="5"/>
      <c r="BH70" s="12" t="str">
        <f t="shared" ca="1" si="22"/>
        <v>NA</v>
      </c>
      <c r="BI70" s="12" t="str">
        <f t="shared" ca="1" si="23"/>
        <v>NA</v>
      </c>
      <c r="BJ70" s="12" t="str">
        <f t="shared" ca="1" si="24"/>
        <v>NA</v>
      </c>
      <c r="BK70" s="5"/>
      <c r="BL70" s="5"/>
      <c r="BM70" s="12" t="str">
        <f t="shared" ca="1" si="25"/>
        <v>NA</v>
      </c>
      <c r="BN70" s="12" t="str">
        <f t="shared" ca="1" si="26"/>
        <v>NA</v>
      </c>
      <c r="BO70" s="12" t="str">
        <f t="shared" ca="1" si="27"/>
        <v>NA</v>
      </c>
      <c r="BP70" s="5"/>
      <c r="BQ70" s="5"/>
      <c r="BR70" s="5"/>
      <c r="BS70" s="12" t="str">
        <f t="shared" ca="1" si="28"/>
        <v>NA</v>
      </c>
      <c r="BT70" s="12" t="str">
        <f t="shared" ca="1" si="29"/>
        <v>NA</v>
      </c>
      <c r="BU70" s="12" t="str">
        <f t="shared" ca="1" si="30"/>
        <v>NA</v>
      </c>
      <c r="BV70" s="5"/>
      <c r="BW70" s="5"/>
      <c r="BX70" s="12" t="str">
        <f t="shared" ca="1" si="31"/>
        <v>NA</v>
      </c>
      <c r="BY70" s="12" t="str">
        <f t="shared" ca="1" si="32"/>
        <v>NA</v>
      </c>
      <c r="BZ70" s="12" t="str">
        <f t="shared" ca="1" si="33"/>
        <v>NA</v>
      </c>
      <c r="CA70" s="5"/>
    </row>
    <row r="71" spans="1:79" ht="12.75" customHeight="1" x14ac:dyDescent="0.15">
      <c r="A71" s="4">
        <v>1120</v>
      </c>
      <c r="B71" s="5" t="s">
        <v>79</v>
      </c>
      <c r="C71" s="5" t="s">
        <v>79</v>
      </c>
      <c r="D71" s="6" t="s">
        <v>420</v>
      </c>
      <c r="E71" s="7">
        <v>108</v>
      </c>
      <c r="F71" s="6" t="s">
        <v>421</v>
      </c>
      <c r="G71" s="8"/>
      <c r="H71" s="8"/>
      <c r="I71" s="8"/>
      <c r="J71" s="8"/>
      <c r="K71" s="8"/>
      <c r="L71" s="8" t="s">
        <v>82</v>
      </c>
      <c r="M71" s="7">
        <v>1059</v>
      </c>
      <c r="N71" s="7">
        <v>1058</v>
      </c>
      <c r="O71" s="13">
        <v>35102</v>
      </c>
      <c r="P71" s="10">
        <f t="shared" ca="1" si="0"/>
        <v>19.288888888888888</v>
      </c>
      <c r="Q71" s="5">
        <f t="shared" ca="1" si="1"/>
        <v>231</v>
      </c>
      <c r="R71" s="5">
        <f t="shared" ca="1" si="2"/>
        <v>7043</v>
      </c>
      <c r="S71" s="7">
        <f t="shared" ca="1" si="3"/>
        <v>1996</v>
      </c>
      <c r="T71" s="7">
        <f t="shared" ca="1" si="4"/>
        <v>2</v>
      </c>
      <c r="U71" s="7">
        <f t="shared" ca="1" si="5"/>
        <v>7</v>
      </c>
      <c r="V71" s="6" t="s">
        <v>422</v>
      </c>
      <c r="W71" s="14" t="s">
        <v>96</v>
      </c>
      <c r="X71" s="15"/>
      <c r="Y71" s="5">
        <f t="shared" ca="1" si="6"/>
        <v>1</v>
      </c>
      <c r="Z71" s="6"/>
      <c r="AA71" s="12" t="str">
        <f t="shared" ca="1" si="7"/>
        <v>NA</v>
      </c>
      <c r="AB71" s="12" t="str">
        <f t="shared" ca="1" si="8"/>
        <v>NA</v>
      </c>
      <c r="AC71" s="12" t="str">
        <f t="shared" ca="1" si="9"/>
        <v>NA</v>
      </c>
      <c r="AD71" s="6"/>
      <c r="AE71" s="5"/>
      <c r="AF71" s="6"/>
      <c r="AG71" s="11">
        <v>42145</v>
      </c>
      <c r="AH71" s="12">
        <f t="shared" ca="1" si="10"/>
        <v>2015</v>
      </c>
      <c r="AI71" s="12">
        <f t="shared" ca="1" si="11"/>
        <v>5</v>
      </c>
      <c r="AJ71" s="12">
        <f t="shared" ca="1" si="12"/>
        <v>21</v>
      </c>
      <c r="AK71" s="8" t="s">
        <v>423</v>
      </c>
      <c r="AL71" s="8"/>
      <c r="AM71" s="5"/>
      <c r="AN71" s="5"/>
      <c r="AO71" s="11">
        <v>37435</v>
      </c>
      <c r="AP71" s="12">
        <f t="shared" ca="1" si="13"/>
        <v>2002</v>
      </c>
      <c r="AQ71" s="12">
        <f t="shared" ca="1" si="14"/>
        <v>6</v>
      </c>
      <c r="AR71" s="12">
        <f t="shared" ca="1" si="15"/>
        <v>28</v>
      </c>
      <c r="AS71" s="8" t="s">
        <v>424</v>
      </c>
      <c r="AT71" s="8"/>
      <c r="AU71" s="5"/>
      <c r="AV71" s="12" t="str">
        <f t="shared" ca="1" si="16"/>
        <v>NA</v>
      </c>
      <c r="AW71" s="12" t="str">
        <f t="shared" ca="1" si="17"/>
        <v>NA</v>
      </c>
      <c r="AX71" s="12" t="str">
        <f t="shared" ca="1" si="18"/>
        <v>NA</v>
      </c>
      <c r="AY71" s="5"/>
      <c r="AZ71" s="5"/>
      <c r="BA71" s="6"/>
      <c r="BB71" s="12" t="str">
        <f t="shared" ca="1" si="19"/>
        <v>NA</v>
      </c>
      <c r="BC71" s="12" t="str">
        <f t="shared" ca="1" si="20"/>
        <v>NA</v>
      </c>
      <c r="BD71" s="12" t="str">
        <f t="shared" ca="1" si="21"/>
        <v>NA</v>
      </c>
      <c r="BE71" s="5"/>
      <c r="BF71" s="5"/>
      <c r="BG71" s="5"/>
      <c r="BH71" s="12" t="str">
        <f t="shared" ca="1" si="22"/>
        <v>NA</v>
      </c>
      <c r="BI71" s="12" t="str">
        <f t="shared" ca="1" si="23"/>
        <v>NA</v>
      </c>
      <c r="BJ71" s="12" t="str">
        <f t="shared" ca="1" si="24"/>
        <v>NA</v>
      </c>
      <c r="BK71" s="5"/>
      <c r="BL71" s="5"/>
      <c r="BM71" s="12" t="str">
        <f t="shared" ca="1" si="25"/>
        <v>NA</v>
      </c>
      <c r="BN71" s="12" t="str">
        <f t="shared" ca="1" si="26"/>
        <v>NA</v>
      </c>
      <c r="BO71" s="12" t="str">
        <f t="shared" ca="1" si="27"/>
        <v>NA</v>
      </c>
      <c r="BP71" s="5"/>
      <c r="BQ71" s="5"/>
      <c r="BR71" s="5"/>
      <c r="BS71" s="12" t="str">
        <f t="shared" ca="1" si="28"/>
        <v>NA</v>
      </c>
      <c r="BT71" s="12" t="str">
        <f t="shared" ca="1" si="29"/>
        <v>NA</v>
      </c>
      <c r="BU71" s="12" t="str">
        <f t="shared" ca="1" si="30"/>
        <v>NA</v>
      </c>
      <c r="BV71" s="5"/>
      <c r="BW71" s="5"/>
      <c r="BX71" s="12" t="str">
        <f t="shared" ca="1" si="31"/>
        <v>NA</v>
      </c>
      <c r="BY71" s="12" t="str">
        <f t="shared" ca="1" si="32"/>
        <v>NA</v>
      </c>
      <c r="BZ71" s="12" t="str">
        <f t="shared" ca="1" si="33"/>
        <v>NA</v>
      </c>
      <c r="CA71" s="5"/>
    </row>
    <row r="72" spans="1:79" ht="12.75" customHeight="1" x14ac:dyDescent="0.15">
      <c r="A72" s="4">
        <v>1121</v>
      </c>
      <c r="B72" s="5" t="s">
        <v>79</v>
      </c>
      <c r="C72" s="5" t="s">
        <v>79</v>
      </c>
      <c r="D72" s="6" t="s">
        <v>425</v>
      </c>
      <c r="E72" s="7">
        <v>3221</v>
      </c>
      <c r="F72" s="6" t="s">
        <v>426</v>
      </c>
      <c r="G72" s="8"/>
      <c r="H72" s="8"/>
      <c r="I72" s="8"/>
      <c r="J72" s="8"/>
      <c r="K72" s="8"/>
      <c r="L72" s="8" t="s">
        <v>82</v>
      </c>
      <c r="M72" s="7">
        <v>1057</v>
      </c>
      <c r="N72" s="7">
        <v>1060</v>
      </c>
      <c r="O72" s="13">
        <v>35115</v>
      </c>
      <c r="P72" s="10">
        <f t="shared" ca="1" si="0"/>
        <v>17.574999999999999</v>
      </c>
      <c r="Q72" s="5">
        <f t="shared" ca="1" si="1"/>
        <v>210</v>
      </c>
      <c r="R72" s="5">
        <f t="shared" ca="1" si="2"/>
        <v>6419</v>
      </c>
      <c r="S72" s="7">
        <f t="shared" ca="1" si="3"/>
        <v>1996</v>
      </c>
      <c r="T72" s="7">
        <f t="shared" ca="1" si="4"/>
        <v>2</v>
      </c>
      <c r="U72" s="7">
        <f t="shared" ca="1" si="5"/>
        <v>20</v>
      </c>
      <c r="V72" s="6" t="s">
        <v>427</v>
      </c>
      <c r="W72" s="14" t="s">
        <v>96</v>
      </c>
      <c r="X72" s="15"/>
      <c r="Y72" s="5">
        <f t="shared" ca="1" si="6"/>
        <v>4</v>
      </c>
      <c r="Z72" s="6"/>
      <c r="AA72" s="12" t="str">
        <f t="shared" ca="1" si="7"/>
        <v>NA</v>
      </c>
      <c r="AB72" s="12" t="str">
        <f t="shared" ca="1" si="8"/>
        <v>NA</v>
      </c>
      <c r="AC72" s="12" t="str">
        <f t="shared" ca="1" si="9"/>
        <v>NA</v>
      </c>
      <c r="AD72" s="6"/>
      <c r="AE72" s="5"/>
      <c r="AF72" s="6"/>
      <c r="AG72" s="11">
        <v>41534</v>
      </c>
      <c r="AH72" s="12">
        <f t="shared" ca="1" si="10"/>
        <v>2013</v>
      </c>
      <c r="AI72" s="12">
        <f t="shared" ca="1" si="11"/>
        <v>9</v>
      </c>
      <c r="AJ72" s="12">
        <f t="shared" ca="1" si="12"/>
        <v>17</v>
      </c>
      <c r="AK72" s="8" t="s">
        <v>428</v>
      </c>
      <c r="AL72" s="8"/>
      <c r="AM72" s="5"/>
      <c r="AN72" s="5"/>
      <c r="AO72" s="11">
        <v>37910</v>
      </c>
      <c r="AP72" s="12">
        <f t="shared" ca="1" si="13"/>
        <v>2003</v>
      </c>
      <c r="AQ72" s="12">
        <f t="shared" ca="1" si="14"/>
        <v>10</v>
      </c>
      <c r="AR72" s="12">
        <f t="shared" ca="1" si="15"/>
        <v>16</v>
      </c>
      <c r="AS72" s="8" t="s">
        <v>429</v>
      </c>
      <c r="AT72" s="8"/>
      <c r="AU72" s="11">
        <v>38267</v>
      </c>
      <c r="AV72" s="12">
        <f t="shared" ca="1" si="16"/>
        <v>2004</v>
      </c>
      <c r="AW72" s="12">
        <f t="shared" ca="1" si="17"/>
        <v>10</v>
      </c>
      <c r="AX72" s="12">
        <f t="shared" ca="1" si="18"/>
        <v>7</v>
      </c>
      <c r="AY72" s="8" t="s">
        <v>430</v>
      </c>
      <c r="AZ72" s="8"/>
      <c r="BA72" s="11">
        <v>39708</v>
      </c>
      <c r="BB72" s="12">
        <f t="shared" ca="1" si="19"/>
        <v>2008</v>
      </c>
      <c r="BC72" s="12">
        <f t="shared" ca="1" si="20"/>
        <v>9</v>
      </c>
      <c r="BD72" s="12">
        <f t="shared" ca="1" si="21"/>
        <v>17</v>
      </c>
      <c r="BE72" s="8" t="s">
        <v>431</v>
      </c>
      <c r="BF72" s="8"/>
      <c r="BG72" s="11">
        <v>39833</v>
      </c>
      <c r="BH72" s="12">
        <f t="shared" ca="1" si="22"/>
        <v>2009</v>
      </c>
      <c r="BI72" s="12">
        <f t="shared" ca="1" si="23"/>
        <v>1</v>
      </c>
      <c r="BJ72" s="12">
        <f t="shared" ca="1" si="24"/>
        <v>20</v>
      </c>
      <c r="BK72" s="8" t="s">
        <v>432</v>
      </c>
      <c r="BL72" s="5"/>
      <c r="BM72" s="12" t="str">
        <f t="shared" ca="1" si="25"/>
        <v>NA</v>
      </c>
      <c r="BN72" s="12" t="str">
        <f t="shared" ca="1" si="26"/>
        <v>NA</v>
      </c>
      <c r="BO72" s="12" t="str">
        <f t="shared" ca="1" si="27"/>
        <v>NA</v>
      </c>
      <c r="BP72" s="5"/>
      <c r="BQ72" s="5"/>
      <c r="BR72" s="5"/>
      <c r="BS72" s="12" t="str">
        <f t="shared" ca="1" si="28"/>
        <v>NA</v>
      </c>
      <c r="BT72" s="12" t="str">
        <f t="shared" ca="1" si="29"/>
        <v>NA</v>
      </c>
      <c r="BU72" s="12" t="str">
        <f t="shared" ca="1" si="30"/>
        <v>NA</v>
      </c>
      <c r="BV72" s="5"/>
      <c r="BW72" s="5"/>
      <c r="BX72" s="12" t="str">
        <f t="shared" ca="1" si="31"/>
        <v>NA</v>
      </c>
      <c r="BY72" s="12" t="str">
        <f t="shared" ca="1" si="32"/>
        <v>NA</v>
      </c>
      <c r="BZ72" s="12" t="str">
        <f t="shared" ca="1" si="33"/>
        <v>NA</v>
      </c>
      <c r="CA72" s="5"/>
    </row>
    <row r="73" spans="1:79" ht="12.75" customHeight="1" x14ac:dyDescent="0.15">
      <c r="A73" s="4">
        <v>1122</v>
      </c>
      <c r="B73" s="5" t="s">
        <v>79</v>
      </c>
      <c r="C73" s="5" t="s">
        <v>79</v>
      </c>
      <c r="D73" s="6" t="s">
        <v>433</v>
      </c>
      <c r="E73" s="7">
        <v>6165</v>
      </c>
      <c r="F73" s="6" t="s">
        <v>434</v>
      </c>
      <c r="G73" s="8"/>
      <c r="H73" s="8"/>
      <c r="I73" s="8"/>
      <c r="J73" s="8"/>
      <c r="K73" s="8"/>
      <c r="L73" s="8" t="s">
        <v>82</v>
      </c>
      <c r="M73" s="7">
        <v>1057</v>
      </c>
      <c r="N73" s="7">
        <v>1060</v>
      </c>
      <c r="O73" s="13">
        <v>35115</v>
      </c>
      <c r="P73" s="10">
        <f t="shared" ca="1" si="0"/>
        <v>17.802777777777777</v>
      </c>
      <c r="Q73" s="5">
        <f t="shared" ca="1" si="1"/>
        <v>213</v>
      </c>
      <c r="R73" s="5">
        <f t="shared" ca="1" si="2"/>
        <v>6502</v>
      </c>
      <c r="S73" s="7">
        <f t="shared" ca="1" si="3"/>
        <v>1996</v>
      </c>
      <c r="T73" s="7">
        <f t="shared" ca="1" si="4"/>
        <v>2</v>
      </c>
      <c r="U73" s="7">
        <f t="shared" ca="1" si="5"/>
        <v>20</v>
      </c>
      <c r="V73" s="6" t="s">
        <v>435</v>
      </c>
      <c r="W73" s="14" t="s">
        <v>96</v>
      </c>
      <c r="X73" s="15"/>
      <c r="Y73" s="5">
        <f t="shared" ca="1" si="6"/>
        <v>1</v>
      </c>
      <c r="Z73" s="6"/>
      <c r="AA73" s="12" t="str">
        <f t="shared" ca="1" si="7"/>
        <v>NA</v>
      </c>
      <c r="AB73" s="12" t="str">
        <f t="shared" ca="1" si="8"/>
        <v>NA</v>
      </c>
      <c r="AC73" s="12" t="str">
        <f t="shared" ca="1" si="9"/>
        <v>NA</v>
      </c>
      <c r="AD73" s="6"/>
      <c r="AE73" s="5"/>
      <c r="AF73" s="6"/>
      <c r="AG73" s="11">
        <v>41617</v>
      </c>
      <c r="AH73" s="12">
        <f t="shared" ca="1" si="10"/>
        <v>2013</v>
      </c>
      <c r="AI73" s="12">
        <f t="shared" ca="1" si="11"/>
        <v>12</v>
      </c>
      <c r="AJ73" s="12">
        <f t="shared" ca="1" si="12"/>
        <v>9</v>
      </c>
      <c r="AK73" s="8" t="s">
        <v>436</v>
      </c>
      <c r="AL73" s="8"/>
      <c r="AM73" s="5"/>
      <c r="AN73" s="5"/>
      <c r="AO73" s="11">
        <v>37544</v>
      </c>
      <c r="AP73" s="12">
        <f t="shared" ca="1" si="13"/>
        <v>2002</v>
      </c>
      <c r="AQ73" s="12">
        <f t="shared" ca="1" si="14"/>
        <v>10</v>
      </c>
      <c r="AR73" s="12">
        <f t="shared" ca="1" si="15"/>
        <v>15</v>
      </c>
      <c r="AS73" s="8" t="s">
        <v>437</v>
      </c>
      <c r="AT73" s="8"/>
      <c r="AU73" s="5"/>
      <c r="AV73" s="12" t="str">
        <f t="shared" ca="1" si="16"/>
        <v>NA</v>
      </c>
      <c r="AW73" s="12" t="str">
        <f t="shared" ca="1" si="17"/>
        <v>NA</v>
      </c>
      <c r="AX73" s="12" t="str">
        <f t="shared" ca="1" si="18"/>
        <v>NA</v>
      </c>
      <c r="AY73" s="5"/>
      <c r="AZ73" s="5"/>
      <c r="BA73" s="6"/>
      <c r="BB73" s="12" t="str">
        <f t="shared" ca="1" si="19"/>
        <v>NA</v>
      </c>
      <c r="BC73" s="12" t="str">
        <f t="shared" ca="1" si="20"/>
        <v>NA</v>
      </c>
      <c r="BD73" s="12" t="str">
        <f t="shared" ca="1" si="21"/>
        <v>NA</v>
      </c>
      <c r="BE73" s="5"/>
      <c r="BF73" s="5"/>
      <c r="BG73" s="5"/>
      <c r="BH73" s="12" t="str">
        <f t="shared" ca="1" si="22"/>
        <v>NA</v>
      </c>
      <c r="BI73" s="12" t="str">
        <f t="shared" ca="1" si="23"/>
        <v>NA</v>
      </c>
      <c r="BJ73" s="12" t="str">
        <f t="shared" ca="1" si="24"/>
        <v>NA</v>
      </c>
      <c r="BK73" s="5"/>
      <c r="BL73" s="5"/>
      <c r="BM73" s="12" t="str">
        <f t="shared" ca="1" si="25"/>
        <v>NA</v>
      </c>
      <c r="BN73" s="12" t="str">
        <f t="shared" ca="1" si="26"/>
        <v>NA</v>
      </c>
      <c r="BO73" s="12" t="str">
        <f t="shared" ca="1" si="27"/>
        <v>NA</v>
      </c>
      <c r="BP73" s="5"/>
      <c r="BQ73" s="5"/>
      <c r="BR73" s="5"/>
      <c r="BS73" s="12" t="str">
        <f t="shared" ca="1" si="28"/>
        <v>NA</v>
      </c>
      <c r="BT73" s="12" t="str">
        <f t="shared" ca="1" si="29"/>
        <v>NA</v>
      </c>
      <c r="BU73" s="12" t="str">
        <f t="shared" ca="1" si="30"/>
        <v>NA</v>
      </c>
      <c r="BV73" s="5"/>
      <c r="BW73" s="5"/>
      <c r="BX73" s="12" t="str">
        <f t="shared" ca="1" si="31"/>
        <v>NA</v>
      </c>
      <c r="BY73" s="12" t="str">
        <f t="shared" ca="1" si="32"/>
        <v>NA</v>
      </c>
      <c r="BZ73" s="12" t="str">
        <f t="shared" ca="1" si="33"/>
        <v>NA</v>
      </c>
      <c r="CA73" s="5"/>
    </row>
    <row r="74" spans="1:79" ht="12.75" customHeight="1" x14ac:dyDescent="0.15">
      <c r="A74" s="4">
        <v>1123</v>
      </c>
      <c r="B74" s="5" t="s">
        <v>79</v>
      </c>
      <c r="C74" s="5" t="s">
        <v>79</v>
      </c>
      <c r="D74" s="6" t="s">
        <v>438</v>
      </c>
      <c r="E74" s="7">
        <v>9421</v>
      </c>
      <c r="F74" s="6" t="s">
        <v>439</v>
      </c>
      <c r="G74" s="8"/>
      <c r="H74" s="8"/>
      <c r="I74" s="8"/>
      <c r="J74" s="8"/>
      <c r="K74" s="8"/>
      <c r="L74" s="8" t="s">
        <v>82</v>
      </c>
      <c r="M74" s="7">
        <v>1012</v>
      </c>
      <c r="N74" s="7">
        <v>1044</v>
      </c>
      <c r="O74" s="13">
        <v>35180</v>
      </c>
      <c r="P74" s="10">
        <f t="shared" ca="1" si="0"/>
        <v>3.375</v>
      </c>
      <c r="Q74" s="5">
        <f t="shared" ca="1" si="1"/>
        <v>40</v>
      </c>
      <c r="R74" s="5">
        <f t="shared" ca="1" si="2"/>
        <v>1233</v>
      </c>
      <c r="S74" s="7">
        <f t="shared" ca="1" si="3"/>
        <v>1996</v>
      </c>
      <c r="T74" s="7">
        <f t="shared" ca="1" si="4"/>
        <v>4</v>
      </c>
      <c r="U74" s="7">
        <f t="shared" ca="1" si="5"/>
        <v>25</v>
      </c>
      <c r="V74" s="6" t="s">
        <v>440</v>
      </c>
      <c r="W74" s="14" t="s">
        <v>96</v>
      </c>
      <c r="X74" s="15"/>
      <c r="Y74" s="5">
        <f t="shared" ca="1" si="6"/>
        <v>1</v>
      </c>
      <c r="Z74" s="6"/>
      <c r="AA74" s="12" t="str">
        <f t="shared" ca="1" si="7"/>
        <v>NA</v>
      </c>
      <c r="AB74" s="12" t="str">
        <f t="shared" ca="1" si="8"/>
        <v>NA</v>
      </c>
      <c r="AC74" s="12" t="str">
        <f t="shared" ca="1" si="9"/>
        <v>NA</v>
      </c>
      <c r="AD74" s="6"/>
      <c r="AE74" s="5"/>
      <c r="AF74" s="6"/>
      <c r="AG74" s="11">
        <v>36413</v>
      </c>
      <c r="AH74" s="12">
        <f t="shared" ca="1" si="10"/>
        <v>1999</v>
      </c>
      <c r="AI74" s="12">
        <f t="shared" ca="1" si="11"/>
        <v>9</v>
      </c>
      <c r="AJ74" s="12">
        <f t="shared" ca="1" si="12"/>
        <v>10</v>
      </c>
      <c r="AK74" s="8" t="s">
        <v>441</v>
      </c>
      <c r="AL74" s="8"/>
      <c r="AM74" s="5"/>
      <c r="AN74" s="5"/>
      <c r="AO74" s="11">
        <v>35969</v>
      </c>
      <c r="AP74" s="12">
        <f t="shared" ca="1" si="13"/>
        <v>1998</v>
      </c>
      <c r="AQ74" s="12">
        <f t="shared" ca="1" si="14"/>
        <v>6</v>
      </c>
      <c r="AR74" s="12">
        <f t="shared" ca="1" si="15"/>
        <v>23</v>
      </c>
      <c r="AS74" s="8" t="s">
        <v>442</v>
      </c>
      <c r="AT74" s="8"/>
      <c r="AU74" s="5"/>
      <c r="AV74" s="12" t="str">
        <f t="shared" ca="1" si="16"/>
        <v>NA</v>
      </c>
      <c r="AW74" s="12" t="str">
        <f t="shared" ca="1" si="17"/>
        <v>NA</v>
      </c>
      <c r="AX74" s="12" t="str">
        <f t="shared" ca="1" si="18"/>
        <v>NA</v>
      </c>
      <c r="AY74" s="5"/>
      <c r="AZ74" s="5"/>
      <c r="BA74" s="6"/>
      <c r="BB74" s="12" t="str">
        <f t="shared" ca="1" si="19"/>
        <v>NA</v>
      </c>
      <c r="BC74" s="12" t="str">
        <f t="shared" ca="1" si="20"/>
        <v>NA</v>
      </c>
      <c r="BD74" s="12" t="str">
        <f t="shared" ca="1" si="21"/>
        <v>NA</v>
      </c>
      <c r="BE74" s="5"/>
      <c r="BF74" s="5"/>
      <c r="BG74" s="5"/>
      <c r="BH74" s="12" t="str">
        <f t="shared" ca="1" si="22"/>
        <v>NA</v>
      </c>
      <c r="BI74" s="12" t="str">
        <f t="shared" ca="1" si="23"/>
        <v>NA</v>
      </c>
      <c r="BJ74" s="12" t="str">
        <f t="shared" ca="1" si="24"/>
        <v>NA</v>
      </c>
      <c r="BK74" s="5"/>
      <c r="BL74" s="5"/>
      <c r="BM74" s="12" t="str">
        <f t="shared" ca="1" si="25"/>
        <v>NA</v>
      </c>
      <c r="BN74" s="12" t="str">
        <f t="shared" ca="1" si="26"/>
        <v>NA</v>
      </c>
      <c r="BO74" s="12" t="str">
        <f t="shared" ca="1" si="27"/>
        <v>NA</v>
      </c>
      <c r="BP74" s="5"/>
      <c r="BQ74" s="5"/>
      <c r="BR74" s="5"/>
      <c r="BS74" s="12" t="str">
        <f t="shared" ca="1" si="28"/>
        <v>NA</v>
      </c>
      <c r="BT74" s="12" t="str">
        <f t="shared" ca="1" si="29"/>
        <v>NA</v>
      </c>
      <c r="BU74" s="12" t="str">
        <f t="shared" ca="1" si="30"/>
        <v>NA</v>
      </c>
      <c r="BV74" s="5"/>
      <c r="BW74" s="5"/>
      <c r="BX74" s="12" t="str">
        <f t="shared" ca="1" si="31"/>
        <v>NA</v>
      </c>
      <c r="BY74" s="12" t="str">
        <f t="shared" ca="1" si="32"/>
        <v>NA</v>
      </c>
      <c r="BZ74" s="12" t="str">
        <f t="shared" ca="1" si="33"/>
        <v>NA</v>
      </c>
      <c r="CA74" s="5"/>
    </row>
    <row r="75" spans="1:79" ht="12.75" customHeight="1" x14ac:dyDescent="0.15">
      <c r="A75" s="4">
        <v>1128</v>
      </c>
      <c r="B75" s="5" t="s">
        <v>79</v>
      </c>
      <c r="C75" s="5" t="s">
        <v>79</v>
      </c>
      <c r="D75" s="6" t="s">
        <v>443</v>
      </c>
      <c r="E75" s="7">
        <v>5577</v>
      </c>
      <c r="F75" s="6" t="s">
        <v>444</v>
      </c>
      <c r="G75" s="8"/>
      <c r="H75" s="8"/>
      <c r="I75" s="8"/>
      <c r="J75" s="8"/>
      <c r="K75" s="8"/>
      <c r="L75" s="8" t="s">
        <v>82</v>
      </c>
      <c r="M75" s="7">
        <v>1051</v>
      </c>
      <c r="N75" s="7">
        <v>1054</v>
      </c>
      <c r="O75" s="13">
        <v>35440</v>
      </c>
      <c r="P75" s="10">
        <f t="shared" ca="1" si="0"/>
        <v>17.074999999999999</v>
      </c>
      <c r="Q75" s="5">
        <f t="shared" ca="1" si="1"/>
        <v>204</v>
      </c>
      <c r="R75" s="5">
        <f t="shared" ca="1" si="2"/>
        <v>6237</v>
      </c>
      <c r="S75" s="7">
        <f t="shared" ca="1" si="3"/>
        <v>1997</v>
      </c>
      <c r="T75" s="7">
        <f t="shared" ca="1" si="4"/>
        <v>1</v>
      </c>
      <c r="U75" s="7">
        <f t="shared" ca="1" si="5"/>
        <v>10</v>
      </c>
      <c r="V75" s="6" t="s">
        <v>445</v>
      </c>
      <c r="W75" s="14" t="s">
        <v>96</v>
      </c>
      <c r="X75" s="15"/>
      <c r="Y75" s="5">
        <f t="shared" ca="1" si="6"/>
        <v>1</v>
      </c>
      <c r="Z75" s="6"/>
      <c r="AA75" s="12" t="str">
        <f t="shared" ca="1" si="7"/>
        <v>NA</v>
      </c>
      <c r="AB75" s="12" t="str">
        <f t="shared" ca="1" si="8"/>
        <v>NA</v>
      </c>
      <c r="AC75" s="12" t="str">
        <f t="shared" ca="1" si="9"/>
        <v>NA</v>
      </c>
      <c r="AD75" s="6"/>
      <c r="AE75" s="5"/>
      <c r="AF75" s="6"/>
      <c r="AG75" s="11">
        <v>41677</v>
      </c>
      <c r="AH75" s="12">
        <f t="shared" ca="1" si="10"/>
        <v>2014</v>
      </c>
      <c r="AI75" s="12">
        <f t="shared" ca="1" si="11"/>
        <v>2</v>
      </c>
      <c r="AJ75" s="12">
        <f t="shared" ca="1" si="12"/>
        <v>7</v>
      </c>
      <c r="AK75" s="8" t="s">
        <v>446</v>
      </c>
      <c r="AL75" s="8"/>
      <c r="AM75" s="5"/>
      <c r="AN75" s="5"/>
      <c r="AO75" s="11">
        <v>36144</v>
      </c>
      <c r="AP75" s="12">
        <f t="shared" ca="1" si="13"/>
        <v>1998</v>
      </c>
      <c r="AQ75" s="12">
        <f t="shared" ca="1" si="14"/>
        <v>12</v>
      </c>
      <c r="AR75" s="12">
        <f t="shared" ca="1" si="15"/>
        <v>15</v>
      </c>
      <c r="AS75" s="8" t="s">
        <v>447</v>
      </c>
      <c r="AT75" s="8"/>
      <c r="AU75" s="5"/>
      <c r="AV75" s="12" t="str">
        <f t="shared" ca="1" si="16"/>
        <v>NA</v>
      </c>
      <c r="AW75" s="12" t="str">
        <f t="shared" ca="1" si="17"/>
        <v>NA</v>
      </c>
      <c r="AX75" s="12" t="str">
        <f t="shared" ca="1" si="18"/>
        <v>NA</v>
      </c>
      <c r="AY75" s="5"/>
      <c r="AZ75" s="5"/>
      <c r="BA75" s="6"/>
      <c r="BB75" s="12" t="str">
        <f t="shared" ca="1" si="19"/>
        <v>NA</v>
      </c>
      <c r="BC75" s="12" t="str">
        <f t="shared" ca="1" si="20"/>
        <v>NA</v>
      </c>
      <c r="BD75" s="12" t="str">
        <f t="shared" ca="1" si="21"/>
        <v>NA</v>
      </c>
      <c r="BE75" s="5"/>
      <c r="BF75" s="5"/>
      <c r="BG75" s="5"/>
      <c r="BH75" s="12" t="str">
        <f t="shared" ca="1" si="22"/>
        <v>NA</v>
      </c>
      <c r="BI75" s="12" t="str">
        <f t="shared" ca="1" si="23"/>
        <v>NA</v>
      </c>
      <c r="BJ75" s="12" t="str">
        <f t="shared" ca="1" si="24"/>
        <v>NA</v>
      </c>
      <c r="BK75" s="5"/>
      <c r="BL75" s="5"/>
      <c r="BM75" s="12" t="str">
        <f t="shared" ca="1" si="25"/>
        <v>NA</v>
      </c>
      <c r="BN75" s="12" t="str">
        <f t="shared" ca="1" si="26"/>
        <v>NA</v>
      </c>
      <c r="BO75" s="12" t="str">
        <f t="shared" ca="1" si="27"/>
        <v>NA</v>
      </c>
      <c r="BP75" s="5"/>
      <c r="BQ75" s="5"/>
      <c r="BR75" s="5"/>
      <c r="BS75" s="12" t="str">
        <f t="shared" ca="1" si="28"/>
        <v>NA</v>
      </c>
      <c r="BT75" s="12" t="str">
        <f t="shared" ca="1" si="29"/>
        <v>NA</v>
      </c>
      <c r="BU75" s="12" t="str">
        <f t="shared" ca="1" si="30"/>
        <v>NA</v>
      </c>
      <c r="BV75" s="5"/>
      <c r="BW75" s="5"/>
      <c r="BX75" s="12" t="str">
        <f t="shared" ca="1" si="31"/>
        <v>NA</v>
      </c>
      <c r="BY75" s="12" t="str">
        <f t="shared" ca="1" si="32"/>
        <v>NA</v>
      </c>
      <c r="BZ75" s="12" t="str">
        <f t="shared" ca="1" si="33"/>
        <v>NA</v>
      </c>
      <c r="CA75" s="5"/>
    </row>
    <row r="76" spans="1:79" ht="12.75" customHeight="1" x14ac:dyDescent="0.15">
      <c r="A76" s="4">
        <v>1129</v>
      </c>
      <c r="B76" s="5" t="s">
        <v>79</v>
      </c>
      <c r="C76" s="5" t="s">
        <v>79</v>
      </c>
      <c r="D76" s="6" t="s">
        <v>448</v>
      </c>
      <c r="E76" s="6" t="s">
        <v>449</v>
      </c>
      <c r="F76" s="6" t="s">
        <v>450</v>
      </c>
      <c r="G76" s="8"/>
      <c r="H76" s="8"/>
      <c r="I76" s="8"/>
      <c r="J76" s="8"/>
      <c r="K76" s="8"/>
      <c r="L76" s="8" t="s">
        <v>82</v>
      </c>
      <c r="M76" s="7">
        <v>1051</v>
      </c>
      <c r="N76" s="7">
        <v>1054</v>
      </c>
      <c r="O76" s="13">
        <v>35440</v>
      </c>
      <c r="P76" s="10">
        <f t="shared" ca="1" si="0"/>
        <v>11.074999999999999</v>
      </c>
      <c r="Q76" s="5">
        <f t="shared" ca="1" si="1"/>
        <v>132</v>
      </c>
      <c r="R76" s="5">
        <f t="shared" ca="1" si="2"/>
        <v>4045</v>
      </c>
      <c r="S76" s="7">
        <f t="shared" ca="1" si="3"/>
        <v>1997</v>
      </c>
      <c r="T76" s="7">
        <f t="shared" ca="1" si="4"/>
        <v>1</v>
      </c>
      <c r="U76" s="7">
        <f t="shared" ca="1" si="5"/>
        <v>10</v>
      </c>
      <c r="V76" s="6" t="s">
        <v>451</v>
      </c>
      <c r="W76" s="14" t="s">
        <v>96</v>
      </c>
      <c r="X76" s="15"/>
      <c r="Y76" s="5">
        <f t="shared" ca="1" si="6"/>
        <v>0</v>
      </c>
      <c r="Z76" s="6"/>
      <c r="AA76" s="12" t="str">
        <f t="shared" ca="1" si="7"/>
        <v>NA</v>
      </c>
      <c r="AB76" s="12" t="str">
        <f t="shared" ca="1" si="8"/>
        <v>NA</v>
      </c>
      <c r="AC76" s="12" t="str">
        <f t="shared" ca="1" si="9"/>
        <v>NA</v>
      </c>
      <c r="AD76" s="6"/>
      <c r="AE76" s="5"/>
      <c r="AF76" s="6"/>
      <c r="AG76" s="11">
        <v>39485</v>
      </c>
      <c r="AH76" s="12">
        <f t="shared" ca="1" si="10"/>
        <v>2008</v>
      </c>
      <c r="AI76" s="12">
        <f t="shared" ca="1" si="11"/>
        <v>2</v>
      </c>
      <c r="AJ76" s="12">
        <f t="shared" ca="1" si="12"/>
        <v>7</v>
      </c>
      <c r="AK76" s="8" t="s">
        <v>452</v>
      </c>
      <c r="AL76" s="8"/>
      <c r="AM76" s="5"/>
      <c r="AN76" s="5"/>
      <c r="AO76" s="5"/>
      <c r="AP76" s="12" t="str">
        <f t="shared" ca="1" si="13"/>
        <v>NA</v>
      </c>
      <c r="AQ76" s="12" t="str">
        <f t="shared" ca="1" si="14"/>
        <v>NA</v>
      </c>
      <c r="AR76" s="12" t="str">
        <f t="shared" ca="1" si="15"/>
        <v>NA</v>
      </c>
      <c r="AS76" s="5"/>
      <c r="AT76" s="5"/>
      <c r="AU76" s="5"/>
      <c r="AV76" s="12" t="str">
        <f t="shared" ca="1" si="16"/>
        <v>NA</v>
      </c>
      <c r="AW76" s="12" t="str">
        <f t="shared" ca="1" si="17"/>
        <v>NA</v>
      </c>
      <c r="AX76" s="12" t="str">
        <f t="shared" ca="1" si="18"/>
        <v>NA</v>
      </c>
      <c r="AY76" s="5"/>
      <c r="AZ76" s="5"/>
      <c r="BA76" s="6"/>
      <c r="BB76" s="12" t="str">
        <f t="shared" ca="1" si="19"/>
        <v>NA</v>
      </c>
      <c r="BC76" s="12" t="str">
        <f t="shared" ca="1" si="20"/>
        <v>NA</v>
      </c>
      <c r="BD76" s="12" t="str">
        <f t="shared" ca="1" si="21"/>
        <v>NA</v>
      </c>
      <c r="BE76" s="5"/>
      <c r="BF76" s="5"/>
      <c r="BG76" s="5"/>
      <c r="BH76" s="12" t="str">
        <f t="shared" ca="1" si="22"/>
        <v>NA</v>
      </c>
      <c r="BI76" s="12" t="str">
        <f t="shared" ca="1" si="23"/>
        <v>NA</v>
      </c>
      <c r="BJ76" s="12" t="str">
        <f t="shared" ca="1" si="24"/>
        <v>NA</v>
      </c>
      <c r="BK76" s="5"/>
      <c r="BL76" s="5"/>
      <c r="BM76" s="12" t="str">
        <f t="shared" ca="1" si="25"/>
        <v>NA</v>
      </c>
      <c r="BN76" s="12" t="str">
        <f t="shared" ca="1" si="26"/>
        <v>NA</v>
      </c>
      <c r="BO76" s="12" t="str">
        <f t="shared" ca="1" si="27"/>
        <v>NA</v>
      </c>
      <c r="BP76" s="5"/>
      <c r="BQ76" s="5"/>
      <c r="BR76" s="5"/>
      <c r="BS76" s="12" t="str">
        <f t="shared" ca="1" si="28"/>
        <v>NA</v>
      </c>
      <c r="BT76" s="12" t="str">
        <f t="shared" ca="1" si="29"/>
        <v>NA</v>
      </c>
      <c r="BU76" s="12" t="str">
        <f t="shared" ca="1" si="30"/>
        <v>NA</v>
      </c>
      <c r="BV76" s="5"/>
      <c r="BW76" s="5"/>
      <c r="BX76" s="12" t="str">
        <f t="shared" ca="1" si="31"/>
        <v>NA</v>
      </c>
      <c r="BY76" s="12" t="str">
        <f t="shared" ca="1" si="32"/>
        <v>NA</v>
      </c>
      <c r="BZ76" s="12" t="str">
        <f t="shared" ca="1" si="33"/>
        <v>NA</v>
      </c>
      <c r="CA76" s="5"/>
    </row>
    <row r="77" spans="1:79" ht="12.75" customHeight="1" x14ac:dyDescent="0.15">
      <c r="A77" s="4">
        <v>1130</v>
      </c>
      <c r="B77" s="5" t="s">
        <v>79</v>
      </c>
      <c r="C77" s="5" t="s">
        <v>79</v>
      </c>
      <c r="D77" s="6" t="s">
        <v>453</v>
      </c>
      <c r="E77" s="7">
        <v>103364</v>
      </c>
      <c r="F77" s="6" t="s">
        <v>454</v>
      </c>
      <c r="G77" s="8"/>
      <c r="H77" s="8"/>
      <c r="I77" s="8"/>
      <c r="J77" s="8"/>
      <c r="K77" s="8"/>
      <c r="L77" s="8" t="s">
        <v>82</v>
      </c>
      <c r="M77" s="7">
        <v>1041</v>
      </c>
      <c r="N77" s="7">
        <v>1040</v>
      </c>
      <c r="O77" s="13">
        <v>35446</v>
      </c>
      <c r="P77" s="10">
        <f t="shared" ca="1" si="0"/>
        <v>16.408333333333335</v>
      </c>
      <c r="Q77" s="5">
        <f t="shared" ca="1" si="1"/>
        <v>196</v>
      </c>
      <c r="R77" s="5">
        <f t="shared" ca="1" si="2"/>
        <v>5992</v>
      </c>
      <c r="S77" s="7">
        <f t="shared" ca="1" si="3"/>
        <v>1997</v>
      </c>
      <c r="T77" s="7">
        <f t="shared" ca="1" si="4"/>
        <v>1</v>
      </c>
      <c r="U77" s="7">
        <f t="shared" ca="1" si="5"/>
        <v>16</v>
      </c>
      <c r="V77" s="6" t="s">
        <v>455</v>
      </c>
      <c r="W77" s="14" t="s">
        <v>96</v>
      </c>
      <c r="X77" s="15"/>
      <c r="Y77" s="5">
        <f t="shared" ca="1" si="6"/>
        <v>0</v>
      </c>
      <c r="Z77" s="6"/>
      <c r="AA77" s="12" t="str">
        <f t="shared" ca="1" si="7"/>
        <v>NA</v>
      </c>
      <c r="AB77" s="12" t="str">
        <f t="shared" ca="1" si="8"/>
        <v>NA</v>
      </c>
      <c r="AC77" s="12" t="str">
        <f t="shared" ca="1" si="9"/>
        <v>NA</v>
      </c>
      <c r="AD77" s="6"/>
      <c r="AE77" s="5"/>
      <c r="AF77" s="6"/>
      <c r="AG77" s="11">
        <v>41438</v>
      </c>
      <c r="AH77" s="12">
        <f t="shared" ca="1" si="10"/>
        <v>2013</v>
      </c>
      <c r="AI77" s="12">
        <f t="shared" ca="1" si="11"/>
        <v>6</v>
      </c>
      <c r="AJ77" s="12">
        <f t="shared" ca="1" si="12"/>
        <v>13</v>
      </c>
      <c r="AK77" s="8" t="s">
        <v>456</v>
      </c>
      <c r="AL77" s="8"/>
      <c r="AM77" s="5"/>
      <c r="AN77" s="5"/>
      <c r="AO77" s="5"/>
      <c r="AP77" s="12" t="str">
        <f t="shared" ca="1" si="13"/>
        <v>NA</v>
      </c>
      <c r="AQ77" s="12" t="str">
        <f t="shared" ca="1" si="14"/>
        <v>NA</v>
      </c>
      <c r="AR77" s="12" t="str">
        <f t="shared" ca="1" si="15"/>
        <v>NA</v>
      </c>
      <c r="AS77" s="5"/>
      <c r="AT77" s="5"/>
      <c r="AU77" s="5"/>
      <c r="AV77" s="12" t="str">
        <f t="shared" ca="1" si="16"/>
        <v>NA</v>
      </c>
      <c r="AW77" s="12" t="str">
        <f t="shared" ca="1" si="17"/>
        <v>NA</v>
      </c>
      <c r="AX77" s="12" t="str">
        <f t="shared" ca="1" si="18"/>
        <v>NA</v>
      </c>
      <c r="AY77" s="5"/>
      <c r="AZ77" s="5"/>
      <c r="BA77" s="6"/>
      <c r="BB77" s="12" t="str">
        <f t="shared" ca="1" si="19"/>
        <v>NA</v>
      </c>
      <c r="BC77" s="12" t="str">
        <f t="shared" ca="1" si="20"/>
        <v>NA</v>
      </c>
      <c r="BD77" s="12" t="str">
        <f t="shared" ca="1" si="21"/>
        <v>NA</v>
      </c>
      <c r="BE77" s="5"/>
      <c r="BF77" s="5"/>
      <c r="BG77" s="5"/>
      <c r="BH77" s="12" t="str">
        <f t="shared" ca="1" si="22"/>
        <v>NA</v>
      </c>
      <c r="BI77" s="12" t="str">
        <f t="shared" ca="1" si="23"/>
        <v>NA</v>
      </c>
      <c r="BJ77" s="12" t="str">
        <f t="shared" ca="1" si="24"/>
        <v>NA</v>
      </c>
      <c r="BK77" s="5"/>
      <c r="BL77" s="5"/>
      <c r="BM77" s="12" t="str">
        <f t="shared" ca="1" si="25"/>
        <v>NA</v>
      </c>
      <c r="BN77" s="12" t="str">
        <f t="shared" ca="1" si="26"/>
        <v>NA</v>
      </c>
      <c r="BO77" s="12" t="str">
        <f t="shared" ca="1" si="27"/>
        <v>NA</v>
      </c>
      <c r="BP77" s="5"/>
      <c r="BQ77" s="5"/>
      <c r="BR77" s="5"/>
      <c r="BS77" s="12" t="str">
        <f t="shared" ca="1" si="28"/>
        <v>NA</v>
      </c>
      <c r="BT77" s="12" t="str">
        <f t="shared" ca="1" si="29"/>
        <v>NA</v>
      </c>
      <c r="BU77" s="12" t="str">
        <f t="shared" ca="1" si="30"/>
        <v>NA</v>
      </c>
      <c r="BV77" s="5"/>
      <c r="BW77" s="5"/>
      <c r="BX77" s="12" t="str">
        <f t="shared" ca="1" si="31"/>
        <v>NA</v>
      </c>
      <c r="BY77" s="12" t="str">
        <f t="shared" ca="1" si="32"/>
        <v>NA</v>
      </c>
      <c r="BZ77" s="12" t="str">
        <f t="shared" ca="1" si="33"/>
        <v>NA</v>
      </c>
      <c r="CA77" s="5"/>
    </row>
    <row r="78" spans="1:79" ht="12.75" customHeight="1" x14ac:dyDescent="0.15">
      <c r="A78" s="4">
        <v>1131</v>
      </c>
      <c r="B78" s="5" t="s">
        <v>79</v>
      </c>
      <c r="C78" s="5" t="s">
        <v>79</v>
      </c>
      <c r="D78" s="6" t="s">
        <v>457</v>
      </c>
      <c r="E78" s="6" t="s">
        <v>458</v>
      </c>
      <c r="F78" s="6" t="s">
        <v>459</v>
      </c>
      <c r="G78" s="8"/>
      <c r="H78" s="8"/>
      <c r="I78" s="8"/>
      <c r="J78" s="8"/>
      <c r="K78" s="8"/>
      <c r="L78" s="8" t="s">
        <v>82</v>
      </c>
      <c r="M78" s="7">
        <v>1059</v>
      </c>
      <c r="N78" s="7">
        <v>1058</v>
      </c>
      <c r="O78" s="13">
        <v>35466</v>
      </c>
      <c r="P78" s="10">
        <f t="shared" ca="1" si="0"/>
        <v>17.602777777777778</v>
      </c>
      <c r="Q78" s="5">
        <f t="shared" ca="1" si="1"/>
        <v>211</v>
      </c>
      <c r="R78" s="5">
        <f t="shared" ca="1" si="2"/>
        <v>6428</v>
      </c>
      <c r="S78" s="7">
        <f t="shared" ca="1" si="3"/>
        <v>1997</v>
      </c>
      <c r="T78" s="7">
        <f t="shared" ca="1" si="4"/>
        <v>2</v>
      </c>
      <c r="U78" s="7">
        <f t="shared" ca="1" si="5"/>
        <v>5</v>
      </c>
      <c r="V78" s="6" t="s">
        <v>460</v>
      </c>
      <c r="W78" s="14" t="s">
        <v>96</v>
      </c>
      <c r="X78" s="15"/>
      <c r="Y78" s="5">
        <f t="shared" ca="1" si="6"/>
        <v>1</v>
      </c>
      <c r="Z78" s="6"/>
      <c r="AA78" s="12" t="str">
        <f t="shared" ca="1" si="7"/>
        <v>NA</v>
      </c>
      <c r="AB78" s="12" t="str">
        <f t="shared" ca="1" si="8"/>
        <v>NA</v>
      </c>
      <c r="AC78" s="12" t="str">
        <f t="shared" ca="1" si="9"/>
        <v>NA</v>
      </c>
      <c r="AD78" s="6"/>
      <c r="AE78" s="5"/>
      <c r="AF78" s="6"/>
      <c r="AG78" s="11">
        <v>41894</v>
      </c>
      <c r="AH78" s="12">
        <f t="shared" ca="1" si="10"/>
        <v>2014</v>
      </c>
      <c r="AI78" s="12">
        <f t="shared" ca="1" si="11"/>
        <v>9</v>
      </c>
      <c r="AJ78" s="12">
        <f t="shared" ca="1" si="12"/>
        <v>12</v>
      </c>
      <c r="AK78" s="8" t="s">
        <v>461</v>
      </c>
      <c r="AL78" s="8"/>
      <c r="AM78" s="5"/>
      <c r="AN78" s="5"/>
      <c r="AO78" s="11">
        <v>38184</v>
      </c>
      <c r="AP78" s="12">
        <f t="shared" ca="1" si="13"/>
        <v>2004</v>
      </c>
      <c r="AQ78" s="12">
        <f t="shared" ca="1" si="14"/>
        <v>7</v>
      </c>
      <c r="AR78" s="12">
        <f t="shared" ca="1" si="15"/>
        <v>16</v>
      </c>
      <c r="AS78" s="8" t="s">
        <v>462</v>
      </c>
      <c r="AT78" s="8"/>
      <c r="AU78" s="5"/>
      <c r="AV78" s="12" t="str">
        <f t="shared" ca="1" si="16"/>
        <v>NA</v>
      </c>
      <c r="AW78" s="12" t="str">
        <f t="shared" ca="1" si="17"/>
        <v>NA</v>
      </c>
      <c r="AX78" s="12" t="str">
        <f t="shared" ca="1" si="18"/>
        <v>NA</v>
      </c>
      <c r="AY78" s="5"/>
      <c r="AZ78" s="5"/>
      <c r="BA78" s="6"/>
      <c r="BB78" s="12" t="str">
        <f t="shared" ca="1" si="19"/>
        <v>NA</v>
      </c>
      <c r="BC78" s="12" t="str">
        <f t="shared" ca="1" si="20"/>
        <v>NA</v>
      </c>
      <c r="BD78" s="12" t="str">
        <f t="shared" ca="1" si="21"/>
        <v>NA</v>
      </c>
      <c r="BE78" s="5"/>
      <c r="BF78" s="5"/>
      <c r="BG78" s="5"/>
      <c r="BH78" s="12" t="str">
        <f t="shared" ca="1" si="22"/>
        <v>NA</v>
      </c>
      <c r="BI78" s="12" t="str">
        <f t="shared" ca="1" si="23"/>
        <v>NA</v>
      </c>
      <c r="BJ78" s="12" t="str">
        <f t="shared" ca="1" si="24"/>
        <v>NA</v>
      </c>
      <c r="BK78" s="5"/>
      <c r="BL78" s="5"/>
      <c r="BM78" s="12" t="str">
        <f t="shared" ca="1" si="25"/>
        <v>NA</v>
      </c>
      <c r="BN78" s="12" t="str">
        <f t="shared" ca="1" si="26"/>
        <v>NA</v>
      </c>
      <c r="BO78" s="12" t="str">
        <f t="shared" ca="1" si="27"/>
        <v>NA</v>
      </c>
      <c r="BP78" s="5"/>
      <c r="BQ78" s="5"/>
      <c r="BR78" s="5"/>
      <c r="BS78" s="12" t="str">
        <f t="shared" ca="1" si="28"/>
        <v>NA</v>
      </c>
      <c r="BT78" s="12" t="str">
        <f t="shared" ca="1" si="29"/>
        <v>NA</v>
      </c>
      <c r="BU78" s="12" t="str">
        <f t="shared" ca="1" si="30"/>
        <v>NA</v>
      </c>
      <c r="BV78" s="5"/>
      <c r="BW78" s="5"/>
      <c r="BX78" s="12" t="str">
        <f t="shared" ca="1" si="31"/>
        <v>NA</v>
      </c>
      <c r="BY78" s="12" t="str">
        <f t="shared" ca="1" si="32"/>
        <v>NA</v>
      </c>
      <c r="BZ78" s="12" t="str">
        <f t="shared" ca="1" si="33"/>
        <v>NA</v>
      </c>
      <c r="CA78" s="5"/>
    </row>
    <row r="79" spans="1:79" ht="12.75" customHeight="1" x14ac:dyDescent="0.15">
      <c r="A79" s="4">
        <v>1132</v>
      </c>
      <c r="B79" s="5" t="s">
        <v>79</v>
      </c>
      <c r="C79" s="5" t="s">
        <v>79</v>
      </c>
      <c r="D79" s="6" t="s">
        <v>463</v>
      </c>
      <c r="E79" s="7">
        <v>212045</v>
      </c>
      <c r="F79" s="6" t="s">
        <v>464</v>
      </c>
      <c r="G79" s="8"/>
      <c r="H79" s="8"/>
      <c r="I79" s="8"/>
      <c r="J79" s="8"/>
      <c r="K79" s="8"/>
      <c r="L79" s="8" t="s">
        <v>82</v>
      </c>
      <c r="M79" s="7">
        <v>1059</v>
      </c>
      <c r="N79" s="7">
        <v>1058</v>
      </c>
      <c r="O79" s="13">
        <v>35466</v>
      </c>
      <c r="P79" s="10">
        <f t="shared" ca="1" si="0"/>
        <v>18.408333333333335</v>
      </c>
      <c r="Q79" s="5">
        <f t="shared" ca="1" si="1"/>
        <v>220</v>
      </c>
      <c r="R79" s="5">
        <f t="shared" ca="1" si="2"/>
        <v>6721</v>
      </c>
      <c r="S79" s="7">
        <f t="shared" ca="1" si="3"/>
        <v>1997</v>
      </c>
      <c r="T79" s="7">
        <f t="shared" ca="1" si="4"/>
        <v>2</v>
      </c>
      <c r="U79" s="7">
        <f t="shared" ca="1" si="5"/>
        <v>5</v>
      </c>
      <c r="V79" s="6" t="s">
        <v>465</v>
      </c>
      <c r="W79" s="14" t="s">
        <v>96</v>
      </c>
      <c r="X79" s="15"/>
      <c r="Y79" s="5">
        <f t="shared" ca="1" si="6"/>
        <v>2</v>
      </c>
      <c r="Z79" s="6"/>
      <c r="AA79" s="12" t="str">
        <f t="shared" ca="1" si="7"/>
        <v>NA</v>
      </c>
      <c r="AB79" s="12" t="str">
        <f t="shared" ca="1" si="8"/>
        <v>NA</v>
      </c>
      <c r="AC79" s="12" t="str">
        <f t="shared" ca="1" si="9"/>
        <v>NA</v>
      </c>
      <c r="AD79" s="6"/>
      <c r="AE79" s="5"/>
      <c r="AF79" s="6"/>
      <c r="AG79" s="11">
        <v>42187</v>
      </c>
      <c r="AH79" s="12">
        <f t="shared" ca="1" si="10"/>
        <v>2015</v>
      </c>
      <c r="AI79" s="12">
        <f t="shared" ca="1" si="11"/>
        <v>7</v>
      </c>
      <c r="AJ79" s="12">
        <f t="shared" ca="1" si="12"/>
        <v>2</v>
      </c>
      <c r="AK79" s="8" t="s">
        <v>466</v>
      </c>
      <c r="AL79" s="8"/>
      <c r="AM79" s="5"/>
      <c r="AN79" s="5"/>
      <c r="AO79" s="11">
        <v>38960</v>
      </c>
      <c r="AP79" s="12">
        <f t="shared" ca="1" si="13"/>
        <v>2006</v>
      </c>
      <c r="AQ79" s="12">
        <f t="shared" ca="1" si="14"/>
        <v>8</v>
      </c>
      <c r="AR79" s="12">
        <f t="shared" ca="1" si="15"/>
        <v>31</v>
      </c>
      <c r="AS79" s="8" t="s">
        <v>467</v>
      </c>
      <c r="AT79" s="8"/>
      <c r="AU79" s="11">
        <v>41072</v>
      </c>
      <c r="AV79" s="12">
        <f t="shared" ca="1" si="16"/>
        <v>2012</v>
      </c>
      <c r="AW79" s="12">
        <f t="shared" ca="1" si="17"/>
        <v>6</v>
      </c>
      <c r="AX79" s="12">
        <f t="shared" ca="1" si="18"/>
        <v>12</v>
      </c>
      <c r="AY79" s="8" t="s">
        <v>468</v>
      </c>
      <c r="AZ79" s="8"/>
      <c r="BA79" s="6"/>
      <c r="BB79" s="12" t="str">
        <f t="shared" ca="1" si="19"/>
        <v>NA</v>
      </c>
      <c r="BC79" s="12" t="str">
        <f t="shared" ca="1" si="20"/>
        <v>NA</v>
      </c>
      <c r="BD79" s="12" t="str">
        <f t="shared" ca="1" si="21"/>
        <v>NA</v>
      </c>
      <c r="BE79" s="5"/>
      <c r="BF79" s="5"/>
      <c r="BG79" s="5"/>
      <c r="BH79" s="12" t="str">
        <f t="shared" ca="1" si="22"/>
        <v>NA</v>
      </c>
      <c r="BI79" s="12" t="str">
        <f t="shared" ca="1" si="23"/>
        <v>NA</v>
      </c>
      <c r="BJ79" s="12" t="str">
        <f t="shared" ca="1" si="24"/>
        <v>NA</v>
      </c>
      <c r="BK79" s="5"/>
      <c r="BL79" s="5"/>
      <c r="BM79" s="12" t="str">
        <f t="shared" ca="1" si="25"/>
        <v>NA</v>
      </c>
      <c r="BN79" s="12" t="str">
        <f t="shared" ca="1" si="26"/>
        <v>NA</v>
      </c>
      <c r="BO79" s="12" t="str">
        <f t="shared" ca="1" si="27"/>
        <v>NA</v>
      </c>
      <c r="BP79" s="5"/>
      <c r="BQ79" s="5"/>
      <c r="BR79" s="5"/>
      <c r="BS79" s="12" t="str">
        <f t="shared" ca="1" si="28"/>
        <v>NA</v>
      </c>
      <c r="BT79" s="12" t="str">
        <f t="shared" ca="1" si="29"/>
        <v>NA</v>
      </c>
      <c r="BU79" s="12" t="str">
        <f t="shared" ca="1" si="30"/>
        <v>NA</v>
      </c>
      <c r="BV79" s="5"/>
      <c r="BW79" s="5"/>
      <c r="BX79" s="12" t="str">
        <f t="shared" ca="1" si="31"/>
        <v>NA</v>
      </c>
      <c r="BY79" s="12" t="str">
        <f t="shared" ca="1" si="32"/>
        <v>NA</v>
      </c>
      <c r="BZ79" s="12" t="str">
        <f t="shared" ca="1" si="33"/>
        <v>NA</v>
      </c>
      <c r="CA79" s="5"/>
    </row>
    <row r="80" spans="1:79" ht="12.75" customHeight="1" x14ac:dyDescent="0.15">
      <c r="A80" s="4">
        <v>1133</v>
      </c>
      <c r="B80" s="5" t="s">
        <v>79</v>
      </c>
      <c r="C80" s="5" t="s">
        <v>79</v>
      </c>
      <c r="D80" s="6" t="s">
        <v>469</v>
      </c>
      <c r="E80" s="7">
        <v>597042</v>
      </c>
      <c r="F80" s="6" t="s">
        <v>470</v>
      </c>
      <c r="G80" s="8"/>
      <c r="H80" s="8"/>
      <c r="I80" s="8"/>
      <c r="J80" s="8"/>
      <c r="K80" s="8"/>
      <c r="L80" s="8" t="s">
        <v>82</v>
      </c>
      <c r="M80" s="7">
        <v>1065</v>
      </c>
      <c r="N80" s="7">
        <v>1061</v>
      </c>
      <c r="O80" s="13">
        <v>35472</v>
      </c>
      <c r="P80" s="10">
        <f t="shared" ca="1" si="0"/>
        <v>2.7777777777777779E-3</v>
      </c>
      <c r="Q80" s="5">
        <f t="shared" ca="1" si="1"/>
        <v>0</v>
      </c>
      <c r="R80" s="5">
        <f t="shared" ca="1" si="2"/>
        <v>1</v>
      </c>
      <c r="S80" s="7">
        <f t="shared" ca="1" si="3"/>
        <v>1997</v>
      </c>
      <c r="T80" s="7">
        <f t="shared" ca="1" si="4"/>
        <v>2</v>
      </c>
      <c r="U80" s="7">
        <f t="shared" ca="1" si="5"/>
        <v>11</v>
      </c>
      <c r="V80" s="6" t="s">
        <v>471</v>
      </c>
      <c r="W80" s="14" t="s">
        <v>96</v>
      </c>
      <c r="X80" s="15"/>
      <c r="Y80" s="5">
        <f t="shared" ca="1" si="6"/>
        <v>0</v>
      </c>
      <c r="Z80" s="6"/>
      <c r="AA80" s="12" t="str">
        <f t="shared" ca="1" si="7"/>
        <v>NA</v>
      </c>
      <c r="AB80" s="12" t="str">
        <f t="shared" ca="1" si="8"/>
        <v>NA</v>
      </c>
      <c r="AC80" s="12" t="str">
        <f t="shared" ca="1" si="9"/>
        <v>NA</v>
      </c>
      <c r="AD80" s="6"/>
      <c r="AE80" s="5"/>
      <c r="AF80" s="6"/>
      <c r="AG80" s="11">
        <v>35473</v>
      </c>
      <c r="AH80" s="12">
        <f t="shared" ca="1" si="10"/>
        <v>1997</v>
      </c>
      <c r="AI80" s="12">
        <f t="shared" ca="1" si="11"/>
        <v>2</v>
      </c>
      <c r="AJ80" s="12">
        <f t="shared" ca="1" si="12"/>
        <v>12</v>
      </c>
      <c r="AK80" s="8" t="s">
        <v>472</v>
      </c>
      <c r="AL80" s="8"/>
      <c r="AM80" s="5"/>
      <c r="AN80" s="5"/>
      <c r="AO80" s="5"/>
      <c r="AP80" s="12" t="str">
        <f t="shared" ca="1" si="13"/>
        <v>NA</v>
      </c>
      <c r="AQ80" s="12" t="str">
        <f t="shared" ca="1" si="14"/>
        <v>NA</v>
      </c>
      <c r="AR80" s="12" t="str">
        <f t="shared" ca="1" si="15"/>
        <v>NA</v>
      </c>
      <c r="AS80" s="5"/>
      <c r="AT80" s="5"/>
      <c r="AU80" s="5"/>
      <c r="AV80" s="12" t="str">
        <f t="shared" ca="1" si="16"/>
        <v>NA</v>
      </c>
      <c r="AW80" s="12" t="str">
        <f t="shared" ca="1" si="17"/>
        <v>NA</v>
      </c>
      <c r="AX80" s="12" t="str">
        <f t="shared" ca="1" si="18"/>
        <v>NA</v>
      </c>
      <c r="AY80" s="5"/>
      <c r="AZ80" s="5"/>
      <c r="BA80" s="6"/>
      <c r="BB80" s="12" t="str">
        <f t="shared" ca="1" si="19"/>
        <v>NA</v>
      </c>
      <c r="BC80" s="12" t="str">
        <f t="shared" ca="1" si="20"/>
        <v>NA</v>
      </c>
      <c r="BD80" s="12" t="str">
        <f t="shared" ca="1" si="21"/>
        <v>NA</v>
      </c>
      <c r="BE80" s="5"/>
      <c r="BF80" s="5"/>
      <c r="BG80" s="5"/>
      <c r="BH80" s="12" t="str">
        <f t="shared" ca="1" si="22"/>
        <v>NA</v>
      </c>
      <c r="BI80" s="12" t="str">
        <f t="shared" ca="1" si="23"/>
        <v>NA</v>
      </c>
      <c r="BJ80" s="12" t="str">
        <f t="shared" ca="1" si="24"/>
        <v>NA</v>
      </c>
      <c r="BK80" s="5"/>
      <c r="BL80" s="5"/>
      <c r="BM80" s="12" t="str">
        <f t="shared" ca="1" si="25"/>
        <v>NA</v>
      </c>
      <c r="BN80" s="12" t="str">
        <f t="shared" ca="1" si="26"/>
        <v>NA</v>
      </c>
      <c r="BO80" s="12" t="str">
        <f t="shared" ca="1" si="27"/>
        <v>NA</v>
      </c>
      <c r="BP80" s="5"/>
      <c r="BQ80" s="5"/>
      <c r="BR80" s="5"/>
      <c r="BS80" s="12" t="str">
        <f t="shared" ca="1" si="28"/>
        <v>NA</v>
      </c>
      <c r="BT80" s="12" t="str">
        <f t="shared" ca="1" si="29"/>
        <v>NA</v>
      </c>
      <c r="BU80" s="12" t="str">
        <f t="shared" ca="1" si="30"/>
        <v>NA</v>
      </c>
      <c r="BV80" s="5"/>
      <c r="BW80" s="5"/>
      <c r="BX80" s="12" t="str">
        <f t="shared" ca="1" si="31"/>
        <v>NA</v>
      </c>
      <c r="BY80" s="12" t="str">
        <f t="shared" ca="1" si="32"/>
        <v>NA</v>
      </c>
      <c r="BZ80" s="12" t="str">
        <f t="shared" ca="1" si="33"/>
        <v>NA</v>
      </c>
      <c r="CA80" s="5"/>
    </row>
    <row r="81" spans="1:79" ht="12.75" customHeight="1" x14ac:dyDescent="0.15">
      <c r="A81" s="4">
        <v>1134</v>
      </c>
      <c r="B81" s="5" t="s">
        <v>79</v>
      </c>
      <c r="C81" s="5" t="s">
        <v>79</v>
      </c>
      <c r="D81" s="6" t="s">
        <v>473</v>
      </c>
      <c r="E81" s="7">
        <v>597062</v>
      </c>
      <c r="F81" s="6" t="s">
        <v>474</v>
      </c>
      <c r="G81" s="8"/>
      <c r="H81" s="8"/>
      <c r="I81" s="8"/>
      <c r="J81" s="8"/>
      <c r="K81" s="8"/>
      <c r="L81" s="8" t="s">
        <v>82</v>
      </c>
      <c r="M81" s="7">
        <v>1017</v>
      </c>
      <c r="N81" s="7">
        <v>1060</v>
      </c>
      <c r="O81" s="13">
        <v>35481</v>
      </c>
      <c r="P81" s="10">
        <f t="shared" ca="1" si="0"/>
        <v>0.11388888888888889</v>
      </c>
      <c r="Q81" s="5">
        <f t="shared" ca="1" si="1"/>
        <v>1</v>
      </c>
      <c r="R81" s="5">
        <f t="shared" ca="1" si="2"/>
        <v>40</v>
      </c>
      <c r="S81" s="7">
        <f t="shared" ca="1" si="3"/>
        <v>1997</v>
      </c>
      <c r="T81" s="7">
        <f t="shared" ca="1" si="4"/>
        <v>2</v>
      </c>
      <c r="U81" s="7">
        <f t="shared" ca="1" si="5"/>
        <v>20</v>
      </c>
      <c r="V81" s="6" t="s">
        <v>475</v>
      </c>
      <c r="W81" s="14" t="s">
        <v>96</v>
      </c>
      <c r="X81" s="15"/>
      <c r="Y81" s="5">
        <f t="shared" ca="1" si="6"/>
        <v>0</v>
      </c>
      <c r="Z81" s="6"/>
      <c r="AA81" s="12" t="str">
        <f t="shared" ca="1" si="7"/>
        <v>NA</v>
      </c>
      <c r="AB81" s="12" t="str">
        <f t="shared" ca="1" si="8"/>
        <v>NA</v>
      </c>
      <c r="AC81" s="12" t="str">
        <f t="shared" ca="1" si="9"/>
        <v>NA</v>
      </c>
      <c r="AD81" s="6"/>
      <c r="AE81" s="5"/>
      <c r="AF81" s="6"/>
      <c r="AG81" s="11">
        <v>35521</v>
      </c>
      <c r="AH81" s="12">
        <f t="shared" ca="1" si="10"/>
        <v>1997</v>
      </c>
      <c r="AI81" s="12">
        <f t="shared" ca="1" si="11"/>
        <v>4</v>
      </c>
      <c r="AJ81" s="12">
        <f t="shared" ca="1" si="12"/>
        <v>1</v>
      </c>
      <c r="AK81" s="8" t="s">
        <v>476</v>
      </c>
      <c r="AL81" s="8"/>
      <c r="AM81" s="5"/>
      <c r="AN81" s="5"/>
      <c r="AO81" s="5"/>
      <c r="AP81" s="12" t="str">
        <f t="shared" ca="1" si="13"/>
        <v>NA</v>
      </c>
      <c r="AQ81" s="12" t="str">
        <f t="shared" ca="1" si="14"/>
        <v>NA</v>
      </c>
      <c r="AR81" s="12" t="str">
        <f t="shared" ca="1" si="15"/>
        <v>NA</v>
      </c>
      <c r="AS81" s="5"/>
      <c r="AT81" s="5"/>
      <c r="AU81" s="5"/>
      <c r="AV81" s="12" t="str">
        <f t="shared" ca="1" si="16"/>
        <v>NA</v>
      </c>
      <c r="AW81" s="12" t="str">
        <f t="shared" ca="1" si="17"/>
        <v>NA</v>
      </c>
      <c r="AX81" s="12" t="str">
        <f t="shared" ca="1" si="18"/>
        <v>NA</v>
      </c>
      <c r="AY81" s="5"/>
      <c r="AZ81" s="5"/>
      <c r="BA81" s="6"/>
      <c r="BB81" s="12" t="str">
        <f t="shared" ca="1" si="19"/>
        <v>NA</v>
      </c>
      <c r="BC81" s="12" t="str">
        <f t="shared" ca="1" si="20"/>
        <v>NA</v>
      </c>
      <c r="BD81" s="12" t="str">
        <f t="shared" ca="1" si="21"/>
        <v>NA</v>
      </c>
      <c r="BE81" s="5"/>
      <c r="BF81" s="5"/>
      <c r="BG81" s="5"/>
      <c r="BH81" s="12" t="str">
        <f t="shared" ca="1" si="22"/>
        <v>NA</v>
      </c>
      <c r="BI81" s="12" t="str">
        <f t="shared" ca="1" si="23"/>
        <v>NA</v>
      </c>
      <c r="BJ81" s="12" t="str">
        <f t="shared" ca="1" si="24"/>
        <v>NA</v>
      </c>
      <c r="BK81" s="5"/>
      <c r="BL81" s="5"/>
      <c r="BM81" s="12" t="str">
        <f t="shared" ca="1" si="25"/>
        <v>NA</v>
      </c>
      <c r="BN81" s="12" t="str">
        <f t="shared" ca="1" si="26"/>
        <v>NA</v>
      </c>
      <c r="BO81" s="12" t="str">
        <f t="shared" ca="1" si="27"/>
        <v>NA</v>
      </c>
      <c r="BP81" s="5"/>
      <c r="BQ81" s="5"/>
      <c r="BR81" s="5"/>
      <c r="BS81" s="12" t="str">
        <f t="shared" ca="1" si="28"/>
        <v>NA</v>
      </c>
      <c r="BT81" s="12" t="str">
        <f t="shared" ca="1" si="29"/>
        <v>NA</v>
      </c>
      <c r="BU81" s="12" t="str">
        <f t="shared" ca="1" si="30"/>
        <v>NA</v>
      </c>
      <c r="BV81" s="5"/>
      <c r="BW81" s="5"/>
      <c r="BX81" s="12" t="str">
        <f t="shared" ca="1" si="31"/>
        <v>NA</v>
      </c>
      <c r="BY81" s="12" t="str">
        <f t="shared" ca="1" si="32"/>
        <v>NA</v>
      </c>
      <c r="BZ81" s="12" t="str">
        <f t="shared" ca="1" si="33"/>
        <v>NA</v>
      </c>
      <c r="CA81" s="5"/>
    </row>
    <row r="82" spans="1:79" ht="12.75" customHeight="1" x14ac:dyDescent="0.15">
      <c r="A82" s="4">
        <v>1135</v>
      </c>
      <c r="B82" s="5" t="s">
        <v>79</v>
      </c>
      <c r="C82" s="5" t="s">
        <v>79</v>
      </c>
      <c r="D82" s="6" t="s">
        <v>477</v>
      </c>
      <c r="E82" s="7">
        <v>597063</v>
      </c>
      <c r="F82" s="6" t="s">
        <v>478</v>
      </c>
      <c r="G82" s="8"/>
      <c r="H82" s="8"/>
      <c r="I82" s="8"/>
      <c r="J82" s="8"/>
      <c r="K82" s="8"/>
      <c r="L82" s="8" t="s">
        <v>82</v>
      </c>
      <c r="M82" s="7">
        <v>1017</v>
      </c>
      <c r="N82" s="7">
        <v>1060</v>
      </c>
      <c r="O82" s="13">
        <v>35481</v>
      </c>
      <c r="P82" s="10">
        <f t="shared" ca="1" si="0"/>
        <v>17.100000000000001</v>
      </c>
      <c r="Q82" s="5">
        <f t="shared" ca="1" si="1"/>
        <v>205</v>
      </c>
      <c r="R82" s="5">
        <f t="shared" ca="1" si="2"/>
        <v>6243</v>
      </c>
      <c r="S82" s="7">
        <f t="shared" ca="1" si="3"/>
        <v>1997</v>
      </c>
      <c r="T82" s="7">
        <f t="shared" ca="1" si="4"/>
        <v>2</v>
      </c>
      <c r="U82" s="7">
        <f t="shared" ca="1" si="5"/>
        <v>20</v>
      </c>
      <c r="V82" s="6" t="s">
        <v>479</v>
      </c>
      <c r="W82" s="14" t="s">
        <v>96</v>
      </c>
      <c r="X82" s="15"/>
      <c r="Y82" s="5">
        <f t="shared" ca="1" si="6"/>
        <v>4</v>
      </c>
      <c r="Z82" s="6"/>
      <c r="AA82" s="12" t="str">
        <f t="shared" ca="1" si="7"/>
        <v>NA</v>
      </c>
      <c r="AB82" s="12" t="str">
        <f t="shared" ca="1" si="8"/>
        <v>NA</v>
      </c>
      <c r="AC82" s="12" t="str">
        <f t="shared" ca="1" si="9"/>
        <v>NA</v>
      </c>
      <c r="AD82" s="6"/>
      <c r="AE82" s="5"/>
      <c r="AF82" s="6"/>
      <c r="AG82" s="11">
        <v>41724</v>
      </c>
      <c r="AH82" s="12">
        <f t="shared" ca="1" si="10"/>
        <v>2014</v>
      </c>
      <c r="AI82" s="12">
        <f t="shared" ca="1" si="11"/>
        <v>3</v>
      </c>
      <c r="AJ82" s="12">
        <f t="shared" ca="1" si="12"/>
        <v>26</v>
      </c>
      <c r="AK82" s="8" t="s">
        <v>480</v>
      </c>
      <c r="AL82" s="8"/>
      <c r="AM82" s="5"/>
      <c r="AN82" s="5"/>
      <c r="AO82" s="19">
        <v>37308</v>
      </c>
      <c r="AP82" s="12">
        <f t="shared" ca="1" si="13"/>
        <v>2002</v>
      </c>
      <c r="AQ82" s="12">
        <f t="shared" ca="1" si="14"/>
        <v>2</v>
      </c>
      <c r="AR82" s="12">
        <f t="shared" ca="1" si="15"/>
        <v>21</v>
      </c>
      <c r="AS82" s="6" t="s">
        <v>481</v>
      </c>
      <c r="AT82" s="20" t="s">
        <v>84</v>
      </c>
      <c r="AU82" s="11">
        <v>37825</v>
      </c>
      <c r="AV82" s="12">
        <f t="shared" ca="1" si="16"/>
        <v>2003</v>
      </c>
      <c r="AW82" s="12">
        <f t="shared" ca="1" si="17"/>
        <v>7</v>
      </c>
      <c r="AX82" s="12">
        <f t="shared" ca="1" si="18"/>
        <v>23</v>
      </c>
      <c r="AY82" s="8" t="s">
        <v>482</v>
      </c>
      <c r="AZ82" s="8"/>
      <c r="BA82" s="11">
        <v>39994</v>
      </c>
      <c r="BB82" s="12">
        <f t="shared" ca="1" si="19"/>
        <v>2009</v>
      </c>
      <c r="BC82" s="12">
        <f t="shared" ca="1" si="20"/>
        <v>6</v>
      </c>
      <c r="BD82" s="12">
        <f t="shared" ca="1" si="21"/>
        <v>30</v>
      </c>
      <c r="BE82" s="8" t="s">
        <v>483</v>
      </c>
      <c r="BF82" s="8"/>
      <c r="BG82" s="11">
        <v>40828</v>
      </c>
      <c r="BH82" s="12">
        <f t="shared" ca="1" si="22"/>
        <v>2011</v>
      </c>
      <c r="BI82" s="12">
        <f t="shared" ca="1" si="23"/>
        <v>10</v>
      </c>
      <c r="BJ82" s="12">
        <f t="shared" ca="1" si="24"/>
        <v>12</v>
      </c>
      <c r="BK82" s="8" t="s">
        <v>484</v>
      </c>
      <c r="BL82" s="5"/>
      <c r="BM82" s="12" t="str">
        <f t="shared" ca="1" si="25"/>
        <v>NA</v>
      </c>
      <c r="BN82" s="12" t="str">
        <f t="shared" ca="1" si="26"/>
        <v>NA</v>
      </c>
      <c r="BO82" s="12" t="str">
        <f t="shared" ca="1" si="27"/>
        <v>NA</v>
      </c>
      <c r="BP82" s="5"/>
      <c r="BQ82" s="5"/>
      <c r="BR82" s="5"/>
      <c r="BS82" s="12" t="str">
        <f t="shared" ca="1" si="28"/>
        <v>NA</v>
      </c>
      <c r="BT82" s="12" t="str">
        <f t="shared" ca="1" si="29"/>
        <v>NA</v>
      </c>
      <c r="BU82" s="12" t="str">
        <f t="shared" ca="1" si="30"/>
        <v>NA</v>
      </c>
      <c r="BV82" s="5"/>
      <c r="BW82" s="5"/>
      <c r="BX82" s="12" t="str">
        <f t="shared" ca="1" si="31"/>
        <v>NA</v>
      </c>
      <c r="BY82" s="12" t="str">
        <f t="shared" ca="1" si="32"/>
        <v>NA</v>
      </c>
      <c r="BZ82" s="12" t="str">
        <f t="shared" ca="1" si="33"/>
        <v>NA</v>
      </c>
      <c r="CA82" s="5"/>
    </row>
    <row r="83" spans="1:79" ht="12.75" customHeight="1" x14ac:dyDescent="0.15">
      <c r="A83" s="4">
        <v>1136</v>
      </c>
      <c r="B83" s="5" t="s">
        <v>79</v>
      </c>
      <c r="C83" s="5" t="s">
        <v>79</v>
      </c>
      <c r="D83" s="6" t="s">
        <v>485</v>
      </c>
      <c r="E83" s="7">
        <v>920144</v>
      </c>
      <c r="F83" s="6" t="s">
        <v>486</v>
      </c>
      <c r="G83" s="8"/>
      <c r="H83" s="8"/>
      <c r="I83" s="8"/>
      <c r="J83" s="8"/>
      <c r="K83" s="8"/>
      <c r="L83" s="8" t="s">
        <v>82</v>
      </c>
      <c r="M83" s="7">
        <v>1064</v>
      </c>
      <c r="N83" s="7">
        <v>1043</v>
      </c>
      <c r="O83" s="13">
        <v>33693</v>
      </c>
      <c r="P83" s="10">
        <f t="shared" ca="1" si="0"/>
        <v>0</v>
      </c>
      <c r="Q83" s="5">
        <f t="shared" ca="1" si="1"/>
        <v>0</v>
      </c>
      <c r="R83" s="5">
        <f t="shared" ca="1" si="2"/>
        <v>0</v>
      </c>
      <c r="S83" s="7">
        <f t="shared" ca="1" si="3"/>
        <v>1992</v>
      </c>
      <c r="T83" s="7">
        <f t="shared" ca="1" si="4"/>
        <v>3</v>
      </c>
      <c r="U83" s="7">
        <f t="shared" ca="1" si="5"/>
        <v>30</v>
      </c>
      <c r="V83" s="6" t="s">
        <v>487</v>
      </c>
      <c r="W83" s="14" t="s">
        <v>96</v>
      </c>
      <c r="X83" s="15"/>
      <c r="Y83" s="5">
        <f t="shared" ca="1" si="6"/>
        <v>0</v>
      </c>
      <c r="Z83" s="6"/>
      <c r="AA83" s="12" t="str">
        <f t="shared" ca="1" si="7"/>
        <v>NA</v>
      </c>
      <c r="AB83" s="12" t="str">
        <f t="shared" ca="1" si="8"/>
        <v>NA</v>
      </c>
      <c r="AC83" s="12" t="str">
        <f t="shared" ca="1" si="9"/>
        <v>NA</v>
      </c>
      <c r="AD83" s="6"/>
      <c r="AE83" s="5"/>
      <c r="AF83" s="6"/>
      <c r="AG83" s="11">
        <v>33693</v>
      </c>
      <c r="AH83" s="12">
        <f t="shared" ca="1" si="10"/>
        <v>1992</v>
      </c>
      <c r="AI83" s="12">
        <f t="shared" ca="1" si="11"/>
        <v>3</v>
      </c>
      <c r="AJ83" s="12">
        <f t="shared" ca="1" si="12"/>
        <v>30</v>
      </c>
      <c r="AK83" s="8" t="s">
        <v>488</v>
      </c>
      <c r="AL83" s="8"/>
      <c r="AM83" s="5"/>
      <c r="AN83" s="5"/>
      <c r="AO83" s="5"/>
      <c r="AP83" s="12" t="str">
        <f t="shared" ca="1" si="13"/>
        <v>NA</v>
      </c>
      <c r="AQ83" s="12" t="str">
        <f t="shared" ca="1" si="14"/>
        <v>NA</v>
      </c>
      <c r="AR83" s="12" t="str">
        <f t="shared" ca="1" si="15"/>
        <v>NA</v>
      </c>
      <c r="AS83" s="5"/>
      <c r="AT83" s="5"/>
      <c r="AU83" s="5"/>
      <c r="AV83" s="12" t="str">
        <f t="shared" ca="1" si="16"/>
        <v>NA</v>
      </c>
      <c r="AW83" s="12" t="str">
        <f t="shared" ca="1" si="17"/>
        <v>NA</v>
      </c>
      <c r="AX83" s="12" t="str">
        <f t="shared" ca="1" si="18"/>
        <v>NA</v>
      </c>
      <c r="AY83" s="5"/>
      <c r="AZ83" s="5"/>
      <c r="BA83" s="6"/>
      <c r="BB83" s="12" t="str">
        <f t="shared" ca="1" si="19"/>
        <v>NA</v>
      </c>
      <c r="BC83" s="12" t="str">
        <f t="shared" ca="1" si="20"/>
        <v>NA</v>
      </c>
      <c r="BD83" s="12" t="str">
        <f t="shared" ca="1" si="21"/>
        <v>NA</v>
      </c>
      <c r="BE83" s="5"/>
      <c r="BF83" s="5"/>
      <c r="BG83" s="5"/>
      <c r="BH83" s="12" t="str">
        <f t="shared" ca="1" si="22"/>
        <v>NA</v>
      </c>
      <c r="BI83" s="12" t="str">
        <f t="shared" ca="1" si="23"/>
        <v>NA</v>
      </c>
      <c r="BJ83" s="12" t="str">
        <f t="shared" ca="1" si="24"/>
        <v>NA</v>
      </c>
      <c r="BK83" s="5"/>
      <c r="BL83" s="5"/>
      <c r="BM83" s="12" t="str">
        <f t="shared" ca="1" si="25"/>
        <v>NA</v>
      </c>
      <c r="BN83" s="12" t="str">
        <f t="shared" ca="1" si="26"/>
        <v>NA</v>
      </c>
      <c r="BO83" s="12" t="str">
        <f t="shared" ca="1" si="27"/>
        <v>NA</v>
      </c>
      <c r="BP83" s="5"/>
      <c r="BQ83" s="5"/>
      <c r="BR83" s="5"/>
      <c r="BS83" s="12" t="str">
        <f t="shared" ca="1" si="28"/>
        <v>NA</v>
      </c>
      <c r="BT83" s="12" t="str">
        <f t="shared" ca="1" si="29"/>
        <v>NA</v>
      </c>
      <c r="BU83" s="12" t="str">
        <f t="shared" ca="1" si="30"/>
        <v>NA</v>
      </c>
      <c r="BV83" s="5"/>
      <c r="BW83" s="5"/>
      <c r="BX83" s="12" t="str">
        <f t="shared" ca="1" si="31"/>
        <v>NA</v>
      </c>
      <c r="BY83" s="12" t="str">
        <f t="shared" ca="1" si="32"/>
        <v>NA</v>
      </c>
      <c r="BZ83" s="12" t="str">
        <f t="shared" ca="1" si="33"/>
        <v>NA</v>
      </c>
      <c r="CA83" s="5"/>
    </row>
    <row r="84" spans="1:79" ht="12.75" customHeight="1" x14ac:dyDescent="0.15">
      <c r="A84" s="4">
        <v>1137</v>
      </c>
      <c r="B84" s="5" t="s">
        <v>79</v>
      </c>
      <c r="C84" s="5" t="s">
        <v>79</v>
      </c>
      <c r="D84" s="6" t="s">
        <v>489</v>
      </c>
      <c r="E84" s="7">
        <v>920145</v>
      </c>
      <c r="F84" s="6" t="s">
        <v>490</v>
      </c>
      <c r="G84" s="8"/>
      <c r="H84" s="8"/>
      <c r="I84" s="8"/>
      <c r="J84" s="8"/>
      <c r="K84" s="8"/>
      <c r="L84" s="8" t="s">
        <v>82</v>
      </c>
      <c r="M84" s="7">
        <v>1064</v>
      </c>
      <c r="N84" s="7">
        <v>1043</v>
      </c>
      <c r="O84" s="13">
        <v>33693</v>
      </c>
      <c r="P84" s="10">
        <f t="shared" ca="1" si="0"/>
        <v>0</v>
      </c>
      <c r="Q84" s="5">
        <f t="shared" ca="1" si="1"/>
        <v>0</v>
      </c>
      <c r="R84" s="5">
        <f t="shared" ca="1" si="2"/>
        <v>0</v>
      </c>
      <c r="S84" s="7">
        <f t="shared" ca="1" si="3"/>
        <v>1992</v>
      </c>
      <c r="T84" s="7">
        <f t="shared" ca="1" si="4"/>
        <v>3</v>
      </c>
      <c r="U84" s="7">
        <f t="shared" ca="1" si="5"/>
        <v>30</v>
      </c>
      <c r="V84" s="6" t="s">
        <v>491</v>
      </c>
      <c r="W84" s="14" t="s">
        <v>96</v>
      </c>
      <c r="X84" s="15"/>
      <c r="Y84" s="5">
        <f t="shared" ca="1" si="6"/>
        <v>0</v>
      </c>
      <c r="Z84" s="6"/>
      <c r="AA84" s="12" t="str">
        <f t="shared" ca="1" si="7"/>
        <v>NA</v>
      </c>
      <c r="AB84" s="12" t="str">
        <f t="shared" ca="1" si="8"/>
        <v>NA</v>
      </c>
      <c r="AC84" s="12" t="str">
        <f t="shared" ca="1" si="9"/>
        <v>NA</v>
      </c>
      <c r="AD84" s="6"/>
      <c r="AE84" s="5"/>
      <c r="AF84" s="6"/>
      <c r="AG84" s="11">
        <v>33693</v>
      </c>
      <c r="AH84" s="12">
        <f t="shared" ca="1" si="10"/>
        <v>1992</v>
      </c>
      <c r="AI84" s="12">
        <f t="shared" ca="1" si="11"/>
        <v>3</v>
      </c>
      <c r="AJ84" s="12">
        <f t="shared" ca="1" si="12"/>
        <v>30</v>
      </c>
      <c r="AK84" s="8" t="s">
        <v>492</v>
      </c>
      <c r="AL84" s="8"/>
      <c r="AM84" s="5"/>
      <c r="AN84" s="5"/>
      <c r="AO84" s="5"/>
      <c r="AP84" s="12" t="str">
        <f t="shared" ca="1" si="13"/>
        <v>NA</v>
      </c>
      <c r="AQ84" s="12" t="str">
        <f t="shared" ca="1" si="14"/>
        <v>NA</v>
      </c>
      <c r="AR84" s="12" t="str">
        <f t="shared" ca="1" si="15"/>
        <v>NA</v>
      </c>
      <c r="AS84" s="5"/>
      <c r="AT84" s="5"/>
      <c r="AU84" s="5"/>
      <c r="AV84" s="12" t="str">
        <f t="shared" ca="1" si="16"/>
        <v>NA</v>
      </c>
      <c r="AW84" s="12" t="str">
        <f t="shared" ca="1" si="17"/>
        <v>NA</v>
      </c>
      <c r="AX84" s="12" t="str">
        <f t="shared" ca="1" si="18"/>
        <v>NA</v>
      </c>
      <c r="AY84" s="5"/>
      <c r="AZ84" s="5"/>
      <c r="BA84" s="6"/>
      <c r="BB84" s="12" t="str">
        <f t="shared" ca="1" si="19"/>
        <v>NA</v>
      </c>
      <c r="BC84" s="12" t="str">
        <f t="shared" ca="1" si="20"/>
        <v>NA</v>
      </c>
      <c r="BD84" s="12" t="str">
        <f t="shared" ca="1" si="21"/>
        <v>NA</v>
      </c>
      <c r="BE84" s="5"/>
      <c r="BF84" s="5"/>
      <c r="BG84" s="5"/>
      <c r="BH84" s="12" t="str">
        <f t="shared" ca="1" si="22"/>
        <v>NA</v>
      </c>
      <c r="BI84" s="12" t="str">
        <f t="shared" ca="1" si="23"/>
        <v>NA</v>
      </c>
      <c r="BJ84" s="12" t="str">
        <f t="shared" ca="1" si="24"/>
        <v>NA</v>
      </c>
      <c r="BK84" s="5"/>
      <c r="BL84" s="5"/>
      <c r="BM84" s="12" t="str">
        <f t="shared" ca="1" si="25"/>
        <v>NA</v>
      </c>
      <c r="BN84" s="12" t="str">
        <f t="shared" ca="1" si="26"/>
        <v>NA</v>
      </c>
      <c r="BO84" s="12" t="str">
        <f t="shared" ca="1" si="27"/>
        <v>NA</v>
      </c>
      <c r="BP84" s="5"/>
      <c r="BQ84" s="5"/>
      <c r="BR84" s="5"/>
      <c r="BS84" s="12" t="str">
        <f t="shared" ca="1" si="28"/>
        <v>NA</v>
      </c>
      <c r="BT84" s="12" t="str">
        <f t="shared" ca="1" si="29"/>
        <v>NA</v>
      </c>
      <c r="BU84" s="12" t="str">
        <f t="shared" ca="1" si="30"/>
        <v>NA</v>
      </c>
      <c r="BV84" s="5"/>
      <c r="BW84" s="5"/>
      <c r="BX84" s="12" t="str">
        <f t="shared" ca="1" si="31"/>
        <v>NA</v>
      </c>
      <c r="BY84" s="12" t="str">
        <f t="shared" ca="1" si="32"/>
        <v>NA</v>
      </c>
      <c r="BZ84" s="12" t="str">
        <f t="shared" ca="1" si="33"/>
        <v>NA</v>
      </c>
      <c r="CA84" s="5"/>
    </row>
    <row r="85" spans="1:79" ht="12.75" customHeight="1" x14ac:dyDescent="0.15">
      <c r="A85" s="4">
        <v>1138</v>
      </c>
      <c r="B85" s="5" t="s">
        <v>79</v>
      </c>
      <c r="C85" s="5" t="s">
        <v>79</v>
      </c>
      <c r="D85" s="6" t="s">
        <v>493</v>
      </c>
      <c r="E85" s="7">
        <v>980591</v>
      </c>
      <c r="F85" s="6" t="s">
        <v>494</v>
      </c>
      <c r="G85" s="8"/>
      <c r="H85" s="8"/>
      <c r="I85" s="8"/>
      <c r="J85" s="8"/>
      <c r="K85" s="8"/>
      <c r="L85" s="8" t="s">
        <v>82</v>
      </c>
      <c r="M85" s="7">
        <v>1078</v>
      </c>
      <c r="N85" s="7">
        <v>1088</v>
      </c>
      <c r="O85" s="13">
        <v>35931</v>
      </c>
      <c r="P85" s="10">
        <f t="shared" ca="1" si="0"/>
        <v>11.863888888888889</v>
      </c>
      <c r="Q85" s="5">
        <f t="shared" ca="1" si="1"/>
        <v>142</v>
      </c>
      <c r="R85" s="5">
        <f t="shared" ca="1" si="2"/>
        <v>4333</v>
      </c>
      <c r="S85" s="7">
        <f t="shared" ca="1" si="3"/>
        <v>1998</v>
      </c>
      <c r="T85" s="7">
        <f t="shared" ca="1" si="4"/>
        <v>5</v>
      </c>
      <c r="U85" s="7">
        <f t="shared" ca="1" si="5"/>
        <v>16</v>
      </c>
      <c r="V85" s="6" t="s">
        <v>495</v>
      </c>
      <c r="W85" s="14" t="s">
        <v>96</v>
      </c>
      <c r="X85" s="15"/>
      <c r="Y85" s="5">
        <f t="shared" ca="1" si="6"/>
        <v>0</v>
      </c>
      <c r="Z85" s="6"/>
      <c r="AA85" s="12" t="str">
        <f t="shared" ca="1" si="7"/>
        <v>NA</v>
      </c>
      <c r="AB85" s="12" t="str">
        <f t="shared" ca="1" si="8"/>
        <v>NA</v>
      </c>
      <c r="AC85" s="12" t="str">
        <f t="shared" ca="1" si="9"/>
        <v>NA</v>
      </c>
      <c r="AD85" s="6"/>
      <c r="AE85" s="5"/>
      <c r="AF85" s="6"/>
      <c r="AG85" s="11">
        <v>40264</v>
      </c>
      <c r="AH85" s="12">
        <f t="shared" ca="1" si="10"/>
        <v>2010</v>
      </c>
      <c r="AI85" s="12">
        <f t="shared" ca="1" si="11"/>
        <v>3</v>
      </c>
      <c r="AJ85" s="12">
        <f t="shared" ca="1" si="12"/>
        <v>27</v>
      </c>
      <c r="AK85" s="8" t="s">
        <v>496</v>
      </c>
      <c r="AL85" s="8"/>
      <c r="AM85" s="5"/>
      <c r="AN85" s="5"/>
      <c r="AO85" s="5"/>
      <c r="AP85" s="12" t="str">
        <f t="shared" ca="1" si="13"/>
        <v>NA</v>
      </c>
      <c r="AQ85" s="12" t="str">
        <f t="shared" ca="1" si="14"/>
        <v>NA</v>
      </c>
      <c r="AR85" s="12" t="str">
        <f t="shared" ca="1" si="15"/>
        <v>NA</v>
      </c>
      <c r="AS85" s="5"/>
      <c r="AT85" s="5"/>
      <c r="AU85" s="5"/>
      <c r="AV85" s="12" t="str">
        <f t="shared" ca="1" si="16"/>
        <v>NA</v>
      </c>
      <c r="AW85" s="12" t="str">
        <f t="shared" ca="1" si="17"/>
        <v>NA</v>
      </c>
      <c r="AX85" s="12" t="str">
        <f t="shared" ca="1" si="18"/>
        <v>NA</v>
      </c>
      <c r="AY85" s="5"/>
      <c r="AZ85" s="5"/>
      <c r="BA85" s="6"/>
      <c r="BB85" s="12" t="str">
        <f t="shared" ca="1" si="19"/>
        <v>NA</v>
      </c>
      <c r="BC85" s="12" t="str">
        <f t="shared" ca="1" si="20"/>
        <v>NA</v>
      </c>
      <c r="BD85" s="12" t="str">
        <f t="shared" ca="1" si="21"/>
        <v>NA</v>
      </c>
      <c r="BE85" s="5"/>
      <c r="BF85" s="5"/>
      <c r="BG85" s="5"/>
      <c r="BH85" s="12" t="str">
        <f t="shared" ca="1" si="22"/>
        <v>NA</v>
      </c>
      <c r="BI85" s="12" t="str">
        <f t="shared" ca="1" si="23"/>
        <v>NA</v>
      </c>
      <c r="BJ85" s="12" t="str">
        <f t="shared" ca="1" si="24"/>
        <v>NA</v>
      </c>
      <c r="BK85" s="5"/>
      <c r="BL85" s="5"/>
      <c r="BM85" s="12" t="str">
        <f t="shared" ca="1" si="25"/>
        <v>NA</v>
      </c>
      <c r="BN85" s="12" t="str">
        <f t="shared" ca="1" si="26"/>
        <v>NA</v>
      </c>
      <c r="BO85" s="12" t="str">
        <f t="shared" ca="1" si="27"/>
        <v>NA</v>
      </c>
      <c r="BP85" s="5"/>
      <c r="BQ85" s="5"/>
      <c r="BR85" s="5"/>
      <c r="BS85" s="12" t="str">
        <f t="shared" ca="1" si="28"/>
        <v>NA</v>
      </c>
      <c r="BT85" s="12" t="str">
        <f t="shared" ca="1" si="29"/>
        <v>NA</v>
      </c>
      <c r="BU85" s="12" t="str">
        <f t="shared" ca="1" si="30"/>
        <v>NA</v>
      </c>
      <c r="BV85" s="5"/>
      <c r="BW85" s="5"/>
      <c r="BX85" s="12" t="str">
        <f t="shared" ca="1" si="31"/>
        <v>NA</v>
      </c>
      <c r="BY85" s="12" t="str">
        <f t="shared" ca="1" si="32"/>
        <v>NA</v>
      </c>
      <c r="BZ85" s="12" t="str">
        <f t="shared" ca="1" si="33"/>
        <v>NA</v>
      </c>
      <c r="CA85" s="5"/>
    </row>
    <row r="86" spans="1:79" ht="12.75" customHeight="1" x14ac:dyDescent="0.15">
      <c r="A86" s="4">
        <v>1139</v>
      </c>
      <c r="B86" s="5" t="s">
        <v>79</v>
      </c>
      <c r="C86" s="5" t="s">
        <v>79</v>
      </c>
      <c r="D86" s="6" t="s">
        <v>497</v>
      </c>
      <c r="E86" s="7">
        <v>980592</v>
      </c>
      <c r="F86" s="6" t="s">
        <v>498</v>
      </c>
      <c r="G86" s="8"/>
      <c r="H86" s="8"/>
      <c r="I86" s="8"/>
      <c r="J86" s="8"/>
      <c r="K86" s="8"/>
      <c r="L86" s="8" t="s">
        <v>82</v>
      </c>
      <c r="M86" s="7">
        <v>1078</v>
      </c>
      <c r="N86" s="7">
        <v>1088</v>
      </c>
      <c r="O86" s="13">
        <v>35931</v>
      </c>
      <c r="P86" s="10">
        <f t="shared" ca="1" si="0"/>
        <v>8.1277777777777782</v>
      </c>
      <c r="Q86" s="5">
        <f t="shared" ca="1" si="1"/>
        <v>97</v>
      </c>
      <c r="R86" s="5">
        <f t="shared" ca="1" si="2"/>
        <v>2969</v>
      </c>
      <c r="S86" s="7">
        <f t="shared" ca="1" si="3"/>
        <v>1998</v>
      </c>
      <c r="T86" s="7">
        <f t="shared" ca="1" si="4"/>
        <v>5</v>
      </c>
      <c r="U86" s="7">
        <f t="shared" ca="1" si="5"/>
        <v>16</v>
      </c>
      <c r="V86" s="6" t="s">
        <v>499</v>
      </c>
      <c r="W86" s="14" t="s">
        <v>96</v>
      </c>
      <c r="X86" s="15"/>
      <c r="Y86" s="5">
        <f t="shared" ca="1" si="6"/>
        <v>0</v>
      </c>
      <c r="Z86" s="6"/>
      <c r="AA86" s="12" t="str">
        <f t="shared" ca="1" si="7"/>
        <v>NA</v>
      </c>
      <c r="AB86" s="12" t="str">
        <f t="shared" ca="1" si="8"/>
        <v>NA</v>
      </c>
      <c r="AC86" s="12" t="str">
        <f t="shared" ca="1" si="9"/>
        <v>NA</v>
      </c>
      <c r="AD86" s="6"/>
      <c r="AE86" s="5"/>
      <c r="AF86" s="6"/>
      <c r="AG86" s="11">
        <v>38900</v>
      </c>
      <c r="AH86" s="12">
        <f t="shared" ca="1" si="10"/>
        <v>2006</v>
      </c>
      <c r="AI86" s="12">
        <f t="shared" ca="1" si="11"/>
        <v>7</v>
      </c>
      <c r="AJ86" s="12">
        <f t="shared" ca="1" si="12"/>
        <v>2</v>
      </c>
      <c r="AK86" s="8" t="s">
        <v>500</v>
      </c>
      <c r="AL86" s="8"/>
      <c r="AM86" s="5"/>
      <c r="AN86" s="5"/>
      <c r="AO86" s="5"/>
      <c r="AP86" s="12" t="str">
        <f t="shared" ca="1" si="13"/>
        <v>NA</v>
      </c>
      <c r="AQ86" s="12" t="str">
        <f t="shared" ca="1" si="14"/>
        <v>NA</v>
      </c>
      <c r="AR86" s="12" t="str">
        <f t="shared" ca="1" si="15"/>
        <v>NA</v>
      </c>
      <c r="AS86" s="5"/>
      <c r="AT86" s="5"/>
      <c r="AU86" s="5"/>
      <c r="AV86" s="12" t="str">
        <f t="shared" ca="1" si="16"/>
        <v>NA</v>
      </c>
      <c r="AW86" s="12" t="str">
        <f t="shared" ca="1" si="17"/>
        <v>NA</v>
      </c>
      <c r="AX86" s="12" t="str">
        <f t="shared" ca="1" si="18"/>
        <v>NA</v>
      </c>
      <c r="AY86" s="5"/>
      <c r="AZ86" s="5"/>
      <c r="BA86" s="6"/>
      <c r="BB86" s="12" t="str">
        <f t="shared" ca="1" si="19"/>
        <v>NA</v>
      </c>
      <c r="BC86" s="12" t="str">
        <f t="shared" ca="1" si="20"/>
        <v>NA</v>
      </c>
      <c r="BD86" s="12" t="str">
        <f t="shared" ca="1" si="21"/>
        <v>NA</v>
      </c>
      <c r="BE86" s="5"/>
      <c r="BF86" s="5"/>
      <c r="BG86" s="5"/>
      <c r="BH86" s="12" t="str">
        <f t="shared" ca="1" si="22"/>
        <v>NA</v>
      </c>
      <c r="BI86" s="12" t="str">
        <f t="shared" ca="1" si="23"/>
        <v>NA</v>
      </c>
      <c r="BJ86" s="12" t="str">
        <f t="shared" ca="1" si="24"/>
        <v>NA</v>
      </c>
      <c r="BK86" s="5"/>
      <c r="BL86" s="5"/>
      <c r="BM86" s="12" t="str">
        <f t="shared" ca="1" si="25"/>
        <v>NA</v>
      </c>
      <c r="BN86" s="12" t="str">
        <f t="shared" ca="1" si="26"/>
        <v>NA</v>
      </c>
      <c r="BO86" s="12" t="str">
        <f t="shared" ca="1" si="27"/>
        <v>NA</v>
      </c>
      <c r="BP86" s="5"/>
      <c r="BQ86" s="5"/>
      <c r="BR86" s="5"/>
      <c r="BS86" s="12" t="str">
        <f t="shared" ca="1" si="28"/>
        <v>NA</v>
      </c>
      <c r="BT86" s="12" t="str">
        <f t="shared" ca="1" si="29"/>
        <v>NA</v>
      </c>
      <c r="BU86" s="12" t="str">
        <f t="shared" ca="1" si="30"/>
        <v>NA</v>
      </c>
      <c r="BV86" s="5"/>
      <c r="BW86" s="5"/>
      <c r="BX86" s="12" t="str">
        <f t="shared" ca="1" si="31"/>
        <v>NA</v>
      </c>
      <c r="BY86" s="12" t="str">
        <f t="shared" ca="1" si="32"/>
        <v>NA</v>
      </c>
      <c r="BZ86" s="12" t="str">
        <f t="shared" ca="1" si="33"/>
        <v>NA</v>
      </c>
      <c r="CA86" s="5"/>
    </row>
    <row r="87" spans="1:79" ht="12.75" customHeight="1" x14ac:dyDescent="0.15">
      <c r="A87" s="4">
        <v>1140</v>
      </c>
      <c r="B87" s="5" t="s">
        <v>79</v>
      </c>
      <c r="C87" s="5" t="s">
        <v>79</v>
      </c>
      <c r="D87" s="6" t="s">
        <v>501</v>
      </c>
      <c r="E87" s="7">
        <v>980040</v>
      </c>
      <c r="F87" s="6" t="s">
        <v>502</v>
      </c>
      <c r="G87" s="8"/>
      <c r="H87" s="8"/>
      <c r="I87" s="8"/>
      <c r="J87" s="8"/>
      <c r="K87" s="8"/>
      <c r="L87" s="8" t="s">
        <v>82</v>
      </c>
      <c r="M87" s="7">
        <v>1125</v>
      </c>
      <c r="N87" s="7">
        <v>1124</v>
      </c>
      <c r="O87" s="13">
        <v>35941</v>
      </c>
      <c r="P87" s="10">
        <f t="shared" ca="1" si="0"/>
        <v>4.7805555555555559</v>
      </c>
      <c r="Q87" s="5">
        <f t="shared" ca="1" si="1"/>
        <v>57</v>
      </c>
      <c r="R87" s="5">
        <f t="shared" ca="1" si="2"/>
        <v>1746</v>
      </c>
      <c r="S87" s="7">
        <f t="shared" ca="1" si="3"/>
        <v>1998</v>
      </c>
      <c r="T87" s="7">
        <f t="shared" ca="1" si="4"/>
        <v>5</v>
      </c>
      <c r="U87" s="7">
        <f t="shared" ca="1" si="5"/>
        <v>26</v>
      </c>
      <c r="V87" s="6" t="s">
        <v>503</v>
      </c>
      <c r="W87" s="14" t="s">
        <v>96</v>
      </c>
      <c r="X87" s="15"/>
      <c r="Y87" s="5">
        <f t="shared" ca="1" si="6"/>
        <v>0</v>
      </c>
      <c r="Z87" s="6"/>
      <c r="AA87" s="12" t="str">
        <f t="shared" ca="1" si="7"/>
        <v>NA</v>
      </c>
      <c r="AB87" s="12" t="str">
        <f t="shared" ca="1" si="8"/>
        <v>NA</v>
      </c>
      <c r="AC87" s="12" t="str">
        <f t="shared" ca="1" si="9"/>
        <v>NA</v>
      </c>
      <c r="AD87" s="6"/>
      <c r="AE87" s="5"/>
      <c r="AF87" s="6"/>
      <c r="AG87" s="11">
        <v>37687</v>
      </c>
      <c r="AH87" s="12">
        <f t="shared" ca="1" si="10"/>
        <v>2003</v>
      </c>
      <c r="AI87" s="12">
        <f t="shared" ca="1" si="11"/>
        <v>3</v>
      </c>
      <c r="AJ87" s="12">
        <f t="shared" ca="1" si="12"/>
        <v>7</v>
      </c>
      <c r="AK87" s="8" t="s">
        <v>504</v>
      </c>
      <c r="AL87" s="8"/>
      <c r="AM87" s="5"/>
      <c r="AN87" s="5"/>
      <c r="AO87" s="5"/>
      <c r="AP87" s="12" t="str">
        <f t="shared" ca="1" si="13"/>
        <v>NA</v>
      </c>
      <c r="AQ87" s="12" t="str">
        <f t="shared" ca="1" si="14"/>
        <v>NA</v>
      </c>
      <c r="AR87" s="12" t="str">
        <f t="shared" ca="1" si="15"/>
        <v>NA</v>
      </c>
      <c r="AS87" s="5"/>
      <c r="AT87" s="5"/>
      <c r="AU87" s="5"/>
      <c r="AV87" s="12" t="str">
        <f t="shared" ca="1" si="16"/>
        <v>NA</v>
      </c>
      <c r="AW87" s="12" t="str">
        <f t="shared" ca="1" si="17"/>
        <v>NA</v>
      </c>
      <c r="AX87" s="12" t="str">
        <f t="shared" ca="1" si="18"/>
        <v>NA</v>
      </c>
      <c r="AY87" s="5"/>
      <c r="AZ87" s="5"/>
      <c r="BA87" s="6"/>
      <c r="BB87" s="12" t="str">
        <f t="shared" ca="1" si="19"/>
        <v>NA</v>
      </c>
      <c r="BC87" s="12" t="str">
        <f t="shared" ca="1" si="20"/>
        <v>NA</v>
      </c>
      <c r="BD87" s="12" t="str">
        <f t="shared" ca="1" si="21"/>
        <v>NA</v>
      </c>
      <c r="BE87" s="5"/>
      <c r="BF87" s="5"/>
      <c r="BG87" s="5"/>
      <c r="BH87" s="12" t="str">
        <f t="shared" ca="1" si="22"/>
        <v>NA</v>
      </c>
      <c r="BI87" s="12" t="str">
        <f t="shared" ca="1" si="23"/>
        <v>NA</v>
      </c>
      <c r="BJ87" s="12" t="str">
        <f t="shared" ca="1" si="24"/>
        <v>NA</v>
      </c>
      <c r="BK87" s="5"/>
      <c r="BL87" s="5"/>
      <c r="BM87" s="12" t="str">
        <f t="shared" ca="1" si="25"/>
        <v>NA</v>
      </c>
      <c r="BN87" s="12" t="str">
        <f t="shared" ca="1" si="26"/>
        <v>NA</v>
      </c>
      <c r="BO87" s="12" t="str">
        <f t="shared" ca="1" si="27"/>
        <v>NA</v>
      </c>
      <c r="BP87" s="5"/>
      <c r="BQ87" s="5"/>
      <c r="BR87" s="5"/>
      <c r="BS87" s="12" t="str">
        <f t="shared" ca="1" si="28"/>
        <v>NA</v>
      </c>
      <c r="BT87" s="12" t="str">
        <f t="shared" ca="1" si="29"/>
        <v>NA</v>
      </c>
      <c r="BU87" s="12" t="str">
        <f t="shared" ca="1" si="30"/>
        <v>NA</v>
      </c>
      <c r="BV87" s="5"/>
      <c r="BW87" s="5"/>
      <c r="BX87" s="12" t="str">
        <f t="shared" ca="1" si="31"/>
        <v>NA</v>
      </c>
      <c r="BY87" s="12" t="str">
        <f t="shared" ca="1" si="32"/>
        <v>NA</v>
      </c>
      <c r="BZ87" s="12" t="str">
        <f t="shared" ca="1" si="33"/>
        <v>NA</v>
      </c>
      <c r="CA87" s="5"/>
    </row>
    <row r="88" spans="1:79" ht="12.75" customHeight="1" x14ac:dyDescent="0.15">
      <c r="A88" s="4">
        <v>1141</v>
      </c>
      <c r="B88" s="5" t="s">
        <v>79</v>
      </c>
      <c r="C88" s="5" t="s">
        <v>79</v>
      </c>
      <c r="D88" s="6" t="s">
        <v>505</v>
      </c>
      <c r="E88" s="7">
        <v>599107</v>
      </c>
      <c r="F88" s="6" t="s">
        <v>506</v>
      </c>
      <c r="G88" s="8"/>
      <c r="H88" s="8"/>
      <c r="I88" s="8"/>
      <c r="J88" s="8"/>
      <c r="K88" s="8"/>
      <c r="L88" s="8" t="s">
        <v>82</v>
      </c>
      <c r="M88" s="7">
        <v>1059</v>
      </c>
      <c r="N88" s="7">
        <v>1089</v>
      </c>
      <c r="O88" s="13">
        <v>36269</v>
      </c>
      <c r="P88" s="10">
        <f t="shared" ca="1" si="0"/>
        <v>18.819444444444443</v>
      </c>
      <c r="Q88" s="5">
        <f t="shared" ca="1" si="1"/>
        <v>225</v>
      </c>
      <c r="R88" s="5">
        <f t="shared" ca="1" si="2"/>
        <v>6876</v>
      </c>
      <c r="S88" s="7">
        <f t="shared" ca="1" si="3"/>
        <v>1999</v>
      </c>
      <c r="T88" s="7">
        <f t="shared" ca="1" si="4"/>
        <v>4</v>
      </c>
      <c r="U88" s="7">
        <f t="shared" ca="1" si="5"/>
        <v>19</v>
      </c>
      <c r="V88" s="6" t="s">
        <v>507</v>
      </c>
      <c r="W88" s="14" t="s">
        <v>96</v>
      </c>
      <c r="X88" s="15"/>
      <c r="Y88" s="5">
        <f t="shared" ca="1" si="6"/>
        <v>2</v>
      </c>
      <c r="Z88" s="6"/>
      <c r="AA88" s="12" t="str">
        <f t="shared" ca="1" si="7"/>
        <v>NA</v>
      </c>
      <c r="AB88" s="12" t="str">
        <f t="shared" ca="1" si="8"/>
        <v>NA</v>
      </c>
      <c r="AC88" s="12" t="str">
        <f t="shared" ca="1" si="9"/>
        <v>NA</v>
      </c>
      <c r="AD88" s="6"/>
      <c r="AE88" s="5"/>
      <c r="AF88" s="6"/>
      <c r="AG88" s="11">
        <v>43145</v>
      </c>
      <c r="AH88" s="12">
        <f t="shared" ca="1" si="10"/>
        <v>2018</v>
      </c>
      <c r="AI88" s="12">
        <f t="shared" ca="1" si="11"/>
        <v>2</v>
      </c>
      <c r="AJ88" s="12">
        <f t="shared" ca="1" si="12"/>
        <v>14</v>
      </c>
      <c r="AK88" s="8" t="s">
        <v>508</v>
      </c>
      <c r="AL88" s="8"/>
      <c r="AM88" s="5"/>
      <c r="AN88" s="5"/>
      <c r="AO88" s="11">
        <v>39994</v>
      </c>
      <c r="AP88" s="12">
        <f t="shared" ca="1" si="13"/>
        <v>2009</v>
      </c>
      <c r="AQ88" s="12">
        <f t="shared" ca="1" si="14"/>
        <v>6</v>
      </c>
      <c r="AR88" s="12">
        <f t="shared" ca="1" si="15"/>
        <v>30</v>
      </c>
      <c r="AS88" s="8" t="s">
        <v>509</v>
      </c>
      <c r="AT88" s="8"/>
      <c r="AU88" s="11">
        <v>40828</v>
      </c>
      <c r="AV88" s="12">
        <f t="shared" ca="1" si="16"/>
        <v>2011</v>
      </c>
      <c r="AW88" s="12">
        <f t="shared" ca="1" si="17"/>
        <v>10</v>
      </c>
      <c r="AX88" s="12">
        <f t="shared" ca="1" si="18"/>
        <v>12</v>
      </c>
      <c r="AY88" s="8" t="s">
        <v>510</v>
      </c>
      <c r="AZ88" s="8"/>
      <c r="BA88" s="6"/>
      <c r="BB88" s="12" t="str">
        <f t="shared" ca="1" si="19"/>
        <v>NA</v>
      </c>
      <c r="BC88" s="12" t="str">
        <f t="shared" ca="1" si="20"/>
        <v>NA</v>
      </c>
      <c r="BD88" s="12" t="str">
        <f t="shared" ca="1" si="21"/>
        <v>NA</v>
      </c>
      <c r="BE88" s="5"/>
      <c r="BF88" s="5"/>
      <c r="BG88" s="5"/>
      <c r="BH88" s="12" t="str">
        <f t="shared" ca="1" si="22"/>
        <v>NA</v>
      </c>
      <c r="BI88" s="12" t="str">
        <f t="shared" ca="1" si="23"/>
        <v>NA</v>
      </c>
      <c r="BJ88" s="12" t="str">
        <f t="shared" ca="1" si="24"/>
        <v>NA</v>
      </c>
      <c r="BK88" s="5"/>
      <c r="BL88" s="5"/>
      <c r="BM88" s="12" t="str">
        <f t="shared" ca="1" si="25"/>
        <v>NA</v>
      </c>
      <c r="BN88" s="12" t="str">
        <f t="shared" ca="1" si="26"/>
        <v>NA</v>
      </c>
      <c r="BO88" s="12" t="str">
        <f t="shared" ca="1" si="27"/>
        <v>NA</v>
      </c>
      <c r="BP88" s="5"/>
      <c r="BQ88" s="5"/>
      <c r="BR88" s="5"/>
      <c r="BS88" s="12" t="str">
        <f t="shared" ca="1" si="28"/>
        <v>NA</v>
      </c>
      <c r="BT88" s="12" t="str">
        <f t="shared" ca="1" si="29"/>
        <v>NA</v>
      </c>
      <c r="BU88" s="12" t="str">
        <f t="shared" ca="1" si="30"/>
        <v>NA</v>
      </c>
      <c r="BV88" s="5"/>
      <c r="BW88" s="5"/>
      <c r="BX88" s="12" t="str">
        <f t="shared" ca="1" si="31"/>
        <v>NA</v>
      </c>
      <c r="BY88" s="12" t="str">
        <f t="shared" ca="1" si="32"/>
        <v>NA</v>
      </c>
      <c r="BZ88" s="12" t="str">
        <f t="shared" ca="1" si="33"/>
        <v>NA</v>
      </c>
      <c r="CA88" s="5"/>
    </row>
    <row r="89" spans="1:79" ht="12.75" customHeight="1" x14ac:dyDescent="0.15">
      <c r="A89" s="4">
        <v>1142</v>
      </c>
      <c r="B89" s="5" t="s">
        <v>79</v>
      </c>
      <c r="C89" s="5" t="s">
        <v>79</v>
      </c>
      <c r="D89" s="6" t="s">
        <v>511</v>
      </c>
      <c r="E89" s="7">
        <v>21715</v>
      </c>
      <c r="F89" s="6" t="s">
        <v>512</v>
      </c>
      <c r="G89" s="8"/>
      <c r="H89" s="8"/>
      <c r="I89" s="8"/>
      <c r="J89" s="8"/>
      <c r="K89" s="8"/>
      <c r="L89" s="8" t="s">
        <v>82</v>
      </c>
      <c r="M89" s="7">
        <v>1059</v>
      </c>
      <c r="N89" s="7">
        <v>1089</v>
      </c>
      <c r="O89" s="13">
        <v>36269</v>
      </c>
      <c r="P89" s="10">
        <f t="shared" ca="1" si="0"/>
        <v>15.844444444444445</v>
      </c>
      <c r="Q89" s="5">
        <f t="shared" ca="1" si="1"/>
        <v>190</v>
      </c>
      <c r="R89" s="5">
        <f t="shared" ca="1" si="2"/>
        <v>5789</v>
      </c>
      <c r="S89" s="7">
        <f t="shared" ca="1" si="3"/>
        <v>1999</v>
      </c>
      <c r="T89" s="7">
        <f t="shared" ca="1" si="4"/>
        <v>4</v>
      </c>
      <c r="U89" s="7">
        <f t="shared" ca="1" si="5"/>
        <v>19</v>
      </c>
      <c r="V89" s="6" t="s">
        <v>513</v>
      </c>
      <c r="W89" s="14" t="s">
        <v>96</v>
      </c>
      <c r="X89" s="15"/>
      <c r="Y89" s="5">
        <f t="shared" ca="1" si="6"/>
        <v>1</v>
      </c>
      <c r="Z89" s="6"/>
      <c r="AA89" s="12" t="str">
        <f t="shared" ca="1" si="7"/>
        <v>NA</v>
      </c>
      <c r="AB89" s="12" t="str">
        <f t="shared" ca="1" si="8"/>
        <v>NA</v>
      </c>
      <c r="AC89" s="12" t="str">
        <f t="shared" ca="1" si="9"/>
        <v>NA</v>
      </c>
      <c r="AD89" s="6"/>
      <c r="AE89" s="5"/>
      <c r="AF89" s="6"/>
      <c r="AG89" s="11">
        <v>42058</v>
      </c>
      <c r="AH89" s="12">
        <f t="shared" ca="1" si="10"/>
        <v>2015</v>
      </c>
      <c r="AI89" s="12">
        <f t="shared" ca="1" si="11"/>
        <v>2</v>
      </c>
      <c r="AJ89" s="12">
        <f t="shared" ca="1" si="12"/>
        <v>23</v>
      </c>
      <c r="AK89" s="8" t="s">
        <v>514</v>
      </c>
      <c r="AL89" s="8"/>
      <c r="AM89" s="5"/>
      <c r="AN89" s="5"/>
      <c r="AO89" s="11">
        <v>38818</v>
      </c>
      <c r="AP89" s="12">
        <f t="shared" ca="1" si="13"/>
        <v>2006</v>
      </c>
      <c r="AQ89" s="12">
        <f t="shared" ca="1" si="14"/>
        <v>4</v>
      </c>
      <c r="AR89" s="12">
        <f t="shared" ca="1" si="15"/>
        <v>11</v>
      </c>
      <c r="AS89" s="8" t="s">
        <v>515</v>
      </c>
      <c r="AT89" s="8"/>
      <c r="AU89" s="5"/>
      <c r="AV89" s="12" t="str">
        <f t="shared" ca="1" si="16"/>
        <v>NA</v>
      </c>
      <c r="AW89" s="12" t="str">
        <f t="shared" ca="1" si="17"/>
        <v>NA</v>
      </c>
      <c r="AX89" s="12" t="str">
        <f t="shared" ca="1" si="18"/>
        <v>NA</v>
      </c>
      <c r="AY89" s="5"/>
      <c r="AZ89" s="5"/>
      <c r="BA89" s="6"/>
      <c r="BB89" s="12" t="str">
        <f t="shared" ca="1" si="19"/>
        <v>NA</v>
      </c>
      <c r="BC89" s="12" t="str">
        <f t="shared" ca="1" si="20"/>
        <v>NA</v>
      </c>
      <c r="BD89" s="12" t="str">
        <f t="shared" ca="1" si="21"/>
        <v>NA</v>
      </c>
      <c r="BE89" s="5"/>
      <c r="BF89" s="5"/>
      <c r="BG89" s="5"/>
      <c r="BH89" s="12" t="str">
        <f t="shared" ca="1" si="22"/>
        <v>NA</v>
      </c>
      <c r="BI89" s="12" t="str">
        <f t="shared" ca="1" si="23"/>
        <v>NA</v>
      </c>
      <c r="BJ89" s="12" t="str">
        <f t="shared" ca="1" si="24"/>
        <v>NA</v>
      </c>
      <c r="BK89" s="5"/>
      <c r="BL89" s="5"/>
      <c r="BM89" s="12" t="str">
        <f t="shared" ca="1" si="25"/>
        <v>NA</v>
      </c>
      <c r="BN89" s="12" t="str">
        <f t="shared" ca="1" si="26"/>
        <v>NA</v>
      </c>
      <c r="BO89" s="12" t="str">
        <f t="shared" ca="1" si="27"/>
        <v>NA</v>
      </c>
      <c r="BP89" s="5"/>
      <c r="BQ89" s="5"/>
      <c r="BR89" s="5"/>
      <c r="BS89" s="12" t="str">
        <f t="shared" ca="1" si="28"/>
        <v>NA</v>
      </c>
      <c r="BT89" s="12" t="str">
        <f t="shared" ca="1" si="29"/>
        <v>NA</v>
      </c>
      <c r="BU89" s="12" t="str">
        <f t="shared" ca="1" si="30"/>
        <v>NA</v>
      </c>
      <c r="BV89" s="5"/>
      <c r="BW89" s="5"/>
      <c r="BX89" s="12" t="str">
        <f t="shared" ca="1" si="31"/>
        <v>NA</v>
      </c>
      <c r="BY89" s="12" t="str">
        <f t="shared" ca="1" si="32"/>
        <v>NA</v>
      </c>
      <c r="BZ89" s="12" t="str">
        <f t="shared" ca="1" si="33"/>
        <v>NA</v>
      </c>
      <c r="CA89" s="5"/>
    </row>
    <row r="90" spans="1:79" ht="12.75" customHeight="1" x14ac:dyDescent="0.15">
      <c r="A90" s="4">
        <v>1143</v>
      </c>
      <c r="B90" s="5" t="s">
        <v>79</v>
      </c>
      <c r="C90" s="5" t="s">
        <v>79</v>
      </c>
      <c r="D90" s="6" t="s">
        <v>516</v>
      </c>
      <c r="E90" s="7">
        <v>11132</v>
      </c>
      <c r="F90" s="6" t="s">
        <v>517</v>
      </c>
      <c r="G90" s="8"/>
      <c r="H90" s="8"/>
      <c r="I90" s="8"/>
      <c r="J90" s="8"/>
      <c r="K90" s="8"/>
      <c r="L90" s="8" t="s">
        <v>82</v>
      </c>
      <c r="M90" s="7">
        <v>1104</v>
      </c>
      <c r="N90" s="7">
        <v>1115</v>
      </c>
      <c r="O90" s="13">
        <v>36331</v>
      </c>
      <c r="P90" s="10">
        <f t="shared" ca="1" si="0"/>
        <v>9.594444444444445</v>
      </c>
      <c r="Q90" s="5">
        <f t="shared" ca="1" si="1"/>
        <v>115</v>
      </c>
      <c r="R90" s="5">
        <f t="shared" ca="1" si="2"/>
        <v>3506</v>
      </c>
      <c r="S90" s="7">
        <f t="shared" ca="1" si="3"/>
        <v>1999</v>
      </c>
      <c r="T90" s="7">
        <f t="shared" ca="1" si="4"/>
        <v>6</v>
      </c>
      <c r="U90" s="7">
        <f t="shared" ca="1" si="5"/>
        <v>20</v>
      </c>
      <c r="V90" s="6" t="s">
        <v>518</v>
      </c>
      <c r="W90" s="14" t="s">
        <v>96</v>
      </c>
      <c r="X90" s="15"/>
      <c r="Y90" s="5">
        <f t="shared" ca="1" si="6"/>
        <v>0</v>
      </c>
      <c r="Z90" s="6"/>
      <c r="AA90" s="12" t="str">
        <f t="shared" ca="1" si="7"/>
        <v>NA</v>
      </c>
      <c r="AB90" s="12" t="str">
        <f t="shared" ca="1" si="8"/>
        <v>NA</v>
      </c>
      <c r="AC90" s="12" t="str">
        <f t="shared" ca="1" si="9"/>
        <v>NA</v>
      </c>
      <c r="AD90" s="6"/>
      <c r="AE90" s="5"/>
      <c r="AF90" s="6"/>
      <c r="AG90" s="11">
        <v>39837</v>
      </c>
      <c r="AH90" s="12">
        <f t="shared" ca="1" si="10"/>
        <v>2009</v>
      </c>
      <c r="AI90" s="12">
        <f t="shared" ca="1" si="11"/>
        <v>1</v>
      </c>
      <c r="AJ90" s="12">
        <f t="shared" ca="1" si="12"/>
        <v>24</v>
      </c>
      <c r="AK90" s="8" t="s">
        <v>519</v>
      </c>
      <c r="AL90" s="8"/>
      <c r="AM90" s="5"/>
      <c r="AN90" s="5"/>
      <c r="AO90" s="5"/>
      <c r="AP90" s="12" t="str">
        <f t="shared" ca="1" si="13"/>
        <v>NA</v>
      </c>
      <c r="AQ90" s="12" t="str">
        <f t="shared" ca="1" si="14"/>
        <v>NA</v>
      </c>
      <c r="AR90" s="12" t="str">
        <f t="shared" ca="1" si="15"/>
        <v>NA</v>
      </c>
      <c r="AS90" s="5"/>
      <c r="AT90" s="5"/>
      <c r="AU90" s="5"/>
      <c r="AV90" s="12" t="str">
        <f t="shared" ca="1" si="16"/>
        <v>NA</v>
      </c>
      <c r="AW90" s="12" t="str">
        <f t="shared" ca="1" si="17"/>
        <v>NA</v>
      </c>
      <c r="AX90" s="12" t="str">
        <f t="shared" ca="1" si="18"/>
        <v>NA</v>
      </c>
      <c r="AY90" s="5"/>
      <c r="AZ90" s="5"/>
      <c r="BA90" s="6"/>
      <c r="BB90" s="12" t="str">
        <f t="shared" ca="1" si="19"/>
        <v>NA</v>
      </c>
      <c r="BC90" s="12" t="str">
        <f t="shared" ca="1" si="20"/>
        <v>NA</v>
      </c>
      <c r="BD90" s="12" t="str">
        <f t="shared" ca="1" si="21"/>
        <v>NA</v>
      </c>
      <c r="BE90" s="5"/>
      <c r="BF90" s="5"/>
      <c r="BG90" s="5"/>
      <c r="BH90" s="12" t="str">
        <f t="shared" ca="1" si="22"/>
        <v>NA</v>
      </c>
      <c r="BI90" s="12" t="str">
        <f t="shared" ca="1" si="23"/>
        <v>NA</v>
      </c>
      <c r="BJ90" s="12" t="str">
        <f t="shared" ca="1" si="24"/>
        <v>NA</v>
      </c>
      <c r="BK90" s="5"/>
      <c r="BL90" s="5"/>
      <c r="BM90" s="12" t="str">
        <f t="shared" ca="1" si="25"/>
        <v>NA</v>
      </c>
      <c r="BN90" s="12" t="str">
        <f t="shared" ca="1" si="26"/>
        <v>NA</v>
      </c>
      <c r="BO90" s="12" t="str">
        <f t="shared" ca="1" si="27"/>
        <v>NA</v>
      </c>
      <c r="BP90" s="5"/>
      <c r="BQ90" s="5"/>
      <c r="BR90" s="5"/>
      <c r="BS90" s="12" t="str">
        <f t="shared" ca="1" si="28"/>
        <v>NA</v>
      </c>
      <c r="BT90" s="12" t="str">
        <f t="shared" ca="1" si="29"/>
        <v>NA</v>
      </c>
      <c r="BU90" s="12" t="str">
        <f t="shared" ca="1" si="30"/>
        <v>NA</v>
      </c>
      <c r="BV90" s="5"/>
      <c r="BW90" s="5"/>
      <c r="BX90" s="12" t="str">
        <f t="shared" ca="1" si="31"/>
        <v>NA</v>
      </c>
      <c r="BY90" s="12" t="str">
        <f t="shared" ca="1" si="32"/>
        <v>NA</v>
      </c>
      <c r="BZ90" s="12" t="str">
        <f t="shared" ca="1" si="33"/>
        <v>NA</v>
      </c>
      <c r="CA90" s="5"/>
    </row>
    <row r="91" spans="1:79" ht="12.75" customHeight="1" x14ac:dyDescent="0.15">
      <c r="A91" s="4">
        <v>1144</v>
      </c>
      <c r="B91" s="5" t="s">
        <v>79</v>
      </c>
      <c r="C91" s="5" t="s">
        <v>79</v>
      </c>
      <c r="D91" s="6" t="s">
        <v>520</v>
      </c>
      <c r="E91" s="7">
        <v>11133</v>
      </c>
      <c r="F91" s="6" t="s">
        <v>521</v>
      </c>
      <c r="G91" s="8"/>
      <c r="H91" s="8"/>
      <c r="I91" s="8"/>
      <c r="J91" s="8"/>
      <c r="K91" s="8"/>
      <c r="L91" s="8" t="s">
        <v>82</v>
      </c>
      <c r="M91" s="7">
        <v>1104</v>
      </c>
      <c r="N91" s="7">
        <v>1115</v>
      </c>
      <c r="O91" s="13">
        <v>36331</v>
      </c>
      <c r="P91" s="10">
        <f t="shared" ca="1" si="0"/>
        <v>14.497222222222222</v>
      </c>
      <c r="Q91" s="5">
        <f t="shared" ca="1" si="1"/>
        <v>173</v>
      </c>
      <c r="R91" s="5">
        <f t="shared" ca="1" si="2"/>
        <v>5296</v>
      </c>
      <c r="S91" s="7">
        <f t="shared" ca="1" si="3"/>
        <v>1999</v>
      </c>
      <c r="T91" s="7">
        <f t="shared" ca="1" si="4"/>
        <v>6</v>
      </c>
      <c r="U91" s="7">
        <f t="shared" ca="1" si="5"/>
        <v>20</v>
      </c>
      <c r="V91" s="6" t="s">
        <v>522</v>
      </c>
      <c r="W91" s="14" t="s">
        <v>96</v>
      </c>
      <c r="X91" s="15"/>
      <c r="Y91" s="5">
        <f t="shared" ca="1" si="6"/>
        <v>0</v>
      </c>
      <c r="Z91" s="6"/>
      <c r="AA91" s="12" t="str">
        <f t="shared" ca="1" si="7"/>
        <v>NA</v>
      </c>
      <c r="AB91" s="12" t="str">
        <f t="shared" ca="1" si="8"/>
        <v>NA</v>
      </c>
      <c r="AC91" s="12" t="str">
        <f t="shared" ca="1" si="9"/>
        <v>NA</v>
      </c>
      <c r="AD91" s="6"/>
      <c r="AE91" s="5"/>
      <c r="AF91" s="6"/>
      <c r="AG91" s="11">
        <v>41627</v>
      </c>
      <c r="AH91" s="12">
        <f t="shared" ca="1" si="10"/>
        <v>2013</v>
      </c>
      <c r="AI91" s="12">
        <f t="shared" ca="1" si="11"/>
        <v>12</v>
      </c>
      <c r="AJ91" s="12">
        <f t="shared" ca="1" si="12"/>
        <v>19</v>
      </c>
      <c r="AK91" s="8" t="s">
        <v>523</v>
      </c>
      <c r="AL91" s="8"/>
      <c r="AM91" s="5"/>
      <c r="AN91" s="5"/>
      <c r="AO91" s="5"/>
      <c r="AP91" s="12" t="str">
        <f t="shared" ca="1" si="13"/>
        <v>NA</v>
      </c>
      <c r="AQ91" s="12" t="str">
        <f t="shared" ca="1" si="14"/>
        <v>NA</v>
      </c>
      <c r="AR91" s="12" t="str">
        <f t="shared" ca="1" si="15"/>
        <v>NA</v>
      </c>
      <c r="AS91" s="5"/>
      <c r="AT91" s="5"/>
      <c r="AU91" s="5"/>
      <c r="AV91" s="12" t="str">
        <f t="shared" ca="1" si="16"/>
        <v>NA</v>
      </c>
      <c r="AW91" s="12" t="str">
        <f t="shared" ca="1" si="17"/>
        <v>NA</v>
      </c>
      <c r="AX91" s="12" t="str">
        <f t="shared" ca="1" si="18"/>
        <v>NA</v>
      </c>
      <c r="AY91" s="5"/>
      <c r="AZ91" s="5"/>
      <c r="BA91" s="6"/>
      <c r="BB91" s="12" t="str">
        <f t="shared" ca="1" si="19"/>
        <v>NA</v>
      </c>
      <c r="BC91" s="12" t="str">
        <f t="shared" ca="1" si="20"/>
        <v>NA</v>
      </c>
      <c r="BD91" s="12" t="str">
        <f t="shared" ca="1" si="21"/>
        <v>NA</v>
      </c>
      <c r="BE91" s="5"/>
      <c r="BF91" s="5"/>
      <c r="BG91" s="5"/>
      <c r="BH91" s="12" t="str">
        <f t="shared" ca="1" si="22"/>
        <v>NA</v>
      </c>
      <c r="BI91" s="12" t="str">
        <f t="shared" ca="1" si="23"/>
        <v>NA</v>
      </c>
      <c r="BJ91" s="12" t="str">
        <f t="shared" ca="1" si="24"/>
        <v>NA</v>
      </c>
      <c r="BK91" s="5"/>
      <c r="BL91" s="5"/>
      <c r="BM91" s="12" t="str">
        <f t="shared" ca="1" si="25"/>
        <v>NA</v>
      </c>
      <c r="BN91" s="12" t="str">
        <f t="shared" ca="1" si="26"/>
        <v>NA</v>
      </c>
      <c r="BO91" s="12" t="str">
        <f t="shared" ca="1" si="27"/>
        <v>NA</v>
      </c>
      <c r="BP91" s="5"/>
      <c r="BQ91" s="5"/>
      <c r="BR91" s="5"/>
      <c r="BS91" s="12" t="str">
        <f t="shared" ca="1" si="28"/>
        <v>NA</v>
      </c>
      <c r="BT91" s="12" t="str">
        <f t="shared" ca="1" si="29"/>
        <v>NA</v>
      </c>
      <c r="BU91" s="12" t="str">
        <f t="shared" ca="1" si="30"/>
        <v>NA</v>
      </c>
      <c r="BV91" s="5"/>
      <c r="BW91" s="5"/>
      <c r="BX91" s="12" t="str">
        <f t="shared" ca="1" si="31"/>
        <v>NA</v>
      </c>
      <c r="BY91" s="12" t="str">
        <f t="shared" ca="1" si="32"/>
        <v>NA</v>
      </c>
      <c r="BZ91" s="12" t="str">
        <f t="shared" ca="1" si="33"/>
        <v>NA</v>
      </c>
      <c r="CA91" s="5"/>
    </row>
    <row r="92" spans="1:79" ht="12.75" customHeight="1" x14ac:dyDescent="0.15">
      <c r="A92" s="4">
        <v>1145</v>
      </c>
      <c r="B92" s="5" t="s">
        <v>79</v>
      </c>
      <c r="C92" s="5" t="s">
        <v>79</v>
      </c>
      <c r="D92" s="6" t="s">
        <v>524</v>
      </c>
      <c r="E92" s="7">
        <v>3220</v>
      </c>
      <c r="F92" s="6" t="s">
        <v>525</v>
      </c>
      <c r="G92" s="8"/>
      <c r="H92" s="8"/>
      <c r="I92" s="8"/>
      <c r="J92" s="8"/>
      <c r="K92" s="8"/>
      <c r="L92" s="8" t="s">
        <v>82</v>
      </c>
      <c r="M92" s="7">
        <v>1113</v>
      </c>
      <c r="N92" s="7">
        <v>1089</v>
      </c>
      <c r="O92" s="13">
        <v>36643</v>
      </c>
      <c r="P92" s="10">
        <f t="shared" ca="1" si="0"/>
        <v>12.436111111111112</v>
      </c>
      <c r="Q92" s="5">
        <f t="shared" ca="1" si="1"/>
        <v>149</v>
      </c>
      <c r="R92" s="5">
        <f t="shared" ca="1" si="2"/>
        <v>4543</v>
      </c>
      <c r="S92" s="7">
        <f t="shared" ca="1" si="3"/>
        <v>2000</v>
      </c>
      <c r="T92" s="7">
        <f t="shared" ca="1" si="4"/>
        <v>4</v>
      </c>
      <c r="U92" s="7">
        <f t="shared" ca="1" si="5"/>
        <v>27</v>
      </c>
      <c r="V92" s="6" t="s">
        <v>526</v>
      </c>
      <c r="W92" s="14" t="s">
        <v>96</v>
      </c>
      <c r="X92" s="15"/>
      <c r="Y92" s="5">
        <f t="shared" ca="1" si="6"/>
        <v>4</v>
      </c>
      <c r="Z92" s="6"/>
      <c r="AA92" s="12" t="str">
        <f t="shared" ca="1" si="7"/>
        <v>NA</v>
      </c>
      <c r="AB92" s="12" t="str">
        <f t="shared" ca="1" si="8"/>
        <v>NA</v>
      </c>
      <c r="AC92" s="12" t="str">
        <f t="shared" ca="1" si="9"/>
        <v>NA</v>
      </c>
      <c r="AD92" s="6"/>
      <c r="AE92" s="5"/>
      <c r="AF92" s="6"/>
      <c r="AG92" s="11">
        <v>41186</v>
      </c>
      <c r="AH92" s="12">
        <f t="shared" ca="1" si="10"/>
        <v>2012</v>
      </c>
      <c r="AI92" s="12">
        <f t="shared" ca="1" si="11"/>
        <v>10</v>
      </c>
      <c r="AJ92" s="12">
        <f t="shared" ca="1" si="12"/>
        <v>4</v>
      </c>
      <c r="AK92" s="8" t="s">
        <v>527</v>
      </c>
      <c r="AL92" s="8"/>
      <c r="AM92" s="5"/>
      <c r="AN92" s="5"/>
      <c r="AO92" s="11">
        <v>37440</v>
      </c>
      <c r="AP92" s="12">
        <f t="shared" ca="1" si="13"/>
        <v>2002</v>
      </c>
      <c r="AQ92" s="12">
        <f t="shared" ca="1" si="14"/>
        <v>7</v>
      </c>
      <c r="AR92" s="12">
        <f t="shared" ca="1" si="15"/>
        <v>3</v>
      </c>
      <c r="AS92" s="8" t="s">
        <v>528</v>
      </c>
      <c r="AT92" s="8"/>
      <c r="AU92" s="11">
        <v>38267</v>
      </c>
      <c r="AV92" s="12">
        <f t="shared" ca="1" si="16"/>
        <v>2004</v>
      </c>
      <c r="AW92" s="12">
        <f t="shared" ca="1" si="17"/>
        <v>10</v>
      </c>
      <c r="AX92" s="12">
        <f t="shared" ca="1" si="18"/>
        <v>7</v>
      </c>
      <c r="AY92" s="8" t="s">
        <v>529</v>
      </c>
      <c r="AZ92" s="8"/>
      <c r="BA92" s="11">
        <v>39708</v>
      </c>
      <c r="BB92" s="12">
        <f t="shared" ca="1" si="19"/>
        <v>2008</v>
      </c>
      <c r="BC92" s="12">
        <f t="shared" ca="1" si="20"/>
        <v>9</v>
      </c>
      <c r="BD92" s="12">
        <f t="shared" ca="1" si="21"/>
        <v>17</v>
      </c>
      <c r="BE92" s="8" t="s">
        <v>530</v>
      </c>
      <c r="BF92" s="8"/>
      <c r="BG92" s="11">
        <v>39833</v>
      </c>
      <c r="BH92" s="12">
        <f t="shared" ca="1" si="22"/>
        <v>2009</v>
      </c>
      <c r="BI92" s="12">
        <f t="shared" ca="1" si="23"/>
        <v>1</v>
      </c>
      <c r="BJ92" s="12">
        <f t="shared" ca="1" si="24"/>
        <v>20</v>
      </c>
      <c r="BK92" s="8" t="s">
        <v>531</v>
      </c>
      <c r="BL92" s="5"/>
      <c r="BM92" s="12" t="str">
        <f t="shared" ca="1" si="25"/>
        <v>NA</v>
      </c>
      <c r="BN92" s="12" t="str">
        <f t="shared" ca="1" si="26"/>
        <v>NA</v>
      </c>
      <c r="BO92" s="12" t="str">
        <f t="shared" ca="1" si="27"/>
        <v>NA</v>
      </c>
      <c r="BP92" s="5"/>
      <c r="BQ92" s="5"/>
      <c r="BR92" s="5"/>
      <c r="BS92" s="12" t="str">
        <f t="shared" ca="1" si="28"/>
        <v>NA</v>
      </c>
      <c r="BT92" s="12" t="str">
        <f t="shared" ca="1" si="29"/>
        <v>NA</v>
      </c>
      <c r="BU92" s="12" t="str">
        <f t="shared" ca="1" si="30"/>
        <v>NA</v>
      </c>
      <c r="BV92" s="5"/>
      <c r="BW92" s="5"/>
      <c r="BX92" s="12" t="str">
        <f t="shared" ca="1" si="31"/>
        <v>NA</v>
      </c>
      <c r="BY92" s="12" t="str">
        <f t="shared" ca="1" si="32"/>
        <v>NA</v>
      </c>
      <c r="BZ92" s="12" t="str">
        <f t="shared" ca="1" si="33"/>
        <v>NA</v>
      </c>
      <c r="CA92" s="5"/>
    </row>
    <row r="93" spans="1:79" ht="12.75" customHeight="1" x14ac:dyDescent="0.15">
      <c r="A93" s="4">
        <v>1146</v>
      </c>
      <c r="B93" s="5" t="s">
        <v>79</v>
      </c>
      <c r="C93" s="5" t="s">
        <v>79</v>
      </c>
      <c r="D93" s="6" t="s">
        <v>532</v>
      </c>
      <c r="E93" s="7">
        <v>500111</v>
      </c>
      <c r="F93" s="6" t="s">
        <v>533</v>
      </c>
      <c r="G93" s="8"/>
      <c r="H93" s="8"/>
      <c r="I93" s="8"/>
      <c r="J93" s="8"/>
      <c r="K93" s="8"/>
      <c r="L93" s="8" t="s">
        <v>82</v>
      </c>
      <c r="M93" s="7">
        <v>1113</v>
      </c>
      <c r="N93" s="7">
        <v>1089</v>
      </c>
      <c r="O93" s="13">
        <v>36643</v>
      </c>
      <c r="P93" s="10">
        <f t="shared" ca="1" si="0"/>
        <v>18.019444444444446</v>
      </c>
      <c r="Q93" s="5">
        <f t="shared" ca="1" si="1"/>
        <v>216</v>
      </c>
      <c r="R93" s="5">
        <f t="shared" ca="1" si="2"/>
        <v>6581</v>
      </c>
      <c r="S93" s="7">
        <f t="shared" ca="1" si="3"/>
        <v>2000</v>
      </c>
      <c r="T93" s="7">
        <f t="shared" ca="1" si="4"/>
        <v>4</v>
      </c>
      <c r="U93" s="7">
        <f t="shared" ca="1" si="5"/>
        <v>27</v>
      </c>
      <c r="V93" s="6" t="s">
        <v>534</v>
      </c>
      <c r="W93" s="14" t="s">
        <v>96</v>
      </c>
      <c r="X93" s="15"/>
      <c r="Y93" s="5">
        <f t="shared" ca="1" si="6"/>
        <v>0</v>
      </c>
      <c r="Z93" s="6"/>
      <c r="AA93" s="12" t="str">
        <f t="shared" ca="1" si="7"/>
        <v>NA</v>
      </c>
      <c r="AB93" s="12" t="str">
        <f t="shared" ca="1" si="8"/>
        <v>NA</v>
      </c>
      <c r="AC93" s="12" t="str">
        <f t="shared" ca="1" si="9"/>
        <v>NA</v>
      </c>
      <c r="AD93" s="6"/>
      <c r="AE93" s="5"/>
      <c r="AF93" s="6"/>
      <c r="AG93" s="11">
        <v>43224</v>
      </c>
      <c r="AH93" s="12">
        <f t="shared" ca="1" si="10"/>
        <v>2018</v>
      </c>
      <c r="AI93" s="12">
        <f t="shared" ca="1" si="11"/>
        <v>5</v>
      </c>
      <c r="AJ93" s="12">
        <f t="shared" ca="1" si="12"/>
        <v>4</v>
      </c>
      <c r="AK93" s="8" t="s">
        <v>535</v>
      </c>
      <c r="AL93" s="8"/>
      <c r="AM93" s="5"/>
      <c r="AN93" s="5"/>
      <c r="AO93" s="5"/>
      <c r="AP93" s="12" t="str">
        <f t="shared" ca="1" si="13"/>
        <v>NA</v>
      </c>
      <c r="AQ93" s="12" t="str">
        <f t="shared" ca="1" si="14"/>
        <v>NA</v>
      </c>
      <c r="AR93" s="12" t="str">
        <f t="shared" ca="1" si="15"/>
        <v>NA</v>
      </c>
      <c r="AS93" s="5"/>
      <c r="AT93" s="5"/>
      <c r="AU93" s="5"/>
      <c r="AV93" s="12" t="str">
        <f t="shared" ca="1" si="16"/>
        <v>NA</v>
      </c>
      <c r="AW93" s="12" t="str">
        <f t="shared" ca="1" si="17"/>
        <v>NA</v>
      </c>
      <c r="AX93" s="12" t="str">
        <f t="shared" ca="1" si="18"/>
        <v>NA</v>
      </c>
      <c r="AY93" s="5"/>
      <c r="AZ93" s="5"/>
      <c r="BA93" s="6"/>
      <c r="BB93" s="12" t="str">
        <f t="shared" ca="1" si="19"/>
        <v>NA</v>
      </c>
      <c r="BC93" s="12" t="str">
        <f t="shared" ca="1" si="20"/>
        <v>NA</v>
      </c>
      <c r="BD93" s="12" t="str">
        <f t="shared" ca="1" si="21"/>
        <v>NA</v>
      </c>
      <c r="BE93" s="5"/>
      <c r="BF93" s="5"/>
      <c r="BG93" s="5"/>
      <c r="BH93" s="12" t="str">
        <f t="shared" ca="1" si="22"/>
        <v>NA</v>
      </c>
      <c r="BI93" s="12" t="str">
        <f t="shared" ca="1" si="23"/>
        <v>NA</v>
      </c>
      <c r="BJ93" s="12" t="str">
        <f t="shared" ca="1" si="24"/>
        <v>NA</v>
      </c>
      <c r="BK93" s="5"/>
      <c r="BL93" s="5"/>
      <c r="BM93" s="12" t="str">
        <f t="shared" ca="1" si="25"/>
        <v>NA</v>
      </c>
      <c r="BN93" s="12" t="str">
        <f t="shared" ca="1" si="26"/>
        <v>NA</v>
      </c>
      <c r="BO93" s="12" t="str">
        <f t="shared" ca="1" si="27"/>
        <v>NA</v>
      </c>
      <c r="BP93" s="5"/>
      <c r="BQ93" s="5"/>
      <c r="BR93" s="5"/>
      <c r="BS93" s="12" t="str">
        <f t="shared" ca="1" si="28"/>
        <v>NA</v>
      </c>
      <c r="BT93" s="12" t="str">
        <f t="shared" ca="1" si="29"/>
        <v>NA</v>
      </c>
      <c r="BU93" s="12" t="str">
        <f t="shared" ca="1" si="30"/>
        <v>NA</v>
      </c>
      <c r="BV93" s="5"/>
      <c r="BW93" s="5"/>
      <c r="BX93" s="12" t="str">
        <f t="shared" ca="1" si="31"/>
        <v>NA</v>
      </c>
      <c r="BY93" s="12" t="str">
        <f t="shared" ca="1" si="32"/>
        <v>NA</v>
      </c>
      <c r="BZ93" s="12" t="str">
        <f t="shared" ca="1" si="33"/>
        <v>NA</v>
      </c>
      <c r="CA93" s="5"/>
    </row>
    <row r="94" spans="1:79" ht="12.75" customHeight="1" x14ac:dyDescent="0.15">
      <c r="A94" s="4">
        <v>1147</v>
      </c>
      <c r="B94" s="5" t="s">
        <v>79</v>
      </c>
      <c r="C94" s="5" t="s">
        <v>79</v>
      </c>
      <c r="D94" s="6" t="s">
        <v>536</v>
      </c>
      <c r="E94" s="7">
        <v>319</v>
      </c>
      <c r="F94" s="6" t="s">
        <v>537</v>
      </c>
      <c r="G94" s="8"/>
      <c r="H94" s="8"/>
      <c r="I94" s="8"/>
      <c r="J94" s="8"/>
      <c r="K94" s="8"/>
      <c r="L94" s="8" t="s">
        <v>82</v>
      </c>
      <c r="M94" s="7">
        <v>1116</v>
      </c>
      <c r="N94" s="7">
        <v>1054</v>
      </c>
      <c r="O94" s="13">
        <v>36809</v>
      </c>
      <c r="P94" s="10">
        <f t="shared" ca="1" si="0"/>
        <v>5.5555555555555558E-3</v>
      </c>
      <c r="Q94" s="5">
        <f t="shared" ca="1" si="1"/>
        <v>0</v>
      </c>
      <c r="R94" s="5">
        <f t="shared" ca="1" si="2"/>
        <v>2</v>
      </c>
      <c r="S94" s="7">
        <f t="shared" ca="1" si="3"/>
        <v>2000</v>
      </c>
      <c r="T94" s="7">
        <f t="shared" ca="1" si="4"/>
        <v>10</v>
      </c>
      <c r="U94" s="7">
        <f t="shared" ca="1" si="5"/>
        <v>10</v>
      </c>
      <c r="V94" s="6" t="s">
        <v>538</v>
      </c>
      <c r="W94" s="14" t="s">
        <v>96</v>
      </c>
      <c r="X94" s="15"/>
      <c r="Y94" s="5">
        <f t="shared" ca="1" si="6"/>
        <v>0</v>
      </c>
      <c r="Z94" s="6"/>
      <c r="AA94" s="12" t="str">
        <f t="shared" ca="1" si="7"/>
        <v>NA</v>
      </c>
      <c r="AB94" s="12" t="str">
        <f t="shared" ca="1" si="8"/>
        <v>NA</v>
      </c>
      <c r="AC94" s="12" t="str">
        <f t="shared" ca="1" si="9"/>
        <v>NA</v>
      </c>
      <c r="AD94" s="6"/>
      <c r="AE94" s="5"/>
      <c r="AF94" s="6"/>
      <c r="AG94" s="11">
        <v>36811</v>
      </c>
      <c r="AH94" s="12">
        <f t="shared" ca="1" si="10"/>
        <v>2000</v>
      </c>
      <c r="AI94" s="12">
        <f t="shared" ca="1" si="11"/>
        <v>10</v>
      </c>
      <c r="AJ94" s="12">
        <f t="shared" ca="1" si="12"/>
        <v>12</v>
      </c>
      <c r="AK94" s="8" t="s">
        <v>539</v>
      </c>
      <c r="AL94" s="8"/>
      <c r="AM94" s="5"/>
      <c r="AN94" s="5"/>
      <c r="AO94" s="5"/>
      <c r="AP94" s="12" t="str">
        <f t="shared" ca="1" si="13"/>
        <v>NA</v>
      </c>
      <c r="AQ94" s="12" t="str">
        <f t="shared" ca="1" si="14"/>
        <v>NA</v>
      </c>
      <c r="AR94" s="12" t="str">
        <f t="shared" ca="1" si="15"/>
        <v>NA</v>
      </c>
      <c r="AS94" s="5"/>
      <c r="AT94" s="5"/>
      <c r="AU94" s="5"/>
      <c r="AV94" s="12" t="str">
        <f t="shared" ca="1" si="16"/>
        <v>NA</v>
      </c>
      <c r="AW94" s="12" t="str">
        <f t="shared" ca="1" si="17"/>
        <v>NA</v>
      </c>
      <c r="AX94" s="12" t="str">
        <f t="shared" ca="1" si="18"/>
        <v>NA</v>
      </c>
      <c r="AY94" s="5"/>
      <c r="AZ94" s="5"/>
      <c r="BA94" s="6"/>
      <c r="BB94" s="12" t="str">
        <f t="shared" ca="1" si="19"/>
        <v>NA</v>
      </c>
      <c r="BC94" s="12" t="str">
        <f t="shared" ca="1" si="20"/>
        <v>NA</v>
      </c>
      <c r="BD94" s="12" t="str">
        <f t="shared" ca="1" si="21"/>
        <v>NA</v>
      </c>
      <c r="BE94" s="5"/>
      <c r="BF94" s="5"/>
      <c r="BG94" s="5"/>
      <c r="BH94" s="12" t="str">
        <f t="shared" ca="1" si="22"/>
        <v>NA</v>
      </c>
      <c r="BI94" s="12" t="str">
        <f t="shared" ca="1" si="23"/>
        <v>NA</v>
      </c>
      <c r="BJ94" s="12" t="str">
        <f t="shared" ca="1" si="24"/>
        <v>NA</v>
      </c>
      <c r="BK94" s="5"/>
      <c r="BL94" s="5"/>
      <c r="BM94" s="12" t="str">
        <f t="shared" ca="1" si="25"/>
        <v>NA</v>
      </c>
      <c r="BN94" s="12" t="str">
        <f t="shared" ca="1" si="26"/>
        <v>NA</v>
      </c>
      <c r="BO94" s="12" t="str">
        <f t="shared" ca="1" si="27"/>
        <v>NA</v>
      </c>
      <c r="BP94" s="5"/>
      <c r="BQ94" s="5"/>
      <c r="BR94" s="5"/>
      <c r="BS94" s="12" t="str">
        <f t="shared" ca="1" si="28"/>
        <v>NA</v>
      </c>
      <c r="BT94" s="12" t="str">
        <f t="shared" ca="1" si="29"/>
        <v>NA</v>
      </c>
      <c r="BU94" s="12" t="str">
        <f t="shared" ca="1" si="30"/>
        <v>NA</v>
      </c>
      <c r="BV94" s="5"/>
      <c r="BW94" s="5"/>
      <c r="BX94" s="12" t="str">
        <f t="shared" ca="1" si="31"/>
        <v>NA</v>
      </c>
      <c r="BY94" s="12" t="str">
        <f t="shared" ca="1" si="32"/>
        <v>NA</v>
      </c>
      <c r="BZ94" s="12" t="str">
        <f t="shared" ca="1" si="33"/>
        <v>NA</v>
      </c>
      <c r="CA94" s="5"/>
    </row>
    <row r="95" spans="1:79" ht="12.75" customHeight="1" x14ac:dyDescent="0.15">
      <c r="A95" s="4">
        <v>1148</v>
      </c>
      <c r="B95" s="5" t="s">
        <v>79</v>
      </c>
      <c r="C95" s="5" t="s">
        <v>79</v>
      </c>
      <c r="D95" s="6" t="s">
        <v>540</v>
      </c>
      <c r="E95" s="7">
        <v>320</v>
      </c>
      <c r="F95" s="6" t="s">
        <v>541</v>
      </c>
      <c r="G95" s="8"/>
      <c r="H95" s="8"/>
      <c r="I95" s="8"/>
      <c r="J95" s="8"/>
      <c r="K95" s="8"/>
      <c r="L95" s="8" t="s">
        <v>82</v>
      </c>
      <c r="M95" s="7">
        <v>1116</v>
      </c>
      <c r="N95" s="7">
        <v>1054</v>
      </c>
      <c r="O95" s="13">
        <v>36809</v>
      </c>
      <c r="P95" s="10">
        <f t="shared" ca="1" si="0"/>
        <v>5.5555555555555558E-3</v>
      </c>
      <c r="Q95" s="5">
        <f t="shared" ca="1" si="1"/>
        <v>0</v>
      </c>
      <c r="R95" s="5">
        <f t="shared" ca="1" si="2"/>
        <v>2</v>
      </c>
      <c r="S95" s="7">
        <f t="shared" ca="1" si="3"/>
        <v>2000</v>
      </c>
      <c r="T95" s="7">
        <f t="shared" ca="1" si="4"/>
        <v>10</v>
      </c>
      <c r="U95" s="7">
        <f t="shared" ca="1" si="5"/>
        <v>10</v>
      </c>
      <c r="V95" s="6" t="s">
        <v>542</v>
      </c>
      <c r="W95" s="14" t="s">
        <v>96</v>
      </c>
      <c r="X95" s="15"/>
      <c r="Y95" s="5">
        <f t="shared" ca="1" si="6"/>
        <v>0</v>
      </c>
      <c r="Z95" s="6"/>
      <c r="AA95" s="12" t="str">
        <f t="shared" ca="1" si="7"/>
        <v>NA</v>
      </c>
      <c r="AB95" s="12" t="str">
        <f t="shared" ca="1" si="8"/>
        <v>NA</v>
      </c>
      <c r="AC95" s="12" t="str">
        <f t="shared" ca="1" si="9"/>
        <v>NA</v>
      </c>
      <c r="AD95" s="6"/>
      <c r="AE95" s="5"/>
      <c r="AF95" s="6"/>
      <c r="AG95" s="11">
        <v>36811</v>
      </c>
      <c r="AH95" s="12">
        <f t="shared" ca="1" si="10"/>
        <v>2000</v>
      </c>
      <c r="AI95" s="12">
        <f t="shared" ca="1" si="11"/>
        <v>10</v>
      </c>
      <c r="AJ95" s="12">
        <f t="shared" ca="1" si="12"/>
        <v>12</v>
      </c>
      <c r="AK95" s="8" t="s">
        <v>543</v>
      </c>
      <c r="AL95" s="8"/>
      <c r="AM95" s="5"/>
      <c r="AN95" s="5"/>
      <c r="AO95" s="5"/>
      <c r="AP95" s="12" t="str">
        <f t="shared" ca="1" si="13"/>
        <v>NA</v>
      </c>
      <c r="AQ95" s="12" t="str">
        <f t="shared" ca="1" si="14"/>
        <v>NA</v>
      </c>
      <c r="AR95" s="12" t="str">
        <f t="shared" ca="1" si="15"/>
        <v>NA</v>
      </c>
      <c r="AS95" s="5"/>
      <c r="AT95" s="5"/>
      <c r="AU95" s="5"/>
      <c r="AV95" s="12" t="str">
        <f t="shared" ca="1" si="16"/>
        <v>NA</v>
      </c>
      <c r="AW95" s="12" t="str">
        <f t="shared" ca="1" si="17"/>
        <v>NA</v>
      </c>
      <c r="AX95" s="12" t="str">
        <f t="shared" ca="1" si="18"/>
        <v>NA</v>
      </c>
      <c r="AY95" s="5"/>
      <c r="AZ95" s="5"/>
      <c r="BA95" s="6"/>
      <c r="BB95" s="12" t="str">
        <f t="shared" ca="1" si="19"/>
        <v>NA</v>
      </c>
      <c r="BC95" s="12" t="str">
        <f t="shared" ca="1" si="20"/>
        <v>NA</v>
      </c>
      <c r="BD95" s="12" t="str">
        <f t="shared" ca="1" si="21"/>
        <v>NA</v>
      </c>
      <c r="BE95" s="5"/>
      <c r="BF95" s="5"/>
      <c r="BG95" s="5"/>
      <c r="BH95" s="12" t="str">
        <f t="shared" ca="1" si="22"/>
        <v>NA</v>
      </c>
      <c r="BI95" s="12" t="str">
        <f t="shared" ca="1" si="23"/>
        <v>NA</v>
      </c>
      <c r="BJ95" s="12" t="str">
        <f t="shared" ca="1" si="24"/>
        <v>NA</v>
      </c>
      <c r="BK95" s="5"/>
      <c r="BL95" s="5"/>
      <c r="BM95" s="12" t="str">
        <f t="shared" ca="1" si="25"/>
        <v>NA</v>
      </c>
      <c r="BN95" s="12" t="str">
        <f t="shared" ca="1" si="26"/>
        <v>NA</v>
      </c>
      <c r="BO95" s="12" t="str">
        <f t="shared" ca="1" si="27"/>
        <v>NA</v>
      </c>
      <c r="BP95" s="5"/>
      <c r="BQ95" s="5"/>
      <c r="BR95" s="5"/>
      <c r="BS95" s="12" t="str">
        <f t="shared" ca="1" si="28"/>
        <v>NA</v>
      </c>
      <c r="BT95" s="12" t="str">
        <f t="shared" ca="1" si="29"/>
        <v>NA</v>
      </c>
      <c r="BU95" s="12" t="str">
        <f t="shared" ca="1" si="30"/>
        <v>NA</v>
      </c>
      <c r="BV95" s="5"/>
      <c r="BW95" s="5"/>
      <c r="BX95" s="12" t="str">
        <f t="shared" ca="1" si="31"/>
        <v>NA</v>
      </c>
      <c r="BY95" s="12" t="str">
        <f t="shared" ca="1" si="32"/>
        <v>NA</v>
      </c>
      <c r="BZ95" s="12" t="str">
        <f t="shared" ca="1" si="33"/>
        <v>NA</v>
      </c>
      <c r="CA95" s="5"/>
    </row>
    <row r="96" spans="1:79" ht="12.75" customHeight="1" x14ac:dyDescent="0.15">
      <c r="A96" s="4">
        <v>1149</v>
      </c>
      <c r="B96" s="5" t="s">
        <v>79</v>
      </c>
      <c r="C96" s="5" t="s">
        <v>79</v>
      </c>
      <c r="D96" s="6" t="s">
        <v>544</v>
      </c>
      <c r="E96" s="7">
        <v>2917</v>
      </c>
      <c r="F96" s="6" t="s">
        <v>545</v>
      </c>
      <c r="G96" s="8"/>
      <c r="H96" s="8"/>
      <c r="I96" s="8"/>
      <c r="J96" s="8"/>
      <c r="K96" s="8"/>
      <c r="L96" s="8" t="s">
        <v>82</v>
      </c>
      <c r="M96" s="7">
        <v>1103</v>
      </c>
      <c r="N96" s="7">
        <v>1097</v>
      </c>
      <c r="O96" s="13">
        <v>36772</v>
      </c>
      <c r="P96" s="10">
        <f t="shared" ca="1" si="0"/>
        <v>0</v>
      </c>
      <c r="Q96" s="5">
        <f t="shared" ca="1" si="1"/>
        <v>0</v>
      </c>
      <c r="R96" s="5">
        <f t="shared" ca="1" si="2"/>
        <v>0</v>
      </c>
      <c r="S96" s="7">
        <f t="shared" ca="1" si="3"/>
        <v>2000</v>
      </c>
      <c r="T96" s="7">
        <f t="shared" ca="1" si="4"/>
        <v>9</v>
      </c>
      <c r="U96" s="7">
        <f t="shared" ca="1" si="5"/>
        <v>3</v>
      </c>
      <c r="V96" s="6" t="s">
        <v>546</v>
      </c>
      <c r="W96" s="14" t="s">
        <v>96</v>
      </c>
      <c r="X96" s="15"/>
      <c r="Y96" s="5">
        <f t="shared" ca="1" si="6"/>
        <v>0</v>
      </c>
      <c r="Z96" s="6"/>
      <c r="AA96" s="12" t="str">
        <f t="shared" ca="1" si="7"/>
        <v>NA</v>
      </c>
      <c r="AB96" s="12" t="str">
        <f t="shared" ca="1" si="8"/>
        <v>NA</v>
      </c>
      <c r="AC96" s="12" t="str">
        <f t="shared" ca="1" si="9"/>
        <v>NA</v>
      </c>
      <c r="AD96" s="6"/>
      <c r="AE96" s="5"/>
      <c r="AF96" s="6"/>
      <c r="AG96" s="11">
        <v>36772</v>
      </c>
      <c r="AH96" s="12">
        <f t="shared" ca="1" si="10"/>
        <v>2000</v>
      </c>
      <c r="AI96" s="12">
        <f t="shared" ca="1" si="11"/>
        <v>9</v>
      </c>
      <c r="AJ96" s="12">
        <f t="shared" ca="1" si="12"/>
        <v>3</v>
      </c>
      <c r="AK96" s="8" t="s">
        <v>547</v>
      </c>
      <c r="AL96" s="8"/>
      <c r="AM96" s="5"/>
      <c r="AN96" s="5"/>
      <c r="AO96" s="5"/>
      <c r="AP96" s="12" t="str">
        <f t="shared" ca="1" si="13"/>
        <v>NA</v>
      </c>
      <c r="AQ96" s="12" t="str">
        <f t="shared" ca="1" si="14"/>
        <v>NA</v>
      </c>
      <c r="AR96" s="12" t="str">
        <f t="shared" ca="1" si="15"/>
        <v>NA</v>
      </c>
      <c r="AS96" s="5"/>
      <c r="AT96" s="5"/>
      <c r="AU96" s="5"/>
      <c r="AV96" s="12" t="str">
        <f t="shared" ca="1" si="16"/>
        <v>NA</v>
      </c>
      <c r="AW96" s="12" t="str">
        <f t="shared" ca="1" si="17"/>
        <v>NA</v>
      </c>
      <c r="AX96" s="12" t="str">
        <f t="shared" ca="1" si="18"/>
        <v>NA</v>
      </c>
      <c r="AY96" s="5"/>
      <c r="AZ96" s="5"/>
      <c r="BA96" s="6"/>
      <c r="BB96" s="12" t="str">
        <f t="shared" ca="1" si="19"/>
        <v>NA</v>
      </c>
      <c r="BC96" s="12" t="str">
        <f t="shared" ca="1" si="20"/>
        <v>NA</v>
      </c>
      <c r="BD96" s="12" t="str">
        <f t="shared" ca="1" si="21"/>
        <v>NA</v>
      </c>
      <c r="BE96" s="5"/>
      <c r="BF96" s="5"/>
      <c r="BG96" s="5"/>
      <c r="BH96" s="12" t="str">
        <f t="shared" ca="1" si="22"/>
        <v>NA</v>
      </c>
      <c r="BI96" s="12" t="str">
        <f t="shared" ca="1" si="23"/>
        <v>NA</v>
      </c>
      <c r="BJ96" s="12" t="str">
        <f t="shared" ca="1" si="24"/>
        <v>NA</v>
      </c>
      <c r="BK96" s="5"/>
      <c r="BL96" s="5"/>
      <c r="BM96" s="12" t="str">
        <f t="shared" ca="1" si="25"/>
        <v>NA</v>
      </c>
      <c r="BN96" s="12" t="str">
        <f t="shared" ca="1" si="26"/>
        <v>NA</v>
      </c>
      <c r="BO96" s="12" t="str">
        <f t="shared" ca="1" si="27"/>
        <v>NA</v>
      </c>
      <c r="BP96" s="5"/>
      <c r="BQ96" s="5"/>
      <c r="BR96" s="5"/>
      <c r="BS96" s="12" t="str">
        <f t="shared" ca="1" si="28"/>
        <v>NA</v>
      </c>
      <c r="BT96" s="12" t="str">
        <f t="shared" ca="1" si="29"/>
        <v>NA</v>
      </c>
      <c r="BU96" s="12" t="str">
        <f t="shared" ca="1" si="30"/>
        <v>NA</v>
      </c>
      <c r="BV96" s="5"/>
      <c r="BW96" s="5"/>
      <c r="BX96" s="12" t="str">
        <f t="shared" ca="1" si="31"/>
        <v>NA</v>
      </c>
      <c r="BY96" s="12" t="str">
        <f t="shared" ca="1" si="32"/>
        <v>NA</v>
      </c>
      <c r="BZ96" s="12" t="str">
        <f t="shared" ca="1" si="33"/>
        <v>NA</v>
      </c>
      <c r="CA96" s="5"/>
    </row>
    <row r="97" spans="1:79" ht="12.75" customHeight="1" x14ac:dyDescent="0.15">
      <c r="A97" s="4">
        <v>1150</v>
      </c>
      <c r="B97" s="5" t="s">
        <v>79</v>
      </c>
      <c r="C97" s="5" t="s">
        <v>79</v>
      </c>
      <c r="D97" s="6" t="s">
        <v>548</v>
      </c>
      <c r="E97" s="7">
        <v>200008</v>
      </c>
      <c r="F97" s="6" t="s">
        <v>549</v>
      </c>
      <c r="G97" s="8"/>
      <c r="H97" s="8"/>
      <c r="I97" s="8"/>
      <c r="J97" s="8"/>
      <c r="K97" s="8"/>
      <c r="L97" s="8" t="s">
        <v>82</v>
      </c>
      <c r="M97" s="7">
        <v>1125</v>
      </c>
      <c r="N97" s="7">
        <v>1124</v>
      </c>
      <c r="O97" s="13">
        <v>36593</v>
      </c>
      <c r="P97" s="10">
        <f t="shared" ca="1" si="0"/>
        <v>1.8305555555555555</v>
      </c>
      <c r="Q97" s="5">
        <f t="shared" ca="1" si="1"/>
        <v>21</v>
      </c>
      <c r="R97" s="5">
        <f t="shared" ca="1" si="2"/>
        <v>670</v>
      </c>
      <c r="S97" s="7">
        <f t="shared" ca="1" si="3"/>
        <v>2000</v>
      </c>
      <c r="T97" s="7">
        <f t="shared" ca="1" si="4"/>
        <v>3</v>
      </c>
      <c r="U97" s="7">
        <f t="shared" ca="1" si="5"/>
        <v>8</v>
      </c>
      <c r="V97" s="6" t="s">
        <v>550</v>
      </c>
      <c r="W97" s="14" t="s">
        <v>96</v>
      </c>
      <c r="X97" s="15"/>
      <c r="Y97" s="5">
        <f t="shared" ca="1" si="6"/>
        <v>0</v>
      </c>
      <c r="Z97" s="6"/>
      <c r="AA97" s="12" t="str">
        <f t="shared" ca="1" si="7"/>
        <v>NA</v>
      </c>
      <c r="AB97" s="12" t="str">
        <f t="shared" ca="1" si="8"/>
        <v>NA</v>
      </c>
      <c r="AC97" s="12" t="str">
        <f t="shared" ca="1" si="9"/>
        <v>NA</v>
      </c>
      <c r="AD97" s="6"/>
      <c r="AE97" s="5"/>
      <c r="AF97" s="6"/>
      <c r="AG97" s="11">
        <v>37263</v>
      </c>
      <c r="AH97" s="12">
        <f t="shared" ca="1" si="10"/>
        <v>2002</v>
      </c>
      <c r="AI97" s="12">
        <f t="shared" ca="1" si="11"/>
        <v>1</v>
      </c>
      <c r="AJ97" s="12">
        <f t="shared" ca="1" si="12"/>
        <v>7</v>
      </c>
      <c r="AK97" s="8" t="s">
        <v>551</v>
      </c>
      <c r="AL97" s="8"/>
      <c r="AM97" s="5"/>
      <c r="AN97" s="5"/>
      <c r="AO97" s="5"/>
      <c r="AP97" s="12" t="str">
        <f t="shared" ca="1" si="13"/>
        <v>NA</v>
      </c>
      <c r="AQ97" s="12" t="str">
        <f t="shared" ca="1" si="14"/>
        <v>NA</v>
      </c>
      <c r="AR97" s="12" t="str">
        <f t="shared" ca="1" si="15"/>
        <v>NA</v>
      </c>
      <c r="AS97" s="5"/>
      <c r="AT97" s="5"/>
      <c r="AU97" s="5"/>
      <c r="AV97" s="12" t="str">
        <f t="shared" ca="1" si="16"/>
        <v>NA</v>
      </c>
      <c r="AW97" s="12" t="str">
        <f t="shared" ca="1" si="17"/>
        <v>NA</v>
      </c>
      <c r="AX97" s="12" t="str">
        <f t="shared" ca="1" si="18"/>
        <v>NA</v>
      </c>
      <c r="AY97" s="5"/>
      <c r="AZ97" s="5"/>
      <c r="BA97" s="6"/>
      <c r="BB97" s="12" t="str">
        <f t="shared" ca="1" si="19"/>
        <v>NA</v>
      </c>
      <c r="BC97" s="12" t="str">
        <f t="shared" ca="1" si="20"/>
        <v>NA</v>
      </c>
      <c r="BD97" s="12" t="str">
        <f t="shared" ca="1" si="21"/>
        <v>NA</v>
      </c>
      <c r="BE97" s="5"/>
      <c r="BF97" s="5"/>
      <c r="BG97" s="5"/>
      <c r="BH97" s="12" t="str">
        <f t="shared" ca="1" si="22"/>
        <v>NA</v>
      </c>
      <c r="BI97" s="12" t="str">
        <f t="shared" ca="1" si="23"/>
        <v>NA</v>
      </c>
      <c r="BJ97" s="12" t="str">
        <f t="shared" ca="1" si="24"/>
        <v>NA</v>
      </c>
      <c r="BK97" s="5"/>
      <c r="BL97" s="5"/>
      <c r="BM97" s="12" t="str">
        <f t="shared" ca="1" si="25"/>
        <v>NA</v>
      </c>
      <c r="BN97" s="12" t="str">
        <f t="shared" ca="1" si="26"/>
        <v>NA</v>
      </c>
      <c r="BO97" s="12" t="str">
        <f t="shared" ca="1" si="27"/>
        <v>NA</v>
      </c>
      <c r="BP97" s="5"/>
      <c r="BQ97" s="5"/>
      <c r="BR97" s="5"/>
      <c r="BS97" s="12" t="str">
        <f t="shared" ca="1" si="28"/>
        <v>NA</v>
      </c>
      <c r="BT97" s="12" t="str">
        <f t="shared" ca="1" si="29"/>
        <v>NA</v>
      </c>
      <c r="BU97" s="12" t="str">
        <f t="shared" ca="1" si="30"/>
        <v>NA</v>
      </c>
      <c r="BV97" s="5"/>
      <c r="BW97" s="5"/>
      <c r="BX97" s="12" t="str">
        <f t="shared" ca="1" si="31"/>
        <v>NA</v>
      </c>
      <c r="BY97" s="12" t="str">
        <f t="shared" ca="1" si="32"/>
        <v>NA</v>
      </c>
      <c r="BZ97" s="12" t="str">
        <f t="shared" ca="1" si="33"/>
        <v>NA</v>
      </c>
      <c r="CA97" s="5"/>
    </row>
    <row r="98" spans="1:79" ht="12.75" customHeight="1" x14ac:dyDescent="0.15">
      <c r="A98" s="4">
        <v>1151</v>
      </c>
      <c r="B98" s="5" t="s">
        <v>79</v>
      </c>
      <c r="C98" s="5" t="s">
        <v>79</v>
      </c>
      <c r="D98" s="6" t="s">
        <v>552</v>
      </c>
      <c r="E98" s="6" t="s">
        <v>553</v>
      </c>
      <c r="F98" s="6" t="s">
        <v>554</v>
      </c>
      <c r="G98" s="8"/>
      <c r="H98" s="8"/>
      <c r="I98" s="8"/>
      <c r="J98" s="8"/>
      <c r="K98" s="8"/>
      <c r="L98" s="8" t="s">
        <v>82</v>
      </c>
      <c r="M98" s="7">
        <v>1125</v>
      </c>
      <c r="N98" s="7">
        <v>1124</v>
      </c>
      <c r="O98" s="13">
        <v>36593</v>
      </c>
      <c r="P98" s="10">
        <f t="shared" ca="1" si="0"/>
        <v>9.9527777777777775</v>
      </c>
      <c r="Q98" s="5">
        <f t="shared" ca="1" si="1"/>
        <v>119</v>
      </c>
      <c r="R98" s="5">
        <f t="shared" ca="1" si="2"/>
        <v>3637</v>
      </c>
      <c r="S98" s="7">
        <f t="shared" ca="1" si="3"/>
        <v>2000</v>
      </c>
      <c r="T98" s="7">
        <f t="shared" ca="1" si="4"/>
        <v>3</v>
      </c>
      <c r="U98" s="7">
        <f t="shared" ca="1" si="5"/>
        <v>8</v>
      </c>
      <c r="V98" s="6" t="s">
        <v>555</v>
      </c>
      <c r="W98" s="14" t="s">
        <v>96</v>
      </c>
      <c r="X98" s="15"/>
      <c r="Y98" s="5">
        <f t="shared" ca="1" si="6"/>
        <v>1</v>
      </c>
      <c r="Z98" s="6"/>
      <c r="AA98" s="12" t="str">
        <f t="shared" ca="1" si="7"/>
        <v>NA</v>
      </c>
      <c r="AB98" s="12" t="str">
        <f t="shared" ca="1" si="8"/>
        <v>NA</v>
      </c>
      <c r="AC98" s="12" t="str">
        <f t="shared" ca="1" si="9"/>
        <v>NA</v>
      </c>
      <c r="AD98" s="6"/>
      <c r="AE98" s="5"/>
      <c r="AF98" s="6"/>
      <c r="AG98" s="11">
        <v>40230</v>
      </c>
      <c r="AH98" s="12">
        <f t="shared" ca="1" si="10"/>
        <v>2010</v>
      </c>
      <c r="AI98" s="12">
        <f t="shared" ca="1" si="11"/>
        <v>2</v>
      </c>
      <c r="AJ98" s="12">
        <f t="shared" ca="1" si="12"/>
        <v>21</v>
      </c>
      <c r="AK98" s="8" t="s">
        <v>556</v>
      </c>
      <c r="AL98" s="8"/>
      <c r="AM98" s="5"/>
      <c r="AN98" s="5"/>
      <c r="AO98" s="11">
        <v>38162</v>
      </c>
      <c r="AP98" s="12">
        <f t="shared" ca="1" si="13"/>
        <v>2004</v>
      </c>
      <c r="AQ98" s="12">
        <f t="shared" ca="1" si="14"/>
        <v>6</v>
      </c>
      <c r="AR98" s="12">
        <f t="shared" ca="1" si="15"/>
        <v>24</v>
      </c>
      <c r="AS98" s="8" t="s">
        <v>557</v>
      </c>
      <c r="AT98" s="8"/>
      <c r="AU98" s="5"/>
      <c r="AV98" s="12" t="str">
        <f t="shared" ca="1" si="16"/>
        <v>NA</v>
      </c>
      <c r="AW98" s="12" t="str">
        <f t="shared" ca="1" si="17"/>
        <v>NA</v>
      </c>
      <c r="AX98" s="12" t="str">
        <f t="shared" ca="1" si="18"/>
        <v>NA</v>
      </c>
      <c r="AY98" s="5"/>
      <c r="AZ98" s="5"/>
      <c r="BA98" s="6"/>
      <c r="BB98" s="12" t="str">
        <f t="shared" ca="1" si="19"/>
        <v>NA</v>
      </c>
      <c r="BC98" s="12" t="str">
        <f t="shared" ca="1" si="20"/>
        <v>NA</v>
      </c>
      <c r="BD98" s="12" t="str">
        <f t="shared" ca="1" si="21"/>
        <v>NA</v>
      </c>
      <c r="BE98" s="5"/>
      <c r="BF98" s="5"/>
      <c r="BG98" s="5"/>
      <c r="BH98" s="12" t="str">
        <f t="shared" ca="1" si="22"/>
        <v>NA</v>
      </c>
      <c r="BI98" s="12" t="str">
        <f t="shared" ca="1" si="23"/>
        <v>NA</v>
      </c>
      <c r="BJ98" s="12" t="str">
        <f t="shared" ca="1" si="24"/>
        <v>NA</v>
      </c>
      <c r="BK98" s="5"/>
      <c r="BL98" s="5"/>
      <c r="BM98" s="12" t="str">
        <f t="shared" ca="1" si="25"/>
        <v>NA</v>
      </c>
      <c r="BN98" s="12" t="str">
        <f t="shared" ca="1" si="26"/>
        <v>NA</v>
      </c>
      <c r="BO98" s="12" t="str">
        <f t="shared" ca="1" si="27"/>
        <v>NA</v>
      </c>
      <c r="BP98" s="5"/>
      <c r="BQ98" s="5"/>
      <c r="BR98" s="5"/>
      <c r="BS98" s="12" t="str">
        <f t="shared" ca="1" si="28"/>
        <v>NA</v>
      </c>
      <c r="BT98" s="12" t="str">
        <f t="shared" ca="1" si="29"/>
        <v>NA</v>
      </c>
      <c r="BU98" s="12" t="str">
        <f t="shared" ca="1" si="30"/>
        <v>NA</v>
      </c>
      <c r="BV98" s="5"/>
      <c r="BW98" s="5"/>
      <c r="BX98" s="12" t="str">
        <f t="shared" ca="1" si="31"/>
        <v>NA</v>
      </c>
      <c r="BY98" s="12" t="str">
        <f t="shared" ca="1" si="32"/>
        <v>NA</v>
      </c>
      <c r="BZ98" s="12" t="str">
        <f t="shared" ca="1" si="33"/>
        <v>NA</v>
      </c>
      <c r="CA98" s="5"/>
    </row>
    <row r="99" spans="1:79" ht="12.75" customHeight="1" x14ac:dyDescent="0.15">
      <c r="A99" s="4">
        <v>2108</v>
      </c>
      <c r="B99" s="5" t="s">
        <v>79</v>
      </c>
      <c r="C99" s="5" t="s">
        <v>79</v>
      </c>
      <c r="D99" s="6" t="s">
        <v>558</v>
      </c>
      <c r="E99" s="7">
        <v>3036</v>
      </c>
      <c r="F99" s="6" t="s">
        <v>559</v>
      </c>
      <c r="G99" s="8"/>
      <c r="H99" s="8"/>
      <c r="I99" s="8"/>
      <c r="J99" s="8"/>
      <c r="K99" s="8"/>
      <c r="L99" s="8" t="s">
        <v>82</v>
      </c>
      <c r="M99" s="6" t="s">
        <v>560</v>
      </c>
      <c r="N99" s="7">
        <v>2097</v>
      </c>
      <c r="O99" s="13">
        <v>32608</v>
      </c>
      <c r="P99" s="10">
        <f t="shared" ca="1" si="0"/>
        <v>14.597222222222221</v>
      </c>
      <c r="Q99" s="5">
        <f t="shared" ca="1" si="1"/>
        <v>175</v>
      </c>
      <c r="R99" s="5">
        <f t="shared" ca="1" si="2"/>
        <v>5332</v>
      </c>
      <c r="S99" s="7">
        <f t="shared" ca="1" si="3"/>
        <v>1989</v>
      </c>
      <c r="T99" s="7">
        <f t="shared" ca="1" si="4"/>
        <v>4</v>
      </c>
      <c r="U99" s="7">
        <f t="shared" ca="1" si="5"/>
        <v>10</v>
      </c>
      <c r="V99" s="6" t="s">
        <v>561</v>
      </c>
      <c r="W99" s="14" t="s">
        <v>96</v>
      </c>
      <c r="X99" s="15"/>
      <c r="Y99" s="5">
        <f t="shared" ca="1" si="6"/>
        <v>2</v>
      </c>
      <c r="Z99" s="6"/>
      <c r="AA99" s="12" t="str">
        <f t="shared" ca="1" si="7"/>
        <v>NA</v>
      </c>
      <c r="AB99" s="12" t="str">
        <f t="shared" ca="1" si="8"/>
        <v>NA</v>
      </c>
      <c r="AC99" s="12" t="str">
        <f t="shared" ca="1" si="9"/>
        <v>NA</v>
      </c>
      <c r="AD99" s="6"/>
      <c r="AE99" s="5"/>
      <c r="AF99" s="6"/>
      <c r="AG99" s="11">
        <v>37940</v>
      </c>
      <c r="AH99" s="12">
        <f t="shared" ca="1" si="10"/>
        <v>2003</v>
      </c>
      <c r="AI99" s="12">
        <f t="shared" ca="1" si="11"/>
        <v>11</v>
      </c>
      <c r="AJ99" s="12">
        <f t="shared" ca="1" si="12"/>
        <v>15</v>
      </c>
      <c r="AK99" s="8" t="s">
        <v>562</v>
      </c>
      <c r="AL99" s="8"/>
      <c r="AM99" s="5"/>
      <c r="AN99" s="5"/>
      <c r="AO99" s="11">
        <v>32982</v>
      </c>
      <c r="AP99" s="12">
        <f t="shared" ca="1" si="13"/>
        <v>1990</v>
      </c>
      <c r="AQ99" s="12">
        <f t="shared" ca="1" si="14"/>
        <v>4</v>
      </c>
      <c r="AR99" s="12">
        <f t="shared" ca="1" si="15"/>
        <v>19</v>
      </c>
      <c r="AS99" s="8" t="s">
        <v>563</v>
      </c>
      <c r="AT99" s="8"/>
      <c r="AU99" s="11">
        <v>37586</v>
      </c>
      <c r="AV99" s="12">
        <f t="shared" ca="1" si="16"/>
        <v>2002</v>
      </c>
      <c r="AW99" s="12">
        <f t="shared" ca="1" si="17"/>
        <v>11</v>
      </c>
      <c r="AX99" s="12">
        <f t="shared" ca="1" si="18"/>
        <v>26</v>
      </c>
      <c r="AY99" s="8" t="s">
        <v>564</v>
      </c>
      <c r="AZ99" s="8"/>
      <c r="BA99" s="6"/>
      <c r="BB99" s="12" t="str">
        <f t="shared" ca="1" si="19"/>
        <v>NA</v>
      </c>
      <c r="BC99" s="12" t="str">
        <f t="shared" ca="1" si="20"/>
        <v>NA</v>
      </c>
      <c r="BD99" s="12" t="str">
        <f t="shared" ca="1" si="21"/>
        <v>NA</v>
      </c>
      <c r="BE99" s="5"/>
      <c r="BF99" s="5"/>
      <c r="BG99" s="5"/>
      <c r="BH99" s="12" t="str">
        <f t="shared" ca="1" si="22"/>
        <v>NA</v>
      </c>
      <c r="BI99" s="12" t="str">
        <f t="shared" ca="1" si="23"/>
        <v>NA</v>
      </c>
      <c r="BJ99" s="12" t="str">
        <f t="shared" ca="1" si="24"/>
        <v>NA</v>
      </c>
      <c r="BK99" s="5"/>
      <c r="BL99" s="5"/>
      <c r="BM99" s="12" t="str">
        <f t="shared" ca="1" si="25"/>
        <v>NA</v>
      </c>
      <c r="BN99" s="12" t="str">
        <f t="shared" ca="1" si="26"/>
        <v>NA</v>
      </c>
      <c r="BO99" s="12" t="str">
        <f t="shared" ca="1" si="27"/>
        <v>NA</v>
      </c>
      <c r="BP99" s="5"/>
      <c r="BQ99" s="5"/>
      <c r="BR99" s="5"/>
      <c r="BS99" s="12" t="str">
        <f t="shared" ca="1" si="28"/>
        <v>NA</v>
      </c>
      <c r="BT99" s="12" t="str">
        <f t="shared" ca="1" si="29"/>
        <v>NA</v>
      </c>
      <c r="BU99" s="12" t="str">
        <f t="shared" ca="1" si="30"/>
        <v>NA</v>
      </c>
      <c r="BV99" s="5"/>
      <c r="BW99" s="5"/>
      <c r="BX99" s="12" t="str">
        <f t="shared" ca="1" si="31"/>
        <v>NA</v>
      </c>
      <c r="BY99" s="12" t="str">
        <f t="shared" ca="1" si="32"/>
        <v>NA</v>
      </c>
      <c r="BZ99" s="12" t="str">
        <f t="shared" ca="1" si="33"/>
        <v>NA</v>
      </c>
      <c r="CA99" s="5"/>
    </row>
    <row r="100" spans="1:79" ht="12.75" customHeight="1" x14ac:dyDescent="0.15">
      <c r="A100" s="4">
        <v>2208</v>
      </c>
      <c r="B100" s="5" t="s">
        <v>79</v>
      </c>
      <c r="C100" s="5" t="s">
        <v>79</v>
      </c>
      <c r="D100" s="6" t="s">
        <v>565</v>
      </c>
      <c r="E100" s="7">
        <v>9422</v>
      </c>
      <c r="F100" s="6" t="s">
        <v>566</v>
      </c>
      <c r="G100" s="8"/>
      <c r="H100" s="8"/>
      <c r="I100" s="8"/>
      <c r="J100" s="8"/>
      <c r="K100" s="8"/>
      <c r="L100" s="8" t="s">
        <v>82</v>
      </c>
      <c r="M100" s="7">
        <v>2108</v>
      </c>
      <c r="N100" s="7">
        <v>2129</v>
      </c>
      <c r="O100" s="13">
        <v>34451</v>
      </c>
      <c r="P100" s="10">
        <f t="shared" ca="1" si="0"/>
        <v>16.505555555555556</v>
      </c>
      <c r="Q100" s="5">
        <f t="shared" ca="1" si="1"/>
        <v>198</v>
      </c>
      <c r="R100" s="5">
        <f t="shared" ca="1" si="2"/>
        <v>6029</v>
      </c>
      <c r="S100" s="7">
        <f t="shared" ca="1" si="3"/>
        <v>1994</v>
      </c>
      <c r="T100" s="7">
        <f t="shared" ca="1" si="4"/>
        <v>4</v>
      </c>
      <c r="U100" s="7">
        <f t="shared" ca="1" si="5"/>
        <v>27</v>
      </c>
      <c r="V100" s="6" t="s">
        <v>567</v>
      </c>
      <c r="W100" s="14" t="s">
        <v>96</v>
      </c>
      <c r="X100" s="15"/>
      <c r="Y100" s="5">
        <f t="shared" ca="1" si="6"/>
        <v>2</v>
      </c>
      <c r="Z100" s="6"/>
      <c r="AA100" s="12" t="str">
        <f t="shared" ca="1" si="7"/>
        <v>NA</v>
      </c>
      <c r="AB100" s="12" t="str">
        <f t="shared" ca="1" si="8"/>
        <v>NA</v>
      </c>
      <c r="AC100" s="12" t="str">
        <f t="shared" ca="1" si="9"/>
        <v>NA</v>
      </c>
      <c r="AD100" s="6"/>
      <c r="AE100" s="5"/>
      <c r="AF100" s="6"/>
      <c r="AG100" s="11">
        <v>40480</v>
      </c>
      <c r="AH100" s="12">
        <f t="shared" ca="1" si="10"/>
        <v>2010</v>
      </c>
      <c r="AI100" s="12">
        <f t="shared" ca="1" si="11"/>
        <v>10</v>
      </c>
      <c r="AJ100" s="12">
        <f t="shared" ca="1" si="12"/>
        <v>29</v>
      </c>
      <c r="AK100" s="8" t="s">
        <v>568</v>
      </c>
      <c r="AL100" s="8"/>
      <c r="AM100" s="5"/>
      <c r="AN100" s="5"/>
      <c r="AO100" s="11">
        <v>35970</v>
      </c>
      <c r="AP100" s="12">
        <f t="shared" ca="1" si="13"/>
        <v>1998</v>
      </c>
      <c r="AQ100" s="12">
        <f t="shared" ca="1" si="14"/>
        <v>6</v>
      </c>
      <c r="AR100" s="12">
        <f t="shared" ca="1" si="15"/>
        <v>24</v>
      </c>
      <c r="AS100" s="8" t="s">
        <v>569</v>
      </c>
      <c r="AT100" s="8"/>
      <c r="AU100" s="11">
        <v>36081</v>
      </c>
      <c r="AV100" s="12">
        <f t="shared" ca="1" si="16"/>
        <v>1998</v>
      </c>
      <c r="AW100" s="12">
        <f t="shared" ca="1" si="17"/>
        <v>10</v>
      </c>
      <c r="AX100" s="12">
        <f t="shared" ca="1" si="18"/>
        <v>13</v>
      </c>
      <c r="AY100" s="8" t="s">
        <v>570</v>
      </c>
      <c r="AZ100" s="8"/>
      <c r="BA100" s="6"/>
      <c r="BB100" s="12" t="str">
        <f t="shared" ca="1" si="19"/>
        <v>NA</v>
      </c>
      <c r="BC100" s="12" t="str">
        <f t="shared" ca="1" si="20"/>
        <v>NA</v>
      </c>
      <c r="BD100" s="12" t="str">
        <f t="shared" ca="1" si="21"/>
        <v>NA</v>
      </c>
      <c r="BE100" s="5"/>
      <c r="BF100" s="5"/>
      <c r="BG100" s="5"/>
      <c r="BH100" s="12" t="str">
        <f t="shared" ca="1" si="22"/>
        <v>NA</v>
      </c>
      <c r="BI100" s="12" t="str">
        <f t="shared" ca="1" si="23"/>
        <v>NA</v>
      </c>
      <c r="BJ100" s="12" t="str">
        <f t="shared" ca="1" si="24"/>
        <v>NA</v>
      </c>
      <c r="BK100" s="5"/>
      <c r="BL100" s="5"/>
      <c r="BM100" s="12" t="str">
        <f t="shared" ca="1" si="25"/>
        <v>NA</v>
      </c>
      <c r="BN100" s="12" t="str">
        <f t="shared" ca="1" si="26"/>
        <v>NA</v>
      </c>
      <c r="BO100" s="12" t="str">
        <f t="shared" ca="1" si="27"/>
        <v>NA</v>
      </c>
      <c r="BP100" s="5"/>
      <c r="BQ100" s="5"/>
      <c r="BR100" s="5"/>
      <c r="BS100" s="12" t="str">
        <f t="shared" ca="1" si="28"/>
        <v>NA</v>
      </c>
      <c r="BT100" s="12" t="str">
        <f t="shared" ca="1" si="29"/>
        <v>NA</v>
      </c>
      <c r="BU100" s="12" t="str">
        <f t="shared" ca="1" si="30"/>
        <v>NA</v>
      </c>
      <c r="BV100" s="5"/>
      <c r="BW100" s="5"/>
      <c r="BX100" s="12" t="str">
        <f t="shared" ca="1" si="31"/>
        <v>NA</v>
      </c>
      <c r="BY100" s="12" t="str">
        <f t="shared" ca="1" si="32"/>
        <v>NA</v>
      </c>
      <c r="BZ100" s="12" t="str">
        <f t="shared" ca="1" si="33"/>
        <v>NA</v>
      </c>
      <c r="CA100" s="5"/>
    </row>
    <row r="101" spans="1:79" ht="12.75" customHeight="1" x14ac:dyDescent="0.15">
      <c r="A101" s="4">
        <v>2233</v>
      </c>
      <c r="B101" s="5" t="s">
        <v>79</v>
      </c>
      <c r="C101" s="5" t="s">
        <v>79</v>
      </c>
      <c r="D101" s="6" t="s">
        <v>571</v>
      </c>
      <c r="E101" s="7">
        <v>982064</v>
      </c>
      <c r="F101" s="6" t="s">
        <v>572</v>
      </c>
      <c r="G101" s="8"/>
      <c r="H101" s="8"/>
      <c r="I101" s="8"/>
      <c r="J101" s="8"/>
      <c r="K101" s="8"/>
      <c r="L101" s="8" t="s">
        <v>82</v>
      </c>
      <c r="M101" s="7">
        <v>2108</v>
      </c>
      <c r="N101" s="7">
        <v>2129</v>
      </c>
      <c r="O101" s="13">
        <v>35276</v>
      </c>
      <c r="P101" s="10">
        <f t="shared" ca="1" si="0"/>
        <v>2.0833333333333335</v>
      </c>
      <c r="Q101" s="5">
        <f t="shared" ca="1" si="1"/>
        <v>25</v>
      </c>
      <c r="R101" s="5">
        <f t="shared" ca="1" si="2"/>
        <v>762</v>
      </c>
      <c r="S101" s="7">
        <f t="shared" ca="1" si="3"/>
        <v>1996</v>
      </c>
      <c r="T101" s="7">
        <f t="shared" ca="1" si="4"/>
        <v>7</v>
      </c>
      <c r="U101" s="7">
        <f t="shared" ca="1" si="5"/>
        <v>30</v>
      </c>
      <c r="V101" s="6" t="s">
        <v>573</v>
      </c>
      <c r="W101" s="14" t="s">
        <v>96</v>
      </c>
      <c r="X101" s="15"/>
      <c r="Y101" s="5">
        <f t="shared" ca="1" si="6"/>
        <v>1</v>
      </c>
      <c r="Z101" s="6"/>
      <c r="AA101" s="12" t="str">
        <f t="shared" ca="1" si="7"/>
        <v>NA</v>
      </c>
      <c r="AB101" s="12" t="str">
        <f t="shared" ca="1" si="8"/>
        <v>NA</v>
      </c>
      <c r="AC101" s="12" t="str">
        <f t="shared" ca="1" si="9"/>
        <v>NA</v>
      </c>
      <c r="AD101" s="6"/>
      <c r="AE101" s="5"/>
      <c r="AF101" s="6"/>
      <c r="AG101" s="11">
        <v>36038</v>
      </c>
      <c r="AH101" s="12">
        <f t="shared" ca="1" si="10"/>
        <v>1998</v>
      </c>
      <c r="AI101" s="12">
        <f t="shared" ca="1" si="11"/>
        <v>8</v>
      </c>
      <c r="AJ101" s="12">
        <f t="shared" ca="1" si="12"/>
        <v>31</v>
      </c>
      <c r="AK101" s="8" t="s">
        <v>574</v>
      </c>
      <c r="AL101" s="8"/>
      <c r="AM101" s="5"/>
      <c r="AN101" s="5"/>
      <c r="AO101" s="11">
        <v>35970</v>
      </c>
      <c r="AP101" s="12">
        <f t="shared" ca="1" si="13"/>
        <v>1998</v>
      </c>
      <c r="AQ101" s="12">
        <f t="shared" ca="1" si="14"/>
        <v>6</v>
      </c>
      <c r="AR101" s="12">
        <f t="shared" ca="1" si="15"/>
        <v>24</v>
      </c>
      <c r="AS101" s="8" t="s">
        <v>575</v>
      </c>
      <c r="AT101" s="8"/>
      <c r="AU101" s="5"/>
      <c r="AV101" s="12" t="str">
        <f t="shared" ca="1" si="16"/>
        <v>NA</v>
      </c>
      <c r="AW101" s="12" t="str">
        <f t="shared" ca="1" si="17"/>
        <v>NA</v>
      </c>
      <c r="AX101" s="12" t="str">
        <f t="shared" ca="1" si="18"/>
        <v>NA</v>
      </c>
      <c r="AY101" s="5"/>
      <c r="AZ101" s="5"/>
      <c r="BA101" s="6"/>
      <c r="BB101" s="12" t="str">
        <f t="shared" ca="1" si="19"/>
        <v>NA</v>
      </c>
      <c r="BC101" s="12" t="str">
        <f t="shared" ca="1" si="20"/>
        <v>NA</v>
      </c>
      <c r="BD101" s="12" t="str">
        <f t="shared" ca="1" si="21"/>
        <v>NA</v>
      </c>
      <c r="BE101" s="5"/>
      <c r="BF101" s="5"/>
      <c r="BG101" s="5"/>
      <c r="BH101" s="12" t="str">
        <f t="shared" ca="1" si="22"/>
        <v>NA</v>
      </c>
      <c r="BI101" s="12" t="str">
        <f t="shared" ca="1" si="23"/>
        <v>NA</v>
      </c>
      <c r="BJ101" s="12" t="str">
        <f t="shared" ca="1" si="24"/>
        <v>NA</v>
      </c>
      <c r="BK101" s="5"/>
      <c r="BL101" s="5"/>
      <c r="BM101" s="12" t="str">
        <f t="shared" ca="1" si="25"/>
        <v>NA</v>
      </c>
      <c r="BN101" s="12" t="str">
        <f t="shared" ca="1" si="26"/>
        <v>NA</v>
      </c>
      <c r="BO101" s="12" t="str">
        <f t="shared" ca="1" si="27"/>
        <v>NA</v>
      </c>
      <c r="BP101" s="5"/>
      <c r="BQ101" s="5"/>
      <c r="BR101" s="5"/>
      <c r="BS101" s="12" t="str">
        <f t="shared" ca="1" si="28"/>
        <v>NA</v>
      </c>
      <c r="BT101" s="12" t="str">
        <f t="shared" ca="1" si="29"/>
        <v>NA</v>
      </c>
      <c r="BU101" s="12" t="str">
        <f t="shared" ca="1" si="30"/>
        <v>NA</v>
      </c>
      <c r="BV101" s="5"/>
      <c r="BW101" s="5"/>
      <c r="BX101" s="12" t="str">
        <f t="shared" ca="1" si="31"/>
        <v>NA</v>
      </c>
      <c r="BY101" s="12" t="str">
        <f t="shared" ca="1" si="32"/>
        <v>NA</v>
      </c>
      <c r="BZ101" s="12" t="str">
        <f t="shared" ca="1" si="33"/>
        <v>NA</v>
      </c>
      <c r="CA101" s="5"/>
    </row>
    <row r="102" spans="1:79" ht="12.75" customHeight="1" x14ac:dyDescent="0.15">
      <c r="A102" s="4">
        <v>2329</v>
      </c>
      <c r="B102" s="5" t="s">
        <v>79</v>
      </c>
      <c r="C102" s="5" t="s">
        <v>79</v>
      </c>
      <c r="D102" s="6" t="s">
        <v>576</v>
      </c>
      <c r="E102" s="6" t="s">
        <v>577</v>
      </c>
      <c r="F102" s="6" t="s">
        <v>578</v>
      </c>
      <c r="G102" s="8"/>
      <c r="H102" s="8"/>
      <c r="I102" s="8"/>
      <c r="J102" s="8"/>
      <c r="K102" s="8"/>
      <c r="L102" s="8" t="s">
        <v>82</v>
      </c>
      <c r="M102" s="7">
        <v>1125</v>
      </c>
      <c r="N102" s="7">
        <v>1124</v>
      </c>
      <c r="O102" s="13">
        <v>36929</v>
      </c>
      <c r="P102" s="10">
        <f t="shared" ca="1" si="0"/>
        <v>0</v>
      </c>
      <c r="Q102" s="5">
        <f t="shared" ca="1" si="1"/>
        <v>0</v>
      </c>
      <c r="R102" s="5">
        <f t="shared" ca="1" si="2"/>
        <v>0</v>
      </c>
      <c r="S102" s="7">
        <f t="shared" ca="1" si="3"/>
        <v>2001</v>
      </c>
      <c r="T102" s="7">
        <f t="shared" ca="1" si="4"/>
        <v>2</v>
      </c>
      <c r="U102" s="7">
        <f t="shared" ca="1" si="5"/>
        <v>7</v>
      </c>
      <c r="V102" s="6" t="s">
        <v>579</v>
      </c>
      <c r="W102" s="14" t="s">
        <v>96</v>
      </c>
      <c r="X102" s="15"/>
      <c r="Y102" s="5">
        <f t="shared" ca="1" si="6"/>
        <v>0</v>
      </c>
      <c r="Z102" s="6"/>
      <c r="AA102" s="12" t="str">
        <f t="shared" ca="1" si="7"/>
        <v>NA</v>
      </c>
      <c r="AB102" s="12" t="str">
        <f t="shared" ca="1" si="8"/>
        <v>NA</v>
      </c>
      <c r="AC102" s="12" t="str">
        <f t="shared" ca="1" si="9"/>
        <v>NA</v>
      </c>
      <c r="AD102" s="6"/>
      <c r="AE102" s="5"/>
      <c r="AF102" s="6"/>
      <c r="AG102" s="11">
        <v>36929</v>
      </c>
      <c r="AH102" s="12">
        <f t="shared" ca="1" si="10"/>
        <v>2001</v>
      </c>
      <c r="AI102" s="12">
        <f t="shared" ca="1" si="11"/>
        <v>2</v>
      </c>
      <c r="AJ102" s="12">
        <f t="shared" ca="1" si="12"/>
        <v>7</v>
      </c>
      <c r="AK102" s="8" t="s">
        <v>580</v>
      </c>
      <c r="AL102" s="8"/>
      <c r="AM102" s="5"/>
      <c r="AN102" s="5"/>
      <c r="AO102" s="5"/>
      <c r="AP102" s="12" t="str">
        <f t="shared" ca="1" si="13"/>
        <v>NA</v>
      </c>
      <c r="AQ102" s="12" t="str">
        <f t="shared" ca="1" si="14"/>
        <v>NA</v>
      </c>
      <c r="AR102" s="12" t="str">
        <f t="shared" ca="1" si="15"/>
        <v>NA</v>
      </c>
      <c r="AS102" s="5"/>
      <c r="AT102" s="5"/>
      <c r="AU102" s="5"/>
      <c r="AV102" s="12" t="str">
        <f t="shared" ca="1" si="16"/>
        <v>NA</v>
      </c>
      <c r="AW102" s="12" t="str">
        <f t="shared" ca="1" si="17"/>
        <v>NA</v>
      </c>
      <c r="AX102" s="12" t="str">
        <f t="shared" ca="1" si="18"/>
        <v>NA</v>
      </c>
      <c r="AY102" s="5"/>
      <c r="AZ102" s="5"/>
      <c r="BA102" s="6"/>
      <c r="BB102" s="12" t="str">
        <f t="shared" ca="1" si="19"/>
        <v>NA</v>
      </c>
      <c r="BC102" s="12" t="str">
        <f t="shared" ca="1" si="20"/>
        <v>NA</v>
      </c>
      <c r="BD102" s="12" t="str">
        <f t="shared" ca="1" si="21"/>
        <v>NA</v>
      </c>
      <c r="BE102" s="5"/>
      <c r="BF102" s="5"/>
      <c r="BG102" s="5"/>
      <c r="BH102" s="12" t="str">
        <f t="shared" ca="1" si="22"/>
        <v>NA</v>
      </c>
      <c r="BI102" s="12" t="str">
        <f t="shared" ca="1" si="23"/>
        <v>NA</v>
      </c>
      <c r="BJ102" s="12" t="str">
        <f t="shared" ca="1" si="24"/>
        <v>NA</v>
      </c>
      <c r="BK102" s="5"/>
      <c r="BL102" s="5"/>
      <c r="BM102" s="12" t="str">
        <f t="shared" ca="1" si="25"/>
        <v>NA</v>
      </c>
      <c r="BN102" s="12" t="str">
        <f t="shared" ca="1" si="26"/>
        <v>NA</v>
      </c>
      <c r="BO102" s="12" t="str">
        <f t="shared" ca="1" si="27"/>
        <v>NA</v>
      </c>
      <c r="BP102" s="5"/>
      <c r="BQ102" s="5"/>
      <c r="BR102" s="5"/>
      <c r="BS102" s="12" t="str">
        <f t="shared" ca="1" si="28"/>
        <v>NA</v>
      </c>
      <c r="BT102" s="12" t="str">
        <f t="shared" ca="1" si="29"/>
        <v>NA</v>
      </c>
      <c r="BU102" s="12" t="str">
        <f t="shared" ca="1" si="30"/>
        <v>NA</v>
      </c>
      <c r="BV102" s="5"/>
      <c r="BW102" s="5"/>
      <c r="BX102" s="12" t="str">
        <f t="shared" ca="1" si="31"/>
        <v>NA</v>
      </c>
      <c r="BY102" s="12" t="str">
        <f t="shared" ca="1" si="32"/>
        <v>NA</v>
      </c>
      <c r="BZ102" s="12" t="str">
        <f t="shared" ca="1" si="33"/>
        <v>NA</v>
      </c>
      <c r="CA102" s="5"/>
    </row>
    <row r="103" spans="1:79" ht="12.75" customHeight="1" x14ac:dyDescent="0.15">
      <c r="A103" s="4">
        <v>2330</v>
      </c>
      <c r="B103" s="5" t="s">
        <v>79</v>
      </c>
      <c r="C103" s="5" t="s">
        <v>79</v>
      </c>
      <c r="D103" s="6" t="s">
        <v>581</v>
      </c>
      <c r="E103" s="6" t="s">
        <v>582</v>
      </c>
      <c r="F103" s="6" t="s">
        <v>583</v>
      </c>
      <c r="G103" s="8"/>
      <c r="H103" s="8"/>
      <c r="I103" s="8"/>
      <c r="J103" s="8"/>
      <c r="K103" s="8"/>
      <c r="L103" s="8" t="s">
        <v>82</v>
      </c>
      <c r="M103" s="7">
        <v>1125</v>
      </c>
      <c r="N103" s="7">
        <v>1124</v>
      </c>
      <c r="O103" s="13">
        <v>36929</v>
      </c>
      <c r="P103" s="10">
        <f t="shared" ca="1" si="0"/>
        <v>1.1111111111111112E-2</v>
      </c>
      <c r="Q103" s="5">
        <f t="shared" ca="1" si="1"/>
        <v>0</v>
      </c>
      <c r="R103" s="5">
        <f t="shared" ca="1" si="2"/>
        <v>4</v>
      </c>
      <c r="S103" s="7">
        <f t="shared" ca="1" si="3"/>
        <v>2001</v>
      </c>
      <c r="T103" s="7">
        <f t="shared" ca="1" si="4"/>
        <v>2</v>
      </c>
      <c r="U103" s="7">
        <f t="shared" ca="1" si="5"/>
        <v>7</v>
      </c>
      <c r="V103" s="6" t="s">
        <v>584</v>
      </c>
      <c r="W103" s="14" t="s">
        <v>96</v>
      </c>
      <c r="X103" s="15"/>
      <c r="Y103" s="5">
        <f t="shared" ca="1" si="6"/>
        <v>0</v>
      </c>
      <c r="Z103" s="6"/>
      <c r="AA103" s="12" t="str">
        <f t="shared" ca="1" si="7"/>
        <v>NA</v>
      </c>
      <c r="AB103" s="12" t="str">
        <f t="shared" ca="1" si="8"/>
        <v>NA</v>
      </c>
      <c r="AC103" s="12" t="str">
        <f t="shared" ca="1" si="9"/>
        <v>NA</v>
      </c>
      <c r="AD103" s="6"/>
      <c r="AE103" s="5"/>
      <c r="AF103" s="6"/>
      <c r="AG103" s="11">
        <v>36933</v>
      </c>
      <c r="AH103" s="12">
        <f t="shared" ca="1" si="10"/>
        <v>2001</v>
      </c>
      <c r="AI103" s="12">
        <f t="shared" ca="1" si="11"/>
        <v>2</v>
      </c>
      <c r="AJ103" s="12">
        <f t="shared" ca="1" si="12"/>
        <v>11</v>
      </c>
      <c r="AK103" s="8" t="s">
        <v>585</v>
      </c>
      <c r="AL103" s="8"/>
      <c r="AM103" s="5"/>
      <c r="AN103" s="5"/>
      <c r="AO103" s="5"/>
      <c r="AP103" s="12" t="str">
        <f t="shared" ca="1" si="13"/>
        <v>NA</v>
      </c>
      <c r="AQ103" s="12" t="str">
        <f t="shared" ca="1" si="14"/>
        <v>NA</v>
      </c>
      <c r="AR103" s="12" t="str">
        <f t="shared" ca="1" si="15"/>
        <v>NA</v>
      </c>
      <c r="AS103" s="5"/>
      <c r="AT103" s="5"/>
      <c r="AU103" s="5"/>
      <c r="AV103" s="12" t="str">
        <f t="shared" ca="1" si="16"/>
        <v>NA</v>
      </c>
      <c r="AW103" s="12" t="str">
        <f t="shared" ca="1" si="17"/>
        <v>NA</v>
      </c>
      <c r="AX103" s="12" t="str">
        <f t="shared" ca="1" si="18"/>
        <v>NA</v>
      </c>
      <c r="AY103" s="5"/>
      <c r="AZ103" s="5"/>
      <c r="BA103" s="6"/>
      <c r="BB103" s="12" t="str">
        <f t="shared" ca="1" si="19"/>
        <v>NA</v>
      </c>
      <c r="BC103" s="12" t="str">
        <f t="shared" ca="1" si="20"/>
        <v>NA</v>
      </c>
      <c r="BD103" s="12" t="str">
        <f t="shared" ca="1" si="21"/>
        <v>NA</v>
      </c>
      <c r="BE103" s="5"/>
      <c r="BF103" s="5"/>
      <c r="BG103" s="5"/>
      <c r="BH103" s="12" t="str">
        <f t="shared" ca="1" si="22"/>
        <v>NA</v>
      </c>
      <c r="BI103" s="12" t="str">
        <f t="shared" ca="1" si="23"/>
        <v>NA</v>
      </c>
      <c r="BJ103" s="12" t="str">
        <f t="shared" ca="1" si="24"/>
        <v>NA</v>
      </c>
      <c r="BK103" s="5"/>
      <c r="BL103" s="5"/>
      <c r="BM103" s="12" t="str">
        <f t="shared" ca="1" si="25"/>
        <v>NA</v>
      </c>
      <c r="BN103" s="12" t="str">
        <f t="shared" ca="1" si="26"/>
        <v>NA</v>
      </c>
      <c r="BO103" s="12" t="str">
        <f t="shared" ca="1" si="27"/>
        <v>NA</v>
      </c>
      <c r="BP103" s="5"/>
      <c r="BQ103" s="5"/>
      <c r="BR103" s="5"/>
      <c r="BS103" s="12" t="str">
        <f t="shared" ca="1" si="28"/>
        <v>NA</v>
      </c>
      <c r="BT103" s="12" t="str">
        <f t="shared" ca="1" si="29"/>
        <v>NA</v>
      </c>
      <c r="BU103" s="12" t="str">
        <f t="shared" ca="1" si="30"/>
        <v>NA</v>
      </c>
      <c r="BV103" s="5"/>
      <c r="BW103" s="5"/>
      <c r="BX103" s="12" t="str">
        <f t="shared" ca="1" si="31"/>
        <v>NA</v>
      </c>
      <c r="BY103" s="12" t="str">
        <f t="shared" ca="1" si="32"/>
        <v>NA</v>
      </c>
      <c r="BZ103" s="12" t="str">
        <f t="shared" ca="1" si="33"/>
        <v>NA</v>
      </c>
      <c r="CA103" s="5"/>
    </row>
    <row r="104" spans="1:79" ht="12.75" customHeight="1" x14ac:dyDescent="0.15">
      <c r="A104" s="4">
        <v>2333</v>
      </c>
      <c r="B104" s="5" t="s">
        <v>79</v>
      </c>
      <c r="C104" s="5" t="s">
        <v>79</v>
      </c>
      <c r="D104" s="6" t="s">
        <v>586</v>
      </c>
      <c r="E104" s="7">
        <v>2918</v>
      </c>
      <c r="F104" s="6" t="s">
        <v>587</v>
      </c>
      <c r="G104" s="8"/>
      <c r="H104" s="8"/>
      <c r="I104" s="8"/>
      <c r="J104" s="8"/>
      <c r="K104" s="8"/>
      <c r="L104" s="8" t="s">
        <v>82</v>
      </c>
      <c r="M104" s="7">
        <v>1103</v>
      </c>
      <c r="N104" s="7">
        <v>1097</v>
      </c>
      <c r="O104" s="13">
        <v>37025</v>
      </c>
      <c r="P104" s="10">
        <f t="shared" ca="1" si="0"/>
        <v>0</v>
      </c>
      <c r="Q104" s="5">
        <f t="shared" ca="1" si="1"/>
        <v>0</v>
      </c>
      <c r="R104" s="5">
        <f t="shared" ca="1" si="2"/>
        <v>0</v>
      </c>
      <c r="S104" s="7">
        <f t="shared" ca="1" si="3"/>
        <v>2001</v>
      </c>
      <c r="T104" s="7">
        <f t="shared" ca="1" si="4"/>
        <v>5</v>
      </c>
      <c r="U104" s="7">
        <f t="shared" ca="1" si="5"/>
        <v>14</v>
      </c>
      <c r="V104" s="6" t="s">
        <v>588</v>
      </c>
      <c r="W104" s="14" t="s">
        <v>96</v>
      </c>
      <c r="X104" s="15"/>
      <c r="Y104" s="5">
        <f t="shared" ca="1" si="6"/>
        <v>0</v>
      </c>
      <c r="Z104" s="6"/>
      <c r="AA104" s="12" t="str">
        <f t="shared" ca="1" si="7"/>
        <v>NA</v>
      </c>
      <c r="AB104" s="12" t="str">
        <f t="shared" ca="1" si="8"/>
        <v>NA</v>
      </c>
      <c r="AC104" s="12" t="str">
        <f t="shared" ca="1" si="9"/>
        <v>NA</v>
      </c>
      <c r="AD104" s="6"/>
      <c r="AE104" s="5"/>
      <c r="AF104" s="6"/>
      <c r="AG104" s="11">
        <v>37025</v>
      </c>
      <c r="AH104" s="12">
        <f t="shared" ca="1" si="10"/>
        <v>2001</v>
      </c>
      <c r="AI104" s="12">
        <f t="shared" ca="1" si="11"/>
        <v>5</v>
      </c>
      <c r="AJ104" s="12">
        <f t="shared" ca="1" si="12"/>
        <v>14</v>
      </c>
      <c r="AK104" s="8" t="s">
        <v>589</v>
      </c>
      <c r="AL104" s="8"/>
      <c r="AM104" s="5"/>
      <c r="AN104" s="5"/>
      <c r="AO104" s="5"/>
      <c r="AP104" s="12" t="str">
        <f t="shared" ca="1" si="13"/>
        <v>NA</v>
      </c>
      <c r="AQ104" s="12" t="str">
        <f t="shared" ca="1" si="14"/>
        <v>NA</v>
      </c>
      <c r="AR104" s="12" t="str">
        <f t="shared" ca="1" si="15"/>
        <v>NA</v>
      </c>
      <c r="AS104" s="5"/>
      <c r="AT104" s="5"/>
      <c r="AU104" s="5"/>
      <c r="AV104" s="12" t="str">
        <f t="shared" ca="1" si="16"/>
        <v>NA</v>
      </c>
      <c r="AW104" s="12" t="str">
        <f t="shared" ca="1" si="17"/>
        <v>NA</v>
      </c>
      <c r="AX104" s="12" t="str">
        <f t="shared" ca="1" si="18"/>
        <v>NA</v>
      </c>
      <c r="AY104" s="5"/>
      <c r="AZ104" s="5"/>
      <c r="BA104" s="6"/>
      <c r="BB104" s="12" t="str">
        <f t="shared" ca="1" si="19"/>
        <v>NA</v>
      </c>
      <c r="BC104" s="12" t="str">
        <f t="shared" ca="1" si="20"/>
        <v>NA</v>
      </c>
      <c r="BD104" s="12" t="str">
        <f t="shared" ca="1" si="21"/>
        <v>NA</v>
      </c>
      <c r="BE104" s="5"/>
      <c r="BF104" s="5"/>
      <c r="BG104" s="5"/>
      <c r="BH104" s="12" t="str">
        <f t="shared" ca="1" si="22"/>
        <v>NA</v>
      </c>
      <c r="BI104" s="12" t="str">
        <f t="shared" ca="1" si="23"/>
        <v>NA</v>
      </c>
      <c r="BJ104" s="12" t="str">
        <f t="shared" ca="1" si="24"/>
        <v>NA</v>
      </c>
      <c r="BK104" s="5"/>
      <c r="BL104" s="5"/>
      <c r="BM104" s="12" t="str">
        <f t="shared" ca="1" si="25"/>
        <v>NA</v>
      </c>
      <c r="BN104" s="12" t="str">
        <f t="shared" ca="1" si="26"/>
        <v>NA</v>
      </c>
      <c r="BO104" s="12" t="str">
        <f t="shared" ca="1" si="27"/>
        <v>NA</v>
      </c>
      <c r="BP104" s="5"/>
      <c r="BQ104" s="5"/>
      <c r="BR104" s="5"/>
      <c r="BS104" s="12" t="str">
        <f t="shared" ca="1" si="28"/>
        <v>NA</v>
      </c>
      <c r="BT104" s="12" t="str">
        <f t="shared" ca="1" si="29"/>
        <v>NA</v>
      </c>
      <c r="BU104" s="12" t="str">
        <f t="shared" ca="1" si="30"/>
        <v>NA</v>
      </c>
      <c r="BV104" s="5"/>
      <c r="BW104" s="5"/>
      <c r="BX104" s="12" t="str">
        <f t="shared" ca="1" si="31"/>
        <v>NA</v>
      </c>
      <c r="BY104" s="12" t="str">
        <f t="shared" ca="1" si="32"/>
        <v>NA</v>
      </c>
      <c r="BZ104" s="12" t="str">
        <f t="shared" ca="1" si="33"/>
        <v>NA</v>
      </c>
      <c r="CA104" s="5"/>
    </row>
    <row r="105" spans="1:79" ht="12.75" customHeight="1" x14ac:dyDescent="0.15">
      <c r="A105" s="4">
        <v>2334</v>
      </c>
      <c r="B105" s="5" t="s">
        <v>79</v>
      </c>
      <c r="C105" s="5" t="s">
        <v>79</v>
      </c>
      <c r="D105" s="6" t="s">
        <v>590</v>
      </c>
      <c r="E105" s="7">
        <v>2919</v>
      </c>
      <c r="F105" s="6" t="s">
        <v>591</v>
      </c>
      <c r="G105" s="8"/>
      <c r="H105" s="8"/>
      <c r="I105" s="8"/>
      <c r="J105" s="8"/>
      <c r="K105" s="8"/>
      <c r="L105" s="8" t="s">
        <v>82</v>
      </c>
      <c r="M105" s="7">
        <v>1103</v>
      </c>
      <c r="N105" s="7">
        <v>1097</v>
      </c>
      <c r="O105" s="13">
        <v>37025</v>
      </c>
      <c r="P105" s="10">
        <f t="shared" ca="1" si="0"/>
        <v>0</v>
      </c>
      <c r="Q105" s="5">
        <f t="shared" ca="1" si="1"/>
        <v>0</v>
      </c>
      <c r="R105" s="5">
        <f t="shared" ca="1" si="2"/>
        <v>0</v>
      </c>
      <c r="S105" s="7">
        <f t="shared" ca="1" si="3"/>
        <v>2001</v>
      </c>
      <c r="T105" s="7">
        <f t="shared" ca="1" si="4"/>
        <v>5</v>
      </c>
      <c r="U105" s="7">
        <f t="shared" ca="1" si="5"/>
        <v>14</v>
      </c>
      <c r="V105" s="6" t="s">
        <v>592</v>
      </c>
      <c r="W105" s="14" t="s">
        <v>96</v>
      </c>
      <c r="X105" s="15"/>
      <c r="Y105" s="5">
        <f t="shared" ca="1" si="6"/>
        <v>0</v>
      </c>
      <c r="Z105" s="6"/>
      <c r="AA105" s="12" t="str">
        <f t="shared" ca="1" si="7"/>
        <v>NA</v>
      </c>
      <c r="AB105" s="12" t="str">
        <f t="shared" ca="1" si="8"/>
        <v>NA</v>
      </c>
      <c r="AC105" s="12" t="str">
        <f t="shared" ca="1" si="9"/>
        <v>NA</v>
      </c>
      <c r="AD105" s="6"/>
      <c r="AE105" s="5"/>
      <c r="AF105" s="6"/>
      <c r="AG105" s="11">
        <v>37025</v>
      </c>
      <c r="AH105" s="12">
        <f t="shared" ca="1" si="10"/>
        <v>2001</v>
      </c>
      <c r="AI105" s="12">
        <f t="shared" ca="1" si="11"/>
        <v>5</v>
      </c>
      <c r="AJ105" s="12">
        <f t="shared" ca="1" si="12"/>
        <v>14</v>
      </c>
      <c r="AK105" s="8" t="s">
        <v>593</v>
      </c>
      <c r="AL105" s="8"/>
      <c r="AM105" s="5"/>
      <c r="AN105" s="5"/>
      <c r="AO105" s="5"/>
      <c r="AP105" s="12" t="str">
        <f t="shared" ca="1" si="13"/>
        <v>NA</v>
      </c>
      <c r="AQ105" s="12" t="str">
        <f t="shared" ca="1" si="14"/>
        <v>NA</v>
      </c>
      <c r="AR105" s="12" t="str">
        <f t="shared" ca="1" si="15"/>
        <v>NA</v>
      </c>
      <c r="AS105" s="5"/>
      <c r="AT105" s="5"/>
      <c r="AU105" s="5"/>
      <c r="AV105" s="12" t="str">
        <f t="shared" ca="1" si="16"/>
        <v>NA</v>
      </c>
      <c r="AW105" s="12" t="str">
        <f t="shared" ca="1" si="17"/>
        <v>NA</v>
      </c>
      <c r="AX105" s="12" t="str">
        <f t="shared" ca="1" si="18"/>
        <v>NA</v>
      </c>
      <c r="AY105" s="5"/>
      <c r="AZ105" s="5"/>
      <c r="BA105" s="6"/>
      <c r="BB105" s="12" t="str">
        <f t="shared" ca="1" si="19"/>
        <v>NA</v>
      </c>
      <c r="BC105" s="12" t="str">
        <f t="shared" ca="1" si="20"/>
        <v>NA</v>
      </c>
      <c r="BD105" s="12" t="str">
        <f t="shared" ca="1" si="21"/>
        <v>NA</v>
      </c>
      <c r="BE105" s="5"/>
      <c r="BF105" s="5"/>
      <c r="BG105" s="5"/>
      <c r="BH105" s="12" t="str">
        <f t="shared" ca="1" si="22"/>
        <v>NA</v>
      </c>
      <c r="BI105" s="12" t="str">
        <f t="shared" ca="1" si="23"/>
        <v>NA</v>
      </c>
      <c r="BJ105" s="12" t="str">
        <f t="shared" ca="1" si="24"/>
        <v>NA</v>
      </c>
      <c r="BK105" s="5"/>
      <c r="BL105" s="5"/>
      <c r="BM105" s="12" t="str">
        <f t="shared" ca="1" si="25"/>
        <v>NA</v>
      </c>
      <c r="BN105" s="12" t="str">
        <f t="shared" ca="1" si="26"/>
        <v>NA</v>
      </c>
      <c r="BO105" s="12" t="str">
        <f t="shared" ca="1" si="27"/>
        <v>NA</v>
      </c>
      <c r="BP105" s="5"/>
      <c r="BQ105" s="5"/>
      <c r="BR105" s="5"/>
      <c r="BS105" s="12" t="str">
        <f t="shared" ca="1" si="28"/>
        <v>NA</v>
      </c>
      <c r="BT105" s="12" t="str">
        <f t="shared" ca="1" si="29"/>
        <v>NA</v>
      </c>
      <c r="BU105" s="12" t="str">
        <f t="shared" ca="1" si="30"/>
        <v>NA</v>
      </c>
      <c r="BV105" s="5"/>
      <c r="BW105" s="5"/>
      <c r="BX105" s="12" t="str">
        <f t="shared" ca="1" si="31"/>
        <v>NA</v>
      </c>
      <c r="BY105" s="12" t="str">
        <f t="shared" ca="1" si="32"/>
        <v>NA</v>
      </c>
      <c r="BZ105" s="12" t="str">
        <f t="shared" ca="1" si="33"/>
        <v>NA</v>
      </c>
      <c r="CA105" s="5"/>
    </row>
    <row r="106" spans="1:79" ht="12.75" customHeight="1" x14ac:dyDescent="0.15">
      <c r="A106" s="4">
        <v>2335</v>
      </c>
      <c r="B106" s="5" t="s">
        <v>79</v>
      </c>
      <c r="C106" s="5" t="s">
        <v>79</v>
      </c>
      <c r="D106" s="6" t="s">
        <v>594</v>
      </c>
      <c r="E106" s="7">
        <v>2920</v>
      </c>
      <c r="F106" s="6" t="s">
        <v>595</v>
      </c>
      <c r="G106" s="8"/>
      <c r="H106" s="8"/>
      <c r="I106" s="8"/>
      <c r="J106" s="8"/>
      <c r="K106" s="8"/>
      <c r="L106" s="8" t="s">
        <v>82</v>
      </c>
      <c r="M106" s="7">
        <v>1103</v>
      </c>
      <c r="N106" s="7">
        <v>1097</v>
      </c>
      <c r="O106" s="13">
        <v>37025</v>
      </c>
      <c r="P106" s="10">
        <f t="shared" ca="1" si="0"/>
        <v>2.5000000000000001E-2</v>
      </c>
      <c r="Q106" s="5">
        <f t="shared" ca="1" si="1"/>
        <v>0</v>
      </c>
      <c r="R106" s="5">
        <f t="shared" ca="1" si="2"/>
        <v>9</v>
      </c>
      <c r="S106" s="7">
        <f t="shared" ca="1" si="3"/>
        <v>2001</v>
      </c>
      <c r="T106" s="7">
        <f t="shared" ca="1" si="4"/>
        <v>5</v>
      </c>
      <c r="U106" s="7">
        <f t="shared" ca="1" si="5"/>
        <v>14</v>
      </c>
      <c r="V106" s="6" t="s">
        <v>596</v>
      </c>
      <c r="W106" s="14" t="s">
        <v>96</v>
      </c>
      <c r="X106" s="15"/>
      <c r="Y106" s="5">
        <f t="shared" ca="1" si="6"/>
        <v>0</v>
      </c>
      <c r="Z106" s="6"/>
      <c r="AA106" s="12" t="str">
        <f t="shared" ca="1" si="7"/>
        <v>NA</v>
      </c>
      <c r="AB106" s="12" t="str">
        <f t="shared" ca="1" si="8"/>
        <v>NA</v>
      </c>
      <c r="AC106" s="12" t="str">
        <f t="shared" ca="1" si="9"/>
        <v>NA</v>
      </c>
      <c r="AD106" s="6"/>
      <c r="AE106" s="5"/>
      <c r="AF106" s="6"/>
      <c r="AG106" s="11">
        <v>37034</v>
      </c>
      <c r="AH106" s="12">
        <f t="shared" ca="1" si="10"/>
        <v>2001</v>
      </c>
      <c r="AI106" s="12">
        <f t="shared" ca="1" si="11"/>
        <v>5</v>
      </c>
      <c r="AJ106" s="12">
        <f t="shared" ca="1" si="12"/>
        <v>23</v>
      </c>
      <c r="AK106" s="8" t="s">
        <v>597</v>
      </c>
      <c r="AL106" s="8"/>
      <c r="AM106" s="5"/>
      <c r="AN106" s="5"/>
      <c r="AO106" s="5"/>
      <c r="AP106" s="12" t="str">
        <f t="shared" ca="1" si="13"/>
        <v>NA</v>
      </c>
      <c r="AQ106" s="12" t="str">
        <f t="shared" ca="1" si="14"/>
        <v>NA</v>
      </c>
      <c r="AR106" s="12" t="str">
        <f t="shared" ca="1" si="15"/>
        <v>NA</v>
      </c>
      <c r="AS106" s="5"/>
      <c r="AT106" s="5"/>
      <c r="AU106" s="5"/>
      <c r="AV106" s="12" t="str">
        <f t="shared" ca="1" si="16"/>
        <v>NA</v>
      </c>
      <c r="AW106" s="12" t="str">
        <f t="shared" ca="1" si="17"/>
        <v>NA</v>
      </c>
      <c r="AX106" s="12" t="str">
        <f t="shared" ca="1" si="18"/>
        <v>NA</v>
      </c>
      <c r="AY106" s="5"/>
      <c r="AZ106" s="5"/>
      <c r="BA106" s="6"/>
      <c r="BB106" s="12" t="str">
        <f t="shared" ca="1" si="19"/>
        <v>NA</v>
      </c>
      <c r="BC106" s="12" t="str">
        <f t="shared" ca="1" si="20"/>
        <v>NA</v>
      </c>
      <c r="BD106" s="12" t="str">
        <f t="shared" ca="1" si="21"/>
        <v>NA</v>
      </c>
      <c r="BE106" s="5"/>
      <c r="BF106" s="5"/>
      <c r="BG106" s="5"/>
      <c r="BH106" s="12" t="str">
        <f t="shared" ca="1" si="22"/>
        <v>NA</v>
      </c>
      <c r="BI106" s="12" t="str">
        <f t="shared" ca="1" si="23"/>
        <v>NA</v>
      </c>
      <c r="BJ106" s="12" t="str">
        <f t="shared" ca="1" si="24"/>
        <v>NA</v>
      </c>
      <c r="BK106" s="5"/>
      <c r="BL106" s="5"/>
      <c r="BM106" s="12" t="str">
        <f t="shared" ca="1" si="25"/>
        <v>NA</v>
      </c>
      <c r="BN106" s="12" t="str">
        <f t="shared" ca="1" si="26"/>
        <v>NA</v>
      </c>
      <c r="BO106" s="12" t="str">
        <f t="shared" ca="1" si="27"/>
        <v>NA</v>
      </c>
      <c r="BP106" s="5"/>
      <c r="BQ106" s="5"/>
      <c r="BR106" s="5"/>
      <c r="BS106" s="12" t="str">
        <f t="shared" ca="1" si="28"/>
        <v>NA</v>
      </c>
      <c r="BT106" s="12" t="str">
        <f t="shared" ca="1" si="29"/>
        <v>NA</v>
      </c>
      <c r="BU106" s="12" t="str">
        <f t="shared" ca="1" si="30"/>
        <v>NA</v>
      </c>
      <c r="BV106" s="5"/>
      <c r="BW106" s="5"/>
      <c r="BX106" s="12" t="str">
        <f t="shared" ca="1" si="31"/>
        <v>NA</v>
      </c>
      <c r="BY106" s="12" t="str">
        <f t="shared" ca="1" si="32"/>
        <v>NA</v>
      </c>
      <c r="BZ106" s="12" t="str">
        <f t="shared" ca="1" si="33"/>
        <v>NA</v>
      </c>
      <c r="CA106" s="5"/>
    </row>
    <row r="107" spans="1:79" ht="12.75" customHeight="1" x14ac:dyDescent="0.15">
      <c r="A107" s="4">
        <v>2342</v>
      </c>
      <c r="B107" s="5" t="s">
        <v>79</v>
      </c>
      <c r="C107" s="5" t="s">
        <v>79</v>
      </c>
      <c r="D107" s="6" t="s">
        <v>598</v>
      </c>
      <c r="E107" s="7">
        <v>108024</v>
      </c>
      <c r="F107" s="6" t="s">
        <v>599</v>
      </c>
      <c r="G107" s="8"/>
      <c r="H107" s="8"/>
      <c r="I107" s="8"/>
      <c r="J107" s="8"/>
      <c r="K107" s="8"/>
      <c r="L107" s="8" t="s">
        <v>82</v>
      </c>
      <c r="M107" s="7">
        <v>2208</v>
      </c>
      <c r="N107" s="7">
        <v>1126</v>
      </c>
      <c r="O107" s="13">
        <v>37118</v>
      </c>
      <c r="P107" s="10">
        <f t="shared" ca="1" si="0"/>
        <v>12.33611111111111</v>
      </c>
      <c r="Q107" s="5">
        <f t="shared" ca="1" si="1"/>
        <v>148</v>
      </c>
      <c r="R107" s="5">
        <f t="shared" ca="1" si="2"/>
        <v>4506</v>
      </c>
      <c r="S107" s="7">
        <f t="shared" ca="1" si="3"/>
        <v>2001</v>
      </c>
      <c r="T107" s="7">
        <f t="shared" ca="1" si="4"/>
        <v>8</v>
      </c>
      <c r="U107" s="7">
        <f t="shared" ca="1" si="5"/>
        <v>15</v>
      </c>
      <c r="V107" s="6" t="s">
        <v>600</v>
      </c>
      <c r="W107" s="14" t="s">
        <v>96</v>
      </c>
      <c r="X107" s="15"/>
      <c r="Y107" s="5">
        <f t="shared" ca="1" si="6"/>
        <v>1</v>
      </c>
      <c r="Z107" s="6"/>
      <c r="AA107" s="12" t="str">
        <f t="shared" ca="1" si="7"/>
        <v>NA</v>
      </c>
      <c r="AB107" s="12" t="str">
        <f t="shared" ca="1" si="8"/>
        <v>NA</v>
      </c>
      <c r="AC107" s="12" t="str">
        <f t="shared" ca="1" si="9"/>
        <v>NA</v>
      </c>
      <c r="AD107" s="6"/>
      <c r="AE107" s="5"/>
      <c r="AF107" s="6"/>
      <c r="AG107" s="11">
        <v>41624</v>
      </c>
      <c r="AH107" s="12">
        <f t="shared" ca="1" si="10"/>
        <v>2013</v>
      </c>
      <c r="AI107" s="12">
        <f t="shared" ca="1" si="11"/>
        <v>12</v>
      </c>
      <c r="AJ107" s="12">
        <f t="shared" ca="1" si="12"/>
        <v>16</v>
      </c>
      <c r="AK107" s="8" t="s">
        <v>601</v>
      </c>
      <c r="AL107" s="8"/>
      <c r="AM107" s="5"/>
      <c r="AN107" s="5"/>
      <c r="AO107" s="11">
        <v>39736</v>
      </c>
      <c r="AP107" s="12">
        <f t="shared" ca="1" si="13"/>
        <v>2008</v>
      </c>
      <c r="AQ107" s="12">
        <f t="shared" ca="1" si="14"/>
        <v>10</v>
      </c>
      <c r="AR107" s="12">
        <f t="shared" ca="1" si="15"/>
        <v>15</v>
      </c>
      <c r="AS107" s="8" t="s">
        <v>602</v>
      </c>
      <c r="AT107" s="8"/>
      <c r="AU107" s="5"/>
      <c r="AV107" s="12" t="str">
        <f t="shared" ca="1" si="16"/>
        <v>NA</v>
      </c>
      <c r="AW107" s="12" t="str">
        <f t="shared" ca="1" si="17"/>
        <v>NA</v>
      </c>
      <c r="AX107" s="12" t="str">
        <f t="shared" ca="1" si="18"/>
        <v>NA</v>
      </c>
      <c r="AY107" s="5"/>
      <c r="AZ107" s="5"/>
      <c r="BA107" s="6"/>
      <c r="BB107" s="12" t="str">
        <f t="shared" ca="1" si="19"/>
        <v>NA</v>
      </c>
      <c r="BC107" s="12" t="str">
        <f t="shared" ca="1" si="20"/>
        <v>NA</v>
      </c>
      <c r="BD107" s="12" t="str">
        <f t="shared" ca="1" si="21"/>
        <v>NA</v>
      </c>
      <c r="BE107" s="5"/>
      <c r="BF107" s="5"/>
      <c r="BG107" s="5"/>
      <c r="BH107" s="12" t="str">
        <f t="shared" ca="1" si="22"/>
        <v>NA</v>
      </c>
      <c r="BI107" s="12" t="str">
        <f t="shared" ca="1" si="23"/>
        <v>NA</v>
      </c>
      <c r="BJ107" s="12" t="str">
        <f t="shared" ca="1" si="24"/>
        <v>NA</v>
      </c>
      <c r="BK107" s="5"/>
      <c r="BL107" s="5"/>
      <c r="BM107" s="12" t="str">
        <f t="shared" ca="1" si="25"/>
        <v>NA</v>
      </c>
      <c r="BN107" s="12" t="str">
        <f t="shared" ca="1" si="26"/>
        <v>NA</v>
      </c>
      <c r="BO107" s="12" t="str">
        <f t="shared" ca="1" si="27"/>
        <v>NA</v>
      </c>
      <c r="BP107" s="5"/>
      <c r="BQ107" s="5"/>
      <c r="BR107" s="5"/>
      <c r="BS107" s="12" t="str">
        <f t="shared" ca="1" si="28"/>
        <v>NA</v>
      </c>
      <c r="BT107" s="12" t="str">
        <f t="shared" ca="1" si="29"/>
        <v>NA</v>
      </c>
      <c r="BU107" s="12" t="str">
        <f t="shared" ca="1" si="30"/>
        <v>NA</v>
      </c>
      <c r="BV107" s="5"/>
      <c r="BW107" s="5"/>
      <c r="BX107" s="12" t="str">
        <f t="shared" ca="1" si="31"/>
        <v>NA</v>
      </c>
      <c r="BY107" s="12" t="str">
        <f t="shared" ca="1" si="32"/>
        <v>NA</v>
      </c>
      <c r="BZ107" s="12" t="str">
        <f t="shared" ca="1" si="33"/>
        <v>NA</v>
      </c>
      <c r="CA107" s="5"/>
    </row>
    <row r="108" spans="1:79" ht="12.75" customHeight="1" x14ac:dyDescent="0.15">
      <c r="A108" s="4">
        <v>2343</v>
      </c>
      <c r="B108" s="5" t="s">
        <v>79</v>
      </c>
      <c r="C108" s="5" t="s">
        <v>79</v>
      </c>
      <c r="D108" s="6" t="s">
        <v>603</v>
      </c>
      <c r="E108" s="7">
        <v>10390</v>
      </c>
      <c r="F108" s="6" t="s">
        <v>604</v>
      </c>
      <c r="G108" s="8"/>
      <c r="H108" s="8"/>
      <c r="I108" s="8"/>
      <c r="J108" s="8"/>
      <c r="K108" s="8"/>
      <c r="L108" s="8" t="s">
        <v>82</v>
      </c>
      <c r="M108" s="7">
        <v>2208</v>
      </c>
      <c r="N108" s="7">
        <v>1126</v>
      </c>
      <c r="O108" s="13">
        <v>37118</v>
      </c>
      <c r="P108" s="10">
        <f t="shared" ca="1" si="0"/>
        <v>2.7777777777777779E-3</v>
      </c>
      <c r="Q108" s="5">
        <f t="shared" ca="1" si="1"/>
        <v>0</v>
      </c>
      <c r="R108" s="5">
        <f t="shared" ca="1" si="2"/>
        <v>1</v>
      </c>
      <c r="S108" s="7">
        <f t="shared" ca="1" si="3"/>
        <v>2001</v>
      </c>
      <c r="T108" s="7">
        <f t="shared" ca="1" si="4"/>
        <v>8</v>
      </c>
      <c r="U108" s="7">
        <f t="shared" ca="1" si="5"/>
        <v>15</v>
      </c>
      <c r="V108" s="6" t="s">
        <v>605</v>
      </c>
      <c r="W108" s="14" t="s">
        <v>96</v>
      </c>
      <c r="X108" s="15"/>
      <c r="Y108" s="5">
        <f t="shared" ca="1" si="6"/>
        <v>0</v>
      </c>
      <c r="Z108" s="6"/>
      <c r="AA108" s="12" t="str">
        <f t="shared" ca="1" si="7"/>
        <v>NA</v>
      </c>
      <c r="AB108" s="12" t="str">
        <f t="shared" ca="1" si="8"/>
        <v>NA</v>
      </c>
      <c r="AC108" s="12" t="str">
        <f t="shared" ca="1" si="9"/>
        <v>NA</v>
      </c>
      <c r="AD108" s="6"/>
      <c r="AE108" s="5"/>
      <c r="AF108" s="6"/>
      <c r="AG108" s="11">
        <v>37119</v>
      </c>
      <c r="AH108" s="12">
        <f t="shared" ca="1" si="10"/>
        <v>2001</v>
      </c>
      <c r="AI108" s="12">
        <f t="shared" ca="1" si="11"/>
        <v>8</v>
      </c>
      <c r="AJ108" s="12">
        <f t="shared" ca="1" si="12"/>
        <v>16</v>
      </c>
      <c r="AK108" s="8" t="s">
        <v>606</v>
      </c>
      <c r="AL108" s="8"/>
      <c r="AM108" s="5"/>
      <c r="AN108" s="5"/>
      <c r="AO108" s="5"/>
      <c r="AP108" s="12" t="str">
        <f t="shared" ca="1" si="13"/>
        <v>NA</v>
      </c>
      <c r="AQ108" s="12" t="str">
        <f t="shared" ca="1" si="14"/>
        <v>NA</v>
      </c>
      <c r="AR108" s="12" t="str">
        <f t="shared" ca="1" si="15"/>
        <v>NA</v>
      </c>
      <c r="AS108" s="5"/>
      <c r="AT108" s="5"/>
      <c r="AU108" s="5"/>
      <c r="AV108" s="12" t="str">
        <f t="shared" ca="1" si="16"/>
        <v>NA</v>
      </c>
      <c r="AW108" s="12" t="str">
        <f t="shared" ca="1" si="17"/>
        <v>NA</v>
      </c>
      <c r="AX108" s="12" t="str">
        <f t="shared" ca="1" si="18"/>
        <v>NA</v>
      </c>
      <c r="AY108" s="5"/>
      <c r="AZ108" s="5"/>
      <c r="BA108" s="6"/>
      <c r="BB108" s="12" t="str">
        <f t="shared" ca="1" si="19"/>
        <v>NA</v>
      </c>
      <c r="BC108" s="12" t="str">
        <f t="shared" ca="1" si="20"/>
        <v>NA</v>
      </c>
      <c r="BD108" s="12" t="str">
        <f t="shared" ca="1" si="21"/>
        <v>NA</v>
      </c>
      <c r="BE108" s="5"/>
      <c r="BF108" s="5"/>
      <c r="BG108" s="5"/>
      <c r="BH108" s="12" t="str">
        <f t="shared" ca="1" si="22"/>
        <v>NA</v>
      </c>
      <c r="BI108" s="12" t="str">
        <f t="shared" ca="1" si="23"/>
        <v>NA</v>
      </c>
      <c r="BJ108" s="12" t="str">
        <f t="shared" ca="1" si="24"/>
        <v>NA</v>
      </c>
      <c r="BK108" s="5"/>
      <c r="BL108" s="5"/>
      <c r="BM108" s="12" t="str">
        <f t="shared" ca="1" si="25"/>
        <v>NA</v>
      </c>
      <c r="BN108" s="12" t="str">
        <f t="shared" ca="1" si="26"/>
        <v>NA</v>
      </c>
      <c r="BO108" s="12" t="str">
        <f t="shared" ca="1" si="27"/>
        <v>NA</v>
      </c>
      <c r="BP108" s="5"/>
      <c r="BQ108" s="5"/>
      <c r="BR108" s="5"/>
      <c r="BS108" s="12" t="str">
        <f t="shared" ca="1" si="28"/>
        <v>NA</v>
      </c>
      <c r="BT108" s="12" t="str">
        <f t="shared" ca="1" si="29"/>
        <v>NA</v>
      </c>
      <c r="BU108" s="12" t="str">
        <f t="shared" ca="1" si="30"/>
        <v>NA</v>
      </c>
      <c r="BV108" s="5"/>
      <c r="BW108" s="5"/>
      <c r="BX108" s="12" t="str">
        <f t="shared" ca="1" si="31"/>
        <v>NA</v>
      </c>
      <c r="BY108" s="12" t="str">
        <f t="shared" ca="1" si="32"/>
        <v>NA</v>
      </c>
      <c r="BZ108" s="12" t="str">
        <f t="shared" ca="1" si="33"/>
        <v>NA</v>
      </c>
      <c r="CA108" s="5"/>
    </row>
    <row r="109" spans="1:79" ht="12.75" customHeight="1" x14ac:dyDescent="0.15">
      <c r="A109" s="4">
        <v>2400</v>
      </c>
      <c r="B109" s="5" t="s">
        <v>79</v>
      </c>
      <c r="C109" s="5" t="s">
        <v>79</v>
      </c>
      <c r="D109" s="6" t="s">
        <v>607</v>
      </c>
      <c r="E109" s="7">
        <v>100217</v>
      </c>
      <c r="F109" s="6" t="s">
        <v>608</v>
      </c>
      <c r="G109" s="8"/>
      <c r="H109" s="8"/>
      <c r="I109" s="8"/>
      <c r="J109" s="8"/>
      <c r="K109" s="8"/>
      <c r="L109" s="8" t="s">
        <v>82</v>
      </c>
      <c r="M109" s="7">
        <v>2208</v>
      </c>
      <c r="N109" s="7">
        <v>1126</v>
      </c>
      <c r="O109" s="13">
        <v>37625</v>
      </c>
      <c r="P109" s="10">
        <f t="shared" ca="1" si="0"/>
        <v>6.9888888888888889</v>
      </c>
      <c r="Q109" s="5">
        <f t="shared" ca="1" si="1"/>
        <v>83</v>
      </c>
      <c r="R109" s="5">
        <f t="shared" ca="1" si="2"/>
        <v>2552</v>
      </c>
      <c r="S109" s="7">
        <f t="shared" ca="1" si="3"/>
        <v>2003</v>
      </c>
      <c r="T109" s="7">
        <f t="shared" ca="1" si="4"/>
        <v>1</v>
      </c>
      <c r="U109" s="7">
        <f t="shared" ca="1" si="5"/>
        <v>4</v>
      </c>
      <c r="V109" s="6" t="s">
        <v>609</v>
      </c>
      <c r="W109" s="14" t="s">
        <v>96</v>
      </c>
      <c r="X109" s="15"/>
      <c r="Y109" s="5">
        <f t="shared" ca="1" si="6"/>
        <v>1</v>
      </c>
      <c r="Z109" s="6"/>
      <c r="AA109" s="12" t="str">
        <f t="shared" ca="1" si="7"/>
        <v>NA</v>
      </c>
      <c r="AB109" s="12" t="str">
        <f t="shared" ca="1" si="8"/>
        <v>NA</v>
      </c>
      <c r="AC109" s="12" t="str">
        <f t="shared" ca="1" si="9"/>
        <v>NA</v>
      </c>
      <c r="AD109" s="6"/>
      <c r="AE109" s="5"/>
      <c r="AF109" s="6"/>
      <c r="AG109" s="11">
        <v>40177</v>
      </c>
      <c r="AH109" s="12">
        <f t="shared" ca="1" si="10"/>
        <v>2009</v>
      </c>
      <c r="AI109" s="12">
        <f t="shared" ca="1" si="11"/>
        <v>12</v>
      </c>
      <c r="AJ109" s="12">
        <f t="shared" ca="1" si="12"/>
        <v>30</v>
      </c>
      <c r="AK109" s="8" t="s">
        <v>610</v>
      </c>
      <c r="AL109" s="8"/>
      <c r="AM109" s="5"/>
      <c r="AN109" s="5"/>
      <c r="AO109" s="11">
        <v>38484</v>
      </c>
      <c r="AP109" s="12">
        <f t="shared" ca="1" si="13"/>
        <v>2005</v>
      </c>
      <c r="AQ109" s="12">
        <f t="shared" ca="1" si="14"/>
        <v>5</v>
      </c>
      <c r="AR109" s="12">
        <f t="shared" ca="1" si="15"/>
        <v>12</v>
      </c>
      <c r="AS109" s="8" t="s">
        <v>611</v>
      </c>
      <c r="AT109" s="8"/>
      <c r="AU109" s="5"/>
      <c r="AV109" s="12" t="str">
        <f t="shared" ca="1" si="16"/>
        <v>NA</v>
      </c>
      <c r="AW109" s="12" t="str">
        <f t="shared" ca="1" si="17"/>
        <v>NA</v>
      </c>
      <c r="AX109" s="12" t="str">
        <f t="shared" ca="1" si="18"/>
        <v>NA</v>
      </c>
      <c r="AY109" s="5"/>
      <c r="AZ109" s="5"/>
      <c r="BA109" s="6"/>
      <c r="BB109" s="12" t="str">
        <f t="shared" ca="1" si="19"/>
        <v>NA</v>
      </c>
      <c r="BC109" s="12" t="str">
        <f t="shared" ca="1" si="20"/>
        <v>NA</v>
      </c>
      <c r="BD109" s="12" t="str">
        <f t="shared" ca="1" si="21"/>
        <v>NA</v>
      </c>
      <c r="BE109" s="5"/>
      <c r="BF109" s="5"/>
      <c r="BG109" s="5"/>
      <c r="BH109" s="12" t="str">
        <f t="shared" ca="1" si="22"/>
        <v>NA</v>
      </c>
      <c r="BI109" s="12" t="str">
        <f t="shared" ca="1" si="23"/>
        <v>NA</v>
      </c>
      <c r="BJ109" s="12" t="str">
        <f t="shared" ca="1" si="24"/>
        <v>NA</v>
      </c>
      <c r="BK109" s="5"/>
      <c r="BL109" s="5"/>
      <c r="BM109" s="12" t="str">
        <f t="shared" ca="1" si="25"/>
        <v>NA</v>
      </c>
      <c r="BN109" s="12" t="str">
        <f t="shared" ca="1" si="26"/>
        <v>NA</v>
      </c>
      <c r="BO109" s="12" t="str">
        <f t="shared" ca="1" si="27"/>
        <v>NA</v>
      </c>
      <c r="BP109" s="5"/>
      <c r="BQ109" s="5"/>
      <c r="BR109" s="5"/>
      <c r="BS109" s="12" t="str">
        <f t="shared" ca="1" si="28"/>
        <v>NA</v>
      </c>
      <c r="BT109" s="12" t="str">
        <f t="shared" ca="1" si="29"/>
        <v>NA</v>
      </c>
      <c r="BU109" s="12" t="str">
        <f t="shared" ca="1" si="30"/>
        <v>NA</v>
      </c>
      <c r="BV109" s="5"/>
      <c r="BW109" s="5"/>
      <c r="BX109" s="12" t="str">
        <f t="shared" ca="1" si="31"/>
        <v>NA</v>
      </c>
      <c r="BY109" s="12" t="str">
        <f t="shared" ca="1" si="32"/>
        <v>NA</v>
      </c>
      <c r="BZ109" s="12" t="str">
        <f t="shared" ca="1" si="33"/>
        <v>NA</v>
      </c>
      <c r="CA109" s="5"/>
    </row>
    <row r="110" spans="1:79" ht="12.75" customHeight="1" x14ac:dyDescent="0.15">
      <c r="A110" s="4">
        <v>2402</v>
      </c>
      <c r="B110" s="5" t="s">
        <v>79</v>
      </c>
      <c r="C110" s="5" t="s">
        <v>79</v>
      </c>
      <c r="D110" s="6" t="s">
        <v>612</v>
      </c>
      <c r="E110" s="7">
        <v>108039</v>
      </c>
      <c r="F110" s="6" t="s">
        <v>613</v>
      </c>
      <c r="G110" s="8"/>
      <c r="H110" s="8"/>
      <c r="I110" s="8"/>
      <c r="J110" s="8"/>
      <c r="K110" s="8"/>
      <c r="L110" s="8" t="s">
        <v>82</v>
      </c>
      <c r="M110" s="7">
        <v>1102</v>
      </c>
      <c r="N110" s="7">
        <v>1127</v>
      </c>
      <c r="O110" s="13">
        <v>37225</v>
      </c>
      <c r="P110" s="10">
        <f t="shared" ca="1" si="0"/>
        <v>12.261111111111111</v>
      </c>
      <c r="Q110" s="5">
        <f t="shared" ca="1" si="1"/>
        <v>147</v>
      </c>
      <c r="R110" s="5">
        <f t="shared" ca="1" si="2"/>
        <v>4477</v>
      </c>
      <c r="S110" s="7">
        <f t="shared" ca="1" si="3"/>
        <v>2001</v>
      </c>
      <c r="T110" s="7">
        <f t="shared" ca="1" si="4"/>
        <v>11</v>
      </c>
      <c r="U110" s="7">
        <f t="shared" ca="1" si="5"/>
        <v>30</v>
      </c>
      <c r="V110" s="6" t="s">
        <v>614</v>
      </c>
      <c r="W110" s="14" t="s">
        <v>96</v>
      </c>
      <c r="X110" s="15"/>
      <c r="Y110" s="5">
        <f t="shared" ca="1" si="6"/>
        <v>2</v>
      </c>
      <c r="Z110" s="6"/>
      <c r="AA110" s="12" t="str">
        <f t="shared" ca="1" si="7"/>
        <v>NA</v>
      </c>
      <c r="AB110" s="12" t="str">
        <f t="shared" ca="1" si="8"/>
        <v>NA</v>
      </c>
      <c r="AC110" s="12" t="str">
        <f t="shared" ca="1" si="9"/>
        <v>NA</v>
      </c>
      <c r="AD110" s="6"/>
      <c r="AE110" s="5"/>
      <c r="AF110" s="6"/>
      <c r="AG110" s="11">
        <v>41702</v>
      </c>
      <c r="AH110" s="12">
        <f t="shared" ca="1" si="10"/>
        <v>2014</v>
      </c>
      <c r="AI110" s="12">
        <f t="shared" ca="1" si="11"/>
        <v>3</v>
      </c>
      <c r="AJ110" s="12">
        <f t="shared" ca="1" si="12"/>
        <v>4</v>
      </c>
      <c r="AK110" s="8" t="s">
        <v>615</v>
      </c>
      <c r="AL110" s="8"/>
      <c r="AM110" s="5"/>
      <c r="AN110" s="5"/>
      <c r="AO110" s="11">
        <v>39198</v>
      </c>
      <c r="AP110" s="12">
        <f t="shared" ca="1" si="13"/>
        <v>2007</v>
      </c>
      <c r="AQ110" s="12">
        <f t="shared" ca="1" si="14"/>
        <v>4</v>
      </c>
      <c r="AR110" s="12">
        <f t="shared" ca="1" si="15"/>
        <v>26</v>
      </c>
      <c r="AS110" s="8" t="s">
        <v>616</v>
      </c>
      <c r="AT110" s="8"/>
      <c r="AU110" s="11">
        <v>39693</v>
      </c>
      <c r="AV110" s="12">
        <f t="shared" ca="1" si="16"/>
        <v>2008</v>
      </c>
      <c r="AW110" s="12">
        <f t="shared" ca="1" si="17"/>
        <v>9</v>
      </c>
      <c r="AX110" s="12">
        <f t="shared" ca="1" si="18"/>
        <v>2</v>
      </c>
      <c r="AY110" s="8" t="s">
        <v>617</v>
      </c>
      <c r="AZ110" s="8"/>
      <c r="BA110" s="6"/>
      <c r="BB110" s="12" t="str">
        <f t="shared" ca="1" si="19"/>
        <v>NA</v>
      </c>
      <c r="BC110" s="12" t="str">
        <f t="shared" ca="1" si="20"/>
        <v>NA</v>
      </c>
      <c r="BD110" s="12" t="str">
        <f t="shared" ca="1" si="21"/>
        <v>NA</v>
      </c>
      <c r="BE110" s="5"/>
      <c r="BF110" s="5"/>
      <c r="BG110" s="5"/>
      <c r="BH110" s="12" t="str">
        <f t="shared" ca="1" si="22"/>
        <v>NA</v>
      </c>
      <c r="BI110" s="12" t="str">
        <f t="shared" ca="1" si="23"/>
        <v>NA</v>
      </c>
      <c r="BJ110" s="12" t="str">
        <f t="shared" ca="1" si="24"/>
        <v>NA</v>
      </c>
      <c r="BK110" s="5"/>
      <c r="BL110" s="5"/>
      <c r="BM110" s="12" t="str">
        <f t="shared" ca="1" si="25"/>
        <v>NA</v>
      </c>
      <c r="BN110" s="12" t="str">
        <f t="shared" ca="1" si="26"/>
        <v>NA</v>
      </c>
      <c r="BO110" s="12" t="str">
        <f t="shared" ca="1" si="27"/>
        <v>NA</v>
      </c>
      <c r="BP110" s="5"/>
      <c r="BQ110" s="5"/>
      <c r="BR110" s="5"/>
      <c r="BS110" s="12" t="str">
        <f t="shared" ca="1" si="28"/>
        <v>NA</v>
      </c>
      <c r="BT110" s="12" t="str">
        <f t="shared" ca="1" si="29"/>
        <v>NA</v>
      </c>
      <c r="BU110" s="12" t="str">
        <f t="shared" ca="1" si="30"/>
        <v>NA</v>
      </c>
      <c r="BV110" s="5"/>
      <c r="BW110" s="5"/>
      <c r="BX110" s="12" t="str">
        <f t="shared" ca="1" si="31"/>
        <v>NA</v>
      </c>
      <c r="BY110" s="12" t="str">
        <f t="shared" ca="1" si="32"/>
        <v>NA</v>
      </c>
      <c r="BZ110" s="12" t="str">
        <f t="shared" ca="1" si="33"/>
        <v>NA</v>
      </c>
      <c r="CA110" s="5"/>
    </row>
    <row r="111" spans="1:79" ht="12.75" customHeight="1" x14ac:dyDescent="0.15">
      <c r="A111" s="4">
        <v>2403</v>
      </c>
      <c r="B111" s="5" t="s">
        <v>79</v>
      </c>
      <c r="C111" s="5" t="s">
        <v>79</v>
      </c>
      <c r="D111" s="6" t="s">
        <v>618</v>
      </c>
      <c r="E111" s="7">
        <v>23425</v>
      </c>
      <c r="F111" s="6" t="s">
        <v>619</v>
      </c>
      <c r="G111" s="8"/>
      <c r="H111" s="8"/>
      <c r="I111" s="8"/>
      <c r="J111" s="8"/>
      <c r="K111" s="8"/>
      <c r="L111" s="8" t="s">
        <v>82</v>
      </c>
      <c r="M111" s="7">
        <v>1102</v>
      </c>
      <c r="N111" s="7">
        <v>1127</v>
      </c>
      <c r="O111" s="13">
        <v>37225</v>
      </c>
      <c r="P111" s="10">
        <f t="shared" ca="1" si="0"/>
        <v>15.155555555555555</v>
      </c>
      <c r="Q111" s="5">
        <f t="shared" ca="1" si="1"/>
        <v>181</v>
      </c>
      <c r="R111" s="5">
        <f t="shared" ca="1" si="2"/>
        <v>5536</v>
      </c>
      <c r="S111" s="7">
        <f t="shared" ca="1" si="3"/>
        <v>2001</v>
      </c>
      <c r="T111" s="7">
        <f t="shared" ca="1" si="4"/>
        <v>11</v>
      </c>
      <c r="U111" s="7">
        <f t="shared" ca="1" si="5"/>
        <v>30</v>
      </c>
      <c r="V111" s="6" t="s">
        <v>620</v>
      </c>
      <c r="W111" s="14" t="s">
        <v>96</v>
      </c>
      <c r="X111" s="15"/>
      <c r="Y111" s="5">
        <f t="shared" ca="1" si="6"/>
        <v>3</v>
      </c>
      <c r="Z111" s="6"/>
      <c r="AA111" s="12" t="str">
        <f t="shared" ca="1" si="7"/>
        <v>NA</v>
      </c>
      <c r="AB111" s="12" t="str">
        <f t="shared" ca="1" si="8"/>
        <v>NA</v>
      </c>
      <c r="AC111" s="12" t="str">
        <f t="shared" ca="1" si="9"/>
        <v>NA</v>
      </c>
      <c r="AD111" s="6"/>
      <c r="AE111" s="5"/>
      <c r="AF111" s="6"/>
      <c r="AG111" s="11">
        <v>42761</v>
      </c>
      <c r="AH111" s="12">
        <f t="shared" ca="1" si="10"/>
        <v>2017</v>
      </c>
      <c r="AI111" s="12">
        <f t="shared" ca="1" si="11"/>
        <v>1</v>
      </c>
      <c r="AJ111" s="12">
        <f t="shared" ca="1" si="12"/>
        <v>26</v>
      </c>
      <c r="AK111" s="8" t="s">
        <v>621</v>
      </c>
      <c r="AL111" s="8"/>
      <c r="AM111" s="5"/>
      <c r="AN111" s="5"/>
      <c r="AO111" s="11">
        <v>37937</v>
      </c>
      <c r="AP111" s="12">
        <f t="shared" ca="1" si="13"/>
        <v>2003</v>
      </c>
      <c r="AQ111" s="12">
        <f t="shared" ca="1" si="14"/>
        <v>11</v>
      </c>
      <c r="AR111" s="12">
        <f t="shared" ca="1" si="15"/>
        <v>12</v>
      </c>
      <c r="AS111" s="8" t="s">
        <v>622</v>
      </c>
      <c r="AT111" s="8"/>
      <c r="AU111" s="11">
        <v>41585</v>
      </c>
      <c r="AV111" s="12">
        <f t="shared" ca="1" si="16"/>
        <v>2013</v>
      </c>
      <c r="AW111" s="12">
        <f t="shared" ca="1" si="17"/>
        <v>11</v>
      </c>
      <c r="AX111" s="12">
        <f t="shared" ca="1" si="18"/>
        <v>7</v>
      </c>
      <c r="AY111" s="8" t="s">
        <v>623</v>
      </c>
      <c r="AZ111" s="8"/>
      <c r="BA111" s="11">
        <v>42303</v>
      </c>
      <c r="BB111" s="12">
        <f t="shared" ca="1" si="19"/>
        <v>2015</v>
      </c>
      <c r="BC111" s="12">
        <f t="shared" ca="1" si="20"/>
        <v>10</v>
      </c>
      <c r="BD111" s="12">
        <f t="shared" ca="1" si="21"/>
        <v>26</v>
      </c>
      <c r="BE111" s="8" t="s">
        <v>624</v>
      </c>
      <c r="BF111" s="8"/>
      <c r="BG111" s="5"/>
      <c r="BH111" s="12" t="str">
        <f t="shared" ca="1" si="22"/>
        <v>NA</v>
      </c>
      <c r="BI111" s="12" t="str">
        <f t="shared" ca="1" si="23"/>
        <v>NA</v>
      </c>
      <c r="BJ111" s="12" t="str">
        <f t="shared" ca="1" si="24"/>
        <v>NA</v>
      </c>
      <c r="BK111" s="5"/>
      <c r="BL111" s="5"/>
      <c r="BM111" s="12" t="str">
        <f t="shared" ca="1" si="25"/>
        <v>NA</v>
      </c>
      <c r="BN111" s="12" t="str">
        <f t="shared" ca="1" si="26"/>
        <v>NA</v>
      </c>
      <c r="BO111" s="12" t="str">
        <f t="shared" ca="1" si="27"/>
        <v>NA</v>
      </c>
      <c r="BP111" s="5"/>
      <c r="BQ111" s="5"/>
      <c r="BR111" s="5"/>
      <c r="BS111" s="12" t="str">
        <f t="shared" ca="1" si="28"/>
        <v>NA</v>
      </c>
      <c r="BT111" s="12" t="str">
        <f t="shared" ca="1" si="29"/>
        <v>NA</v>
      </c>
      <c r="BU111" s="12" t="str">
        <f t="shared" ca="1" si="30"/>
        <v>NA</v>
      </c>
      <c r="BV111" s="5"/>
      <c r="BW111" s="5"/>
      <c r="BX111" s="12" t="str">
        <f t="shared" ca="1" si="31"/>
        <v>NA</v>
      </c>
      <c r="BY111" s="12" t="str">
        <f t="shared" ca="1" si="32"/>
        <v>NA</v>
      </c>
      <c r="BZ111" s="12" t="str">
        <f t="shared" ca="1" si="33"/>
        <v>NA</v>
      </c>
      <c r="CA111" s="5"/>
    </row>
    <row r="112" spans="1:79" ht="12.75" customHeight="1" x14ac:dyDescent="0.15">
      <c r="A112" s="4">
        <v>2405</v>
      </c>
      <c r="B112" s="5" t="s">
        <v>79</v>
      </c>
      <c r="C112" s="5" t="s">
        <v>79</v>
      </c>
      <c r="D112" s="6" t="s">
        <v>625</v>
      </c>
      <c r="E112" s="6" t="s">
        <v>626</v>
      </c>
      <c r="F112" s="6" t="s">
        <v>627</v>
      </c>
      <c r="G112" s="8"/>
      <c r="H112" s="8"/>
      <c r="I112" s="8"/>
      <c r="J112" s="8"/>
      <c r="K112" s="8"/>
      <c r="L112" s="8" t="s">
        <v>82</v>
      </c>
      <c r="M112" s="7">
        <v>2338</v>
      </c>
      <c r="N112" s="7">
        <v>2340</v>
      </c>
      <c r="O112" s="13">
        <v>37295</v>
      </c>
      <c r="P112" s="10">
        <f t="shared" ca="1" si="0"/>
        <v>11.433333333333334</v>
      </c>
      <c r="Q112" s="5">
        <f t="shared" ca="1" si="1"/>
        <v>137</v>
      </c>
      <c r="R112" s="5">
        <f t="shared" ca="1" si="2"/>
        <v>4174</v>
      </c>
      <c r="S112" s="7">
        <f t="shared" ca="1" si="3"/>
        <v>2002</v>
      </c>
      <c r="T112" s="7">
        <f t="shared" ca="1" si="4"/>
        <v>2</v>
      </c>
      <c r="U112" s="7">
        <f t="shared" ca="1" si="5"/>
        <v>8</v>
      </c>
      <c r="V112" s="6" t="s">
        <v>628</v>
      </c>
      <c r="W112" s="14" t="s">
        <v>96</v>
      </c>
      <c r="X112" s="15"/>
      <c r="Y112" s="5">
        <f t="shared" ca="1" si="6"/>
        <v>4</v>
      </c>
      <c r="Z112" s="6"/>
      <c r="AA112" s="12" t="str">
        <f t="shared" ca="1" si="7"/>
        <v>NA</v>
      </c>
      <c r="AB112" s="12" t="str">
        <f t="shared" ca="1" si="8"/>
        <v>NA</v>
      </c>
      <c r="AC112" s="12" t="str">
        <f t="shared" ca="1" si="9"/>
        <v>NA</v>
      </c>
      <c r="AD112" s="6"/>
      <c r="AE112" s="5"/>
      <c r="AF112" s="6"/>
      <c r="AG112" s="11">
        <v>41469</v>
      </c>
      <c r="AH112" s="12">
        <f t="shared" ca="1" si="10"/>
        <v>2013</v>
      </c>
      <c r="AI112" s="12">
        <f t="shared" ca="1" si="11"/>
        <v>7</v>
      </c>
      <c r="AJ112" s="12">
        <f t="shared" ca="1" si="12"/>
        <v>14</v>
      </c>
      <c r="AK112" s="8" t="s">
        <v>629</v>
      </c>
      <c r="AL112" s="8"/>
      <c r="AM112" s="5"/>
      <c r="AN112" s="5"/>
      <c r="AO112" s="11">
        <v>37903</v>
      </c>
      <c r="AP112" s="12">
        <f t="shared" ca="1" si="13"/>
        <v>2003</v>
      </c>
      <c r="AQ112" s="12">
        <f t="shared" ca="1" si="14"/>
        <v>10</v>
      </c>
      <c r="AR112" s="12">
        <f t="shared" ca="1" si="15"/>
        <v>9</v>
      </c>
      <c r="AS112" s="8" t="s">
        <v>630</v>
      </c>
      <c r="AT112" s="8"/>
      <c r="AU112" s="11">
        <v>38433</v>
      </c>
      <c r="AV112" s="12">
        <f t="shared" ca="1" si="16"/>
        <v>2005</v>
      </c>
      <c r="AW112" s="12">
        <f t="shared" ca="1" si="17"/>
        <v>3</v>
      </c>
      <c r="AX112" s="12">
        <f t="shared" ca="1" si="18"/>
        <v>22</v>
      </c>
      <c r="AY112" s="8" t="s">
        <v>631</v>
      </c>
      <c r="AZ112" s="8"/>
      <c r="BA112" s="11">
        <v>39642</v>
      </c>
      <c r="BB112" s="12">
        <f t="shared" ca="1" si="19"/>
        <v>2008</v>
      </c>
      <c r="BC112" s="12">
        <f t="shared" ca="1" si="20"/>
        <v>7</v>
      </c>
      <c r="BD112" s="12">
        <f t="shared" ca="1" si="21"/>
        <v>13</v>
      </c>
      <c r="BE112" s="8" t="s">
        <v>632</v>
      </c>
      <c r="BF112" s="8"/>
      <c r="BG112" s="11">
        <v>40484</v>
      </c>
      <c r="BH112" s="12">
        <f t="shared" ca="1" si="22"/>
        <v>2010</v>
      </c>
      <c r="BI112" s="12">
        <f t="shared" ca="1" si="23"/>
        <v>11</v>
      </c>
      <c r="BJ112" s="12">
        <f t="shared" ca="1" si="24"/>
        <v>2</v>
      </c>
      <c r="BK112" s="8" t="s">
        <v>633</v>
      </c>
      <c r="BL112" s="5"/>
      <c r="BM112" s="12" t="str">
        <f t="shared" ca="1" si="25"/>
        <v>NA</v>
      </c>
      <c r="BN112" s="12" t="str">
        <f t="shared" ca="1" si="26"/>
        <v>NA</v>
      </c>
      <c r="BO112" s="12" t="str">
        <f t="shared" ca="1" si="27"/>
        <v>NA</v>
      </c>
      <c r="BP112" s="5"/>
      <c r="BQ112" s="5"/>
      <c r="BR112" s="5"/>
      <c r="BS112" s="12" t="str">
        <f t="shared" ca="1" si="28"/>
        <v>NA</v>
      </c>
      <c r="BT112" s="12" t="str">
        <f t="shared" ca="1" si="29"/>
        <v>NA</v>
      </c>
      <c r="BU112" s="12" t="str">
        <f t="shared" ca="1" si="30"/>
        <v>NA</v>
      </c>
      <c r="BV112" s="5"/>
      <c r="BW112" s="5"/>
      <c r="BX112" s="12" t="str">
        <f t="shared" ca="1" si="31"/>
        <v>NA</v>
      </c>
      <c r="BY112" s="12" t="str">
        <f t="shared" ca="1" si="32"/>
        <v>NA</v>
      </c>
      <c r="BZ112" s="12" t="str">
        <f t="shared" ca="1" si="33"/>
        <v>NA</v>
      </c>
      <c r="CA112" s="5"/>
    </row>
    <row r="113" spans="1:79" ht="12.75" customHeight="1" x14ac:dyDescent="0.15">
      <c r="A113" s="4">
        <v>2406</v>
      </c>
      <c r="B113" s="5" t="s">
        <v>79</v>
      </c>
      <c r="C113" s="5" t="s">
        <v>79</v>
      </c>
      <c r="D113" s="6" t="s">
        <v>634</v>
      </c>
      <c r="E113" s="7">
        <v>2921</v>
      </c>
      <c r="F113" s="6" t="s">
        <v>635</v>
      </c>
      <c r="G113" s="8"/>
      <c r="H113" s="8"/>
      <c r="I113" s="8"/>
      <c r="J113" s="8"/>
      <c r="K113" s="8"/>
      <c r="L113" s="8" t="s">
        <v>82</v>
      </c>
      <c r="M113" s="7">
        <v>1103</v>
      </c>
      <c r="N113" s="7">
        <v>1097</v>
      </c>
      <c r="O113" s="13">
        <v>37319</v>
      </c>
      <c r="P113" s="10">
        <f t="shared" ca="1" si="0"/>
        <v>10.177777777777777</v>
      </c>
      <c r="Q113" s="5">
        <f t="shared" ca="1" si="1"/>
        <v>122</v>
      </c>
      <c r="R113" s="5">
        <f t="shared" ca="1" si="2"/>
        <v>3718</v>
      </c>
      <c r="S113" s="7">
        <f t="shared" ca="1" si="3"/>
        <v>2002</v>
      </c>
      <c r="T113" s="7">
        <f t="shared" ca="1" si="4"/>
        <v>3</v>
      </c>
      <c r="U113" s="7">
        <f t="shared" ca="1" si="5"/>
        <v>4</v>
      </c>
      <c r="V113" s="6" t="s">
        <v>636</v>
      </c>
      <c r="W113" s="14" t="s">
        <v>96</v>
      </c>
      <c r="X113" s="15"/>
      <c r="Y113" s="5">
        <f t="shared" ca="1" si="6"/>
        <v>0</v>
      </c>
      <c r="Z113" s="6"/>
      <c r="AA113" s="12" t="str">
        <f t="shared" ca="1" si="7"/>
        <v>NA</v>
      </c>
      <c r="AB113" s="12" t="str">
        <f t="shared" ca="1" si="8"/>
        <v>NA</v>
      </c>
      <c r="AC113" s="12" t="str">
        <f t="shared" ca="1" si="9"/>
        <v>NA</v>
      </c>
      <c r="AD113" s="6"/>
      <c r="AE113" s="5"/>
      <c r="AF113" s="6"/>
      <c r="AG113" s="11">
        <v>41037</v>
      </c>
      <c r="AH113" s="12">
        <f t="shared" ca="1" si="10"/>
        <v>2012</v>
      </c>
      <c r="AI113" s="12">
        <f t="shared" ca="1" si="11"/>
        <v>5</v>
      </c>
      <c r="AJ113" s="12">
        <f t="shared" ca="1" si="12"/>
        <v>8</v>
      </c>
      <c r="AK113" s="8" t="s">
        <v>637</v>
      </c>
      <c r="AL113" s="8"/>
      <c r="AM113" s="5"/>
      <c r="AN113" s="5"/>
      <c r="AO113" s="5"/>
      <c r="AP113" s="12" t="str">
        <f t="shared" ca="1" si="13"/>
        <v>NA</v>
      </c>
      <c r="AQ113" s="12" t="str">
        <f t="shared" ca="1" si="14"/>
        <v>NA</v>
      </c>
      <c r="AR113" s="12" t="str">
        <f t="shared" ca="1" si="15"/>
        <v>NA</v>
      </c>
      <c r="AS113" s="5"/>
      <c r="AT113" s="5"/>
      <c r="AU113" s="5"/>
      <c r="AV113" s="12" t="str">
        <f t="shared" ca="1" si="16"/>
        <v>NA</v>
      </c>
      <c r="AW113" s="12" t="str">
        <f t="shared" ca="1" si="17"/>
        <v>NA</v>
      </c>
      <c r="AX113" s="12" t="str">
        <f t="shared" ca="1" si="18"/>
        <v>NA</v>
      </c>
      <c r="AY113" s="5"/>
      <c r="AZ113" s="5"/>
      <c r="BA113" s="6"/>
      <c r="BB113" s="12" t="str">
        <f t="shared" ca="1" si="19"/>
        <v>NA</v>
      </c>
      <c r="BC113" s="12" t="str">
        <f t="shared" ca="1" si="20"/>
        <v>NA</v>
      </c>
      <c r="BD113" s="12" t="str">
        <f t="shared" ca="1" si="21"/>
        <v>NA</v>
      </c>
      <c r="BE113" s="5"/>
      <c r="BF113" s="5"/>
      <c r="BG113" s="5"/>
      <c r="BH113" s="12" t="str">
        <f t="shared" ca="1" si="22"/>
        <v>NA</v>
      </c>
      <c r="BI113" s="12" t="str">
        <f t="shared" ca="1" si="23"/>
        <v>NA</v>
      </c>
      <c r="BJ113" s="12" t="str">
        <f t="shared" ca="1" si="24"/>
        <v>NA</v>
      </c>
      <c r="BK113" s="5"/>
      <c r="BL113" s="5"/>
      <c r="BM113" s="12" t="str">
        <f t="shared" ca="1" si="25"/>
        <v>NA</v>
      </c>
      <c r="BN113" s="12" t="str">
        <f t="shared" ca="1" si="26"/>
        <v>NA</v>
      </c>
      <c r="BO113" s="12" t="str">
        <f t="shared" ca="1" si="27"/>
        <v>NA</v>
      </c>
      <c r="BP113" s="5"/>
      <c r="BQ113" s="5"/>
      <c r="BR113" s="5"/>
      <c r="BS113" s="12" t="str">
        <f t="shared" ca="1" si="28"/>
        <v>NA</v>
      </c>
      <c r="BT113" s="12" t="str">
        <f t="shared" ca="1" si="29"/>
        <v>NA</v>
      </c>
      <c r="BU113" s="12" t="str">
        <f t="shared" ca="1" si="30"/>
        <v>NA</v>
      </c>
      <c r="BV113" s="5"/>
      <c r="BW113" s="5"/>
      <c r="BX113" s="12" t="str">
        <f t="shared" ca="1" si="31"/>
        <v>NA</v>
      </c>
      <c r="BY113" s="12" t="str">
        <f t="shared" ca="1" si="32"/>
        <v>NA</v>
      </c>
      <c r="BZ113" s="12" t="str">
        <f t="shared" ca="1" si="33"/>
        <v>NA</v>
      </c>
      <c r="CA113" s="5"/>
    </row>
    <row r="114" spans="1:79" ht="12.75" customHeight="1" x14ac:dyDescent="0.15">
      <c r="A114" s="4">
        <v>2407</v>
      </c>
      <c r="B114" s="5" t="s">
        <v>79</v>
      </c>
      <c r="C114" s="5" t="s">
        <v>79</v>
      </c>
      <c r="D114" s="6" t="s">
        <v>638</v>
      </c>
      <c r="E114" s="7">
        <v>2922</v>
      </c>
      <c r="F114" s="6" t="s">
        <v>639</v>
      </c>
      <c r="G114" s="8"/>
      <c r="H114" s="8"/>
      <c r="I114" s="8"/>
      <c r="J114" s="8"/>
      <c r="K114" s="8"/>
      <c r="L114" s="8" t="s">
        <v>82</v>
      </c>
      <c r="M114" s="7">
        <v>1103</v>
      </c>
      <c r="N114" s="7">
        <v>1097</v>
      </c>
      <c r="O114" s="13">
        <v>37319</v>
      </c>
      <c r="P114" s="10">
        <f t="shared" ca="1" si="0"/>
        <v>2.7777777777777779E-3</v>
      </c>
      <c r="Q114" s="5">
        <f t="shared" ca="1" si="1"/>
        <v>0</v>
      </c>
      <c r="R114" s="5">
        <f t="shared" ca="1" si="2"/>
        <v>1</v>
      </c>
      <c r="S114" s="7">
        <f t="shared" ca="1" si="3"/>
        <v>2002</v>
      </c>
      <c r="T114" s="7">
        <f t="shared" ca="1" si="4"/>
        <v>3</v>
      </c>
      <c r="U114" s="7">
        <f t="shared" ca="1" si="5"/>
        <v>4</v>
      </c>
      <c r="V114" s="6" t="s">
        <v>640</v>
      </c>
      <c r="W114" s="14" t="s">
        <v>96</v>
      </c>
      <c r="X114" s="15"/>
      <c r="Y114" s="5">
        <f t="shared" ca="1" si="6"/>
        <v>0</v>
      </c>
      <c r="Z114" s="6"/>
      <c r="AA114" s="12" t="str">
        <f t="shared" ca="1" si="7"/>
        <v>NA</v>
      </c>
      <c r="AB114" s="12" t="str">
        <f t="shared" ca="1" si="8"/>
        <v>NA</v>
      </c>
      <c r="AC114" s="12" t="str">
        <f t="shared" ca="1" si="9"/>
        <v>NA</v>
      </c>
      <c r="AD114" s="6"/>
      <c r="AE114" s="5"/>
      <c r="AF114" s="6"/>
      <c r="AG114" s="11">
        <v>37320</v>
      </c>
      <c r="AH114" s="12">
        <f t="shared" ca="1" si="10"/>
        <v>2002</v>
      </c>
      <c r="AI114" s="12">
        <f t="shared" ca="1" si="11"/>
        <v>3</v>
      </c>
      <c r="AJ114" s="12">
        <f t="shared" ca="1" si="12"/>
        <v>5</v>
      </c>
      <c r="AK114" s="8" t="s">
        <v>641</v>
      </c>
      <c r="AL114" s="8"/>
      <c r="AM114" s="5"/>
      <c r="AN114" s="5"/>
      <c r="AO114" s="5"/>
      <c r="AP114" s="12" t="str">
        <f t="shared" ca="1" si="13"/>
        <v>NA</v>
      </c>
      <c r="AQ114" s="12" t="str">
        <f t="shared" ca="1" si="14"/>
        <v>NA</v>
      </c>
      <c r="AR114" s="12" t="str">
        <f t="shared" ca="1" si="15"/>
        <v>NA</v>
      </c>
      <c r="AS114" s="5"/>
      <c r="AT114" s="5"/>
      <c r="AU114" s="5"/>
      <c r="AV114" s="12" t="str">
        <f t="shared" ca="1" si="16"/>
        <v>NA</v>
      </c>
      <c r="AW114" s="12" t="str">
        <f t="shared" ca="1" si="17"/>
        <v>NA</v>
      </c>
      <c r="AX114" s="12" t="str">
        <f t="shared" ca="1" si="18"/>
        <v>NA</v>
      </c>
      <c r="AY114" s="5"/>
      <c r="AZ114" s="5"/>
      <c r="BA114" s="6"/>
      <c r="BB114" s="12" t="str">
        <f t="shared" ca="1" si="19"/>
        <v>NA</v>
      </c>
      <c r="BC114" s="12" t="str">
        <f t="shared" ca="1" si="20"/>
        <v>NA</v>
      </c>
      <c r="BD114" s="12" t="str">
        <f t="shared" ca="1" si="21"/>
        <v>NA</v>
      </c>
      <c r="BE114" s="5"/>
      <c r="BF114" s="5"/>
      <c r="BG114" s="5"/>
      <c r="BH114" s="12" t="str">
        <f t="shared" ca="1" si="22"/>
        <v>NA</v>
      </c>
      <c r="BI114" s="12" t="str">
        <f t="shared" ca="1" si="23"/>
        <v>NA</v>
      </c>
      <c r="BJ114" s="12" t="str">
        <f t="shared" ca="1" si="24"/>
        <v>NA</v>
      </c>
      <c r="BK114" s="5"/>
      <c r="BL114" s="5"/>
      <c r="BM114" s="12" t="str">
        <f t="shared" ca="1" si="25"/>
        <v>NA</v>
      </c>
      <c r="BN114" s="12" t="str">
        <f t="shared" ca="1" si="26"/>
        <v>NA</v>
      </c>
      <c r="BO114" s="12" t="str">
        <f t="shared" ca="1" si="27"/>
        <v>NA</v>
      </c>
      <c r="BP114" s="5"/>
      <c r="BQ114" s="5"/>
      <c r="BR114" s="5"/>
      <c r="BS114" s="12" t="str">
        <f t="shared" ca="1" si="28"/>
        <v>NA</v>
      </c>
      <c r="BT114" s="12" t="str">
        <f t="shared" ca="1" si="29"/>
        <v>NA</v>
      </c>
      <c r="BU114" s="12" t="str">
        <f t="shared" ca="1" si="30"/>
        <v>NA</v>
      </c>
      <c r="BV114" s="5"/>
      <c r="BW114" s="5"/>
      <c r="BX114" s="12" t="str">
        <f t="shared" ca="1" si="31"/>
        <v>NA</v>
      </c>
      <c r="BY114" s="12" t="str">
        <f t="shared" ca="1" si="32"/>
        <v>NA</v>
      </c>
      <c r="BZ114" s="12" t="str">
        <f t="shared" ca="1" si="33"/>
        <v>NA</v>
      </c>
      <c r="CA114" s="5"/>
    </row>
    <row r="115" spans="1:79" ht="12.75" customHeight="1" x14ac:dyDescent="0.15">
      <c r="A115" s="4">
        <v>2408</v>
      </c>
      <c r="B115" s="5" t="s">
        <v>79</v>
      </c>
      <c r="C115" s="5" t="s">
        <v>79</v>
      </c>
      <c r="D115" s="6" t="s">
        <v>642</v>
      </c>
      <c r="E115" s="7">
        <v>100363</v>
      </c>
      <c r="F115" s="6" t="s">
        <v>643</v>
      </c>
      <c r="G115" s="8"/>
      <c r="H115" s="8"/>
      <c r="I115" s="8"/>
      <c r="J115" s="8"/>
      <c r="K115" s="8"/>
      <c r="L115" s="8" t="s">
        <v>82</v>
      </c>
      <c r="M115" s="7">
        <v>1113</v>
      </c>
      <c r="N115" s="7">
        <v>1089</v>
      </c>
      <c r="O115" s="13">
        <v>37340</v>
      </c>
      <c r="P115" s="10">
        <f t="shared" ca="1" si="0"/>
        <v>12.933333333333334</v>
      </c>
      <c r="Q115" s="5">
        <f t="shared" ca="1" si="1"/>
        <v>155</v>
      </c>
      <c r="R115" s="5">
        <f t="shared" ca="1" si="2"/>
        <v>4724</v>
      </c>
      <c r="S115" s="7">
        <f t="shared" ca="1" si="3"/>
        <v>2002</v>
      </c>
      <c r="T115" s="7">
        <f t="shared" ca="1" si="4"/>
        <v>3</v>
      </c>
      <c r="U115" s="7">
        <f t="shared" ca="1" si="5"/>
        <v>25</v>
      </c>
      <c r="V115" s="6" t="s">
        <v>644</v>
      </c>
      <c r="W115" s="14" t="s">
        <v>96</v>
      </c>
      <c r="X115" s="15"/>
      <c r="Y115" s="5">
        <f t="shared" ca="1" si="6"/>
        <v>1</v>
      </c>
      <c r="Z115" s="6"/>
      <c r="AA115" s="12" t="str">
        <f t="shared" ca="1" si="7"/>
        <v>NA</v>
      </c>
      <c r="AB115" s="12" t="str">
        <f t="shared" ca="1" si="8"/>
        <v>NA</v>
      </c>
      <c r="AC115" s="12" t="str">
        <f t="shared" ca="1" si="9"/>
        <v>NA</v>
      </c>
      <c r="AD115" s="6"/>
      <c r="AE115" s="5"/>
      <c r="AF115" s="6"/>
      <c r="AG115" s="11">
        <v>42064</v>
      </c>
      <c r="AH115" s="12">
        <f t="shared" ca="1" si="10"/>
        <v>2015</v>
      </c>
      <c r="AI115" s="12">
        <f t="shared" ca="1" si="11"/>
        <v>3</v>
      </c>
      <c r="AJ115" s="12">
        <f t="shared" ca="1" si="12"/>
        <v>1</v>
      </c>
      <c r="AK115" s="8" t="s">
        <v>645</v>
      </c>
      <c r="AL115" s="8"/>
      <c r="AM115" s="5"/>
      <c r="AN115" s="5"/>
      <c r="AO115" s="11">
        <v>38875</v>
      </c>
      <c r="AP115" s="12">
        <f t="shared" ca="1" si="13"/>
        <v>2006</v>
      </c>
      <c r="AQ115" s="12">
        <f t="shared" ca="1" si="14"/>
        <v>6</v>
      </c>
      <c r="AR115" s="12">
        <f t="shared" ca="1" si="15"/>
        <v>7</v>
      </c>
      <c r="AS115" s="8" t="s">
        <v>646</v>
      </c>
      <c r="AT115" s="8"/>
      <c r="AU115" s="5"/>
      <c r="AV115" s="12" t="str">
        <f t="shared" ca="1" si="16"/>
        <v>NA</v>
      </c>
      <c r="AW115" s="12" t="str">
        <f t="shared" ca="1" si="17"/>
        <v>NA</v>
      </c>
      <c r="AX115" s="12" t="str">
        <f t="shared" ca="1" si="18"/>
        <v>NA</v>
      </c>
      <c r="AY115" s="5"/>
      <c r="AZ115" s="5"/>
      <c r="BA115" s="6"/>
      <c r="BB115" s="12" t="str">
        <f t="shared" ca="1" si="19"/>
        <v>NA</v>
      </c>
      <c r="BC115" s="12" t="str">
        <f t="shared" ca="1" si="20"/>
        <v>NA</v>
      </c>
      <c r="BD115" s="12" t="str">
        <f t="shared" ca="1" si="21"/>
        <v>NA</v>
      </c>
      <c r="BE115" s="5"/>
      <c r="BF115" s="5"/>
      <c r="BG115" s="5"/>
      <c r="BH115" s="12" t="str">
        <f t="shared" ca="1" si="22"/>
        <v>NA</v>
      </c>
      <c r="BI115" s="12" t="str">
        <f t="shared" ca="1" si="23"/>
        <v>NA</v>
      </c>
      <c r="BJ115" s="12" t="str">
        <f t="shared" ca="1" si="24"/>
        <v>NA</v>
      </c>
      <c r="BK115" s="5"/>
      <c r="BL115" s="5"/>
      <c r="BM115" s="12" t="str">
        <f t="shared" ca="1" si="25"/>
        <v>NA</v>
      </c>
      <c r="BN115" s="12" t="str">
        <f t="shared" ca="1" si="26"/>
        <v>NA</v>
      </c>
      <c r="BO115" s="12" t="str">
        <f t="shared" ca="1" si="27"/>
        <v>NA</v>
      </c>
      <c r="BP115" s="5"/>
      <c r="BQ115" s="5"/>
      <c r="BR115" s="5"/>
      <c r="BS115" s="12" t="str">
        <f t="shared" ca="1" si="28"/>
        <v>NA</v>
      </c>
      <c r="BT115" s="12" t="str">
        <f t="shared" ca="1" si="29"/>
        <v>NA</v>
      </c>
      <c r="BU115" s="12" t="str">
        <f t="shared" ca="1" si="30"/>
        <v>NA</v>
      </c>
      <c r="BV115" s="5"/>
      <c r="BW115" s="5"/>
      <c r="BX115" s="12" t="str">
        <f t="shared" ca="1" si="31"/>
        <v>NA</v>
      </c>
      <c r="BY115" s="12" t="str">
        <f t="shared" ca="1" si="32"/>
        <v>NA</v>
      </c>
      <c r="BZ115" s="12" t="str">
        <f t="shared" ca="1" si="33"/>
        <v>NA</v>
      </c>
      <c r="CA115" s="5"/>
    </row>
    <row r="116" spans="1:79" ht="12.75" customHeight="1" x14ac:dyDescent="0.15">
      <c r="A116" s="4">
        <v>2409</v>
      </c>
      <c r="B116" s="5" t="s">
        <v>79</v>
      </c>
      <c r="C116" s="5" t="s">
        <v>79</v>
      </c>
      <c r="D116" s="6" t="s">
        <v>647</v>
      </c>
      <c r="E116" s="7">
        <v>109501</v>
      </c>
      <c r="F116" s="6" t="s">
        <v>648</v>
      </c>
      <c r="G116" s="8"/>
      <c r="H116" s="8"/>
      <c r="I116" s="8"/>
      <c r="J116" s="8"/>
      <c r="K116" s="8"/>
      <c r="L116" s="8" t="s">
        <v>82</v>
      </c>
      <c r="M116" s="7">
        <v>1113</v>
      </c>
      <c r="N116" s="7">
        <v>1089</v>
      </c>
      <c r="O116" s="13">
        <v>37340</v>
      </c>
      <c r="P116" s="10">
        <f t="shared" ca="1" si="0"/>
        <v>16.966666666666665</v>
      </c>
      <c r="Q116" s="5">
        <f t="shared" ca="1" si="1"/>
        <v>203</v>
      </c>
      <c r="R116" s="5">
        <f t="shared" ca="1" si="2"/>
        <v>6197</v>
      </c>
      <c r="S116" s="7">
        <f t="shared" ca="1" si="3"/>
        <v>2002</v>
      </c>
      <c r="T116" s="7">
        <f t="shared" ca="1" si="4"/>
        <v>3</v>
      </c>
      <c r="U116" s="7">
        <f t="shared" ca="1" si="5"/>
        <v>25</v>
      </c>
      <c r="V116" s="6" t="s">
        <v>649</v>
      </c>
      <c r="W116" s="14" t="s">
        <v>96</v>
      </c>
      <c r="X116" s="15"/>
      <c r="Y116" s="5">
        <f t="shared" ca="1" si="6"/>
        <v>1</v>
      </c>
      <c r="Z116" s="6"/>
      <c r="AA116" s="12" t="str">
        <f t="shared" ca="1" si="7"/>
        <v>NA</v>
      </c>
      <c r="AB116" s="12" t="str">
        <f t="shared" ca="1" si="8"/>
        <v>NA</v>
      </c>
      <c r="AC116" s="12" t="str">
        <f t="shared" ca="1" si="9"/>
        <v>NA</v>
      </c>
      <c r="AD116" s="6"/>
      <c r="AE116" s="5"/>
      <c r="AF116" s="6"/>
      <c r="AG116" s="11">
        <v>43537</v>
      </c>
      <c r="AH116" s="12">
        <f t="shared" ca="1" si="10"/>
        <v>2019</v>
      </c>
      <c r="AI116" s="12">
        <f t="shared" ca="1" si="11"/>
        <v>3</v>
      </c>
      <c r="AJ116" s="12">
        <f t="shared" ca="1" si="12"/>
        <v>13</v>
      </c>
      <c r="AK116" s="8" t="s">
        <v>650</v>
      </c>
      <c r="AL116" s="8"/>
      <c r="AM116" s="5"/>
      <c r="AN116" s="5"/>
      <c r="AO116" s="11">
        <v>39999</v>
      </c>
      <c r="AP116" s="12">
        <f t="shared" ca="1" si="13"/>
        <v>2009</v>
      </c>
      <c r="AQ116" s="12">
        <f t="shared" ca="1" si="14"/>
        <v>7</v>
      </c>
      <c r="AR116" s="12">
        <f t="shared" ca="1" si="15"/>
        <v>5</v>
      </c>
      <c r="AS116" s="8" t="s">
        <v>651</v>
      </c>
      <c r="AT116" s="8"/>
      <c r="AU116" s="5"/>
      <c r="AV116" s="12" t="str">
        <f t="shared" ca="1" si="16"/>
        <v>NA</v>
      </c>
      <c r="AW116" s="12" t="str">
        <f t="shared" ca="1" si="17"/>
        <v>NA</v>
      </c>
      <c r="AX116" s="12" t="str">
        <f t="shared" ca="1" si="18"/>
        <v>NA</v>
      </c>
      <c r="AY116" s="5"/>
      <c r="AZ116" s="5"/>
      <c r="BA116" s="6"/>
      <c r="BB116" s="12" t="str">
        <f t="shared" ca="1" si="19"/>
        <v>NA</v>
      </c>
      <c r="BC116" s="12" t="str">
        <f t="shared" ca="1" si="20"/>
        <v>NA</v>
      </c>
      <c r="BD116" s="12" t="str">
        <f t="shared" ca="1" si="21"/>
        <v>NA</v>
      </c>
      <c r="BE116" s="5"/>
      <c r="BF116" s="5"/>
      <c r="BG116" s="5"/>
      <c r="BH116" s="12" t="str">
        <f t="shared" ca="1" si="22"/>
        <v>NA</v>
      </c>
      <c r="BI116" s="12" t="str">
        <f t="shared" ca="1" si="23"/>
        <v>NA</v>
      </c>
      <c r="BJ116" s="12" t="str">
        <f t="shared" ca="1" si="24"/>
        <v>NA</v>
      </c>
      <c r="BK116" s="5"/>
      <c r="BL116" s="5"/>
      <c r="BM116" s="12" t="str">
        <f t="shared" ca="1" si="25"/>
        <v>NA</v>
      </c>
      <c r="BN116" s="12" t="str">
        <f t="shared" ca="1" si="26"/>
        <v>NA</v>
      </c>
      <c r="BO116" s="12" t="str">
        <f t="shared" ca="1" si="27"/>
        <v>NA</v>
      </c>
      <c r="BP116" s="5"/>
      <c r="BQ116" s="5"/>
      <c r="BR116" s="5"/>
      <c r="BS116" s="12" t="str">
        <f t="shared" ca="1" si="28"/>
        <v>NA</v>
      </c>
      <c r="BT116" s="12" t="str">
        <f t="shared" ca="1" si="29"/>
        <v>NA</v>
      </c>
      <c r="BU116" s="12" t="str">
        <f t="shared" ca="1" si="30"/>
        <v>NA</v>
      </c>
      <c r="BV116" s="5"/>
      <c r="BW116" s="5"/>
      <c r="BX116" s="12" t="str">
        <f t="shared" ca="1" si="31"/>
        <v>NA</v>
      </c>
      <c r="BY116" s="12" t="str">
        <f t="shared" ca="1" si="32"/>
        <v>NA</v>
      </c>
      <c r="BZ116" s="12" t="str">
        <f t="shared" ca="1" si="33"/>
        <v>NA</v>
      </c>
      <c r="CA116" s="5"/>
    </row>
    <row r="117" spans="1:79" ht="12.75" customHeight="1" x14ac:dyDescent="0.15">
      <c r="A117" s="4">
        <v>2410</v>
      </c>
      <c r="B117" s="5" t="s">
        <v>79</v>
      </c>
      <c r="C117" s="5" t="s">
        <v>79</v>
      </c>
      <c r="D117" s="6" t="s">
        <v>652</v>
      </c>
      <c r="E117" s="6" t="s">
        <v>653</v>
      </c>
      <c r="F117" s="6" t="s">
        <v>654</v>
      </c>
      <c r="G117" s="8"/>
      <c r="H117" s="8"/>
      <c r="I117" s="8"/>
      <c r="J117" s="8"/>
      <c r="K117" s="8"/>
      <c r="L117" s="8" t="s">
        <v>82</v>
      </c>
      <c r="M117" s="7">
        <v>1125</v>
      </c>
      <c r="N117" s="7">
        <v>1124</v>
      </c>
      <c r="O117" s="13">
        <v>37351</v>
      </c>
      <c r="P117" s="10">
        <f t="shared" ca="1" si="0"/>
        <v>1.7722222222222221</v>
      </c>
      <c r="Q117" s="5">
        <f t="shared" ca="1" si="1"/>
        <v>21</v>
      </c>
      <c r="R117" s="5">
        <f t="shared" ca="1" si="2"/>
        <v>648</v>
      </c>
      <c r="S117" s="7">
        <f t="shared" ca="1" si="3"/>
        <v>2002</v>
      </c>
      <c r="T117" s="7">
        <f t="shared" ca="1" si="4"/>
        <v>4</v>
      </c>
      <c r="U117" s="7">
        <f t="shared" ca="1" si="5"/>
        <v>5</v>
      </c>
      <c r="V117" s="6" t="s">
        <v>655</v>
      </c>
      <c r="W117" s="14" t="s">
        <v>96</v>
      </c>
      <c r="X117" s="15"/>
      <c r="Y117" s="5">
        <f t="shared" ca="1" si="6"/>
        <v>0</v>
      </c>
      <c r="Z117" s="6"/>
      <c r="AA117" s="12" t="str">
        <f t="shared" ca="1" si="7"/>
        <v>NA</v>
      </c>
      <c r="AB117" s="12" t="str">
        <f t="shared" ca="1" si="8"/>
        <v>NA</v>
      </c>
      <c r="AC117" s="12" t="str">
        <f t="shared" ca="1" si="9"/>
        <v>NA</v>
      </c>
      <c r="AD117" s="6"/>
      <c r="AE117" s="5"/>
      <c r="AF117" s="6"/>
      <c r="AG117" s="16">
        <v>37999</v>
      </c>
      <c r="AH117" s="12">
        <f t="shared" ca="1" si="10"/>
        <v>2004</v>
      </c>
      <c r="AI117" s="12">
        <f t="shared" ca="1" si="11"/>
        <v>1</v>
      </c>
      <c r="AJ117" s="12">
        <f t="shared" ca="1" si="12"/>
        <v>13</v>
      </c>
      <c r="AK117" s="6" t="s">
        <v>656</v>
      </c>
      <c r="AL117" s="17" t="s">
        <v>258</v>
      </c>
      <c r="AM117" s="5"/>
      <c r="AN117" s="5"/>
      <c r="AO117" s="5"/>
      <c r="AP117" s="12" t="str">
        <f t="shared" ca="1" si="13"/>
        <v>NA</v>
      </c>
      <c r="AQ117" s="12" t="str">
        <f t="shared" ca="1" si="14"/>
        <v>NA</v>
      </c>
      <c r="AR117" s="12" t="str">
        <f t="shared" ca="1" si="15"/>
        <v>NA</v>
      </c>
      <c r="AS117" s="5"/>
      <c r="AT117" s="5"/>
      <c r="AU117" s="5"/>
      <c r="AV117" s="12" t="str">
        <f t="shared" ca="1" si="16"/>
        <v>NA</v>
      </c>
      <c r="AW117" s="12" t="str">
        <f t="shared" ca="1" si="17"/>
        <v>NA</v>
      </c>
      <c r="AX117" s="12" t="str">
        <f t="shared" ca="1" si="18"/>
        <v>NA</v>
      </c>
      <c r="AY117" s="5"/>
      <c r="AZ117" s="5"/>
      <c r="BA117" s="6"/>
      <c r="BB117" s="12" t="str">
        <f t="shared" ca="1" si="19"/>
        <v>NA</v>
      </c>
      <c r="BC117" s="12" t="str">
        <f t="shared" ca="1" si="20"/>
        <v>NA</v>
      </c>
      <c r="BD117" s="12" t="str">
        <f t="shared" ca="1" si="21"/>
        <v>NA</v>
      </c>
      <c r="BE117" s="5"/>
      <c r="BF117" s="5"/>
      <c r="BG117" s="5"/>
      <c r="BH117" s="12" t="str">
        <f t="shared" ca="1" si="22"/>
        <v>NA</v>
      </c>
      <c r="BI117" s="12" t="str">
        <f t="shared" ca="1" si="23"/>
        <v>NA</v>
      </c>
      <c r="BJ117" s="12" t="str">
        <f t="shared" ca="1" si="24"/>
        <v>NA</v>
      </c>
      <c r="BK117" s="5"/>
      <c r="BL117" s="5"/>
      <c r="BM117" s="12" t="str">
        <f t="shared" ca="1" si="25"/>
        <v>NA</v>
      </c>
      <c r="BN117" s="12" t="str">
        <f t="shared" ca="1" si="26"/>
        <v>NA</v>
      </c>
      <c r="BO117" s="12" t="str">
        <f t="shared" ca="1" si="27"/>
        <v>NA</v>
      </c>
      <c r="BP117" s="5"/>
      <c r="BQ117" s="5"/>
      <c r="BR117" s="5"/>
      <c r="BS117" s="12" t="str">
        <f t="shared" ca="1" si="28"/>
        <v>NA</v>
      </c>
      <c r="BT117" s="12" t="str">
        <f t="shared" ca="1" si="29"/>
        <v>NA</v>
      </c>
      <c r="BU117" s="12" t="str">
        <f t="shared" ca="1" si="30"/>
        <v>NA</v>
      </c>
      <c r="BV117" s="5"/>
      <c r="BW117" s="5"/>
      <c r="BX117" s="12" t="str">
        <f t="shared" ca="1" si="31"/>
        <v>NA</v>
      </c>
      <c r="BY117" s="12" t="str">
        <f t="shared" ca="1" si="32"/>
        <v>NA</v>
      </c>
      <c r="BZ117" s="12" t="str">
        <f t="shared" ca="1" si="33"/>
        <v>NA</v>
      </c>
      <c r="CA117" s="5"/>
    </row>
    <row r="118" spans="1:79" ht="12.75" customHeight="1" x14ac:dyDescent="0.15">
      <c r="A118" s="4">
        <v>2411</v>
      </c>
      <c r="B118" s="5" t="s">
        <v>79</v>
      </c>
      <c r="C118" s="5" t="s">
        <v>79</v>
      </c>
      <c r="D118" s="6" t="s">
        <v>657</v>
      </c>
      <c r="E118" s="7">
        <v>65831</v>
      </c>
      <c r="F118" s="6" t="s">
        <v>658</v>
      </c>
      <c r="G118" s="8"/>
      <c r="H118" s="8"/>
      <c r="I118" s="8"/>
      <c r="J118" s="8"/>
      <c r="K118" s="8"/>
      <c r="L118" s="8" t="s">
        <v>82</v>
      </c>
      <c r="M118" s="7">
        <v>1125</v>
      </c>
      <c r="N118" s="7">
        <v>1124</v>
      </c>
      <c r="O118" s="13">
        <v>37351</v>
      </c>
      <c r="P118" s="10">
        <f t="shared" ca="1" si="0"/>
        <v>13.197222222222223</v>
      </c>
      <c r="Q118" s="5">
        <f t="shared" ca="1" si="1"/>
        <v>158</v>
      </c>
      <c r="R118" s="5">
        <f t="shared" ca="1" si="2"/>
        <v>4820</v>
      </c>
      <c r="S118" s="7">
        <f t="shared" ca="1" si="3"/>
        <v>2002</v>
      </c>
      <c r="T118" s="7">
        <f t="shared" ca="1" si="4"/>
        <v>4</v>
      </c>
      <c r="U118" s="7">
        <f t="shared" ca="1" si="5"/>
        <v>5</v>
      </c>
      <c r="V118" s="6" t="s">
        <v>659</v>
      </c>
      <c r="W118" s="14" t="s">
        <v>96</v>
      </c>
      <c r="X118" s="15"/>
      <c r="Y118" s="5">
        <f t="shared" ca="1" si="6"/>
        <v>2</v>
      </c>
      <c r="Z118" s="6"/>
      <c r="AA118" s="12" t="str">
        <f t="shared" ca="1" si="7"/>
        <v>NA</v>
      </c>
      <c r="AB118" s="12" t="str">
        <f t="shared" ca="1" si="8"/>
        <v>NA</v>
      </c>
      <c r="AC118" s="12" t="str">
        <f t="shared" ca="1" si="9"/>
        <v>NA</v>
      </c>
      <c r="AD118" s="6"/>
      <c r="AE118" s="5"/>
      <c r="AF118" s="6"/>
      <c r="AG118" s="11">
        <v>42171</v>
      </c>
      <c r="AH118" s="12">
        <f t="shared" ca="1" si="10"/>
        <v>2015</v>
      </c>
      <c r="AI118" s="12">
        <f t="shared" ca="1" si="11"/>
        <v>6</v>
      </c>
      <c r="AJ118" s="12">
        <f t="shared" ca="1" si="12"/>
        <v>16</v>
      </c>
      <c r="AK118" s="8" t="s">
        <v>660</v>
      </c>
      <c r="AL118" s="8"/>
      <c r="AM118" s="5"/>
      <c r="AN118" s="5"/>
      <c r="AO118" s="11">
        <v>37944</v>
      </c>
      <c r="AP118" s="12">
        <f t="shared" ca="1" si="13"/>
        <v>2003</v>
      </c>
      <c r="AQ118" s="12">
        <f t="shared" ca="1" si="14"/>
        <v>11</v>
      </c>
      <c r="AR118" s="12">
        <f t="shared" ca="1" si="15"/>
        <v>19</v>
      </c>
      <c r="AS118" s="8" t="s">
        <v>661</v>
      </c>
      <c r="AT118" s="8"/>
      <c r="AU118" s="11">
        <v>42116</v>
      </c>
      <c r="AV118" s="12">
        <f t="shared" ca="1" si="16"/>
        <v>2015</v>
      </c>
      <c r="AW118" s="12">
        <f t="shared" ca="1" si="17"/>
        <v>4</v>
      </c>
      <c r="AX118" s="12">
        <f t="shared" ca="1" si="18"/>
        <v>22</v>
      </c>
      <c r="AY118" s="8" t="s">
        <v>662</v>
      </c>
      <c r="AZ118" s="8"/>
      <c r="BA118" s="6"/>
      <c r="BB118" s="12" t="str">
        <f t="shared" ca="1" si="19"/>
        <v>NA</v>
      </c>
      <c r="BC118" s="12" t="str">
        <f t="shared" ca="1" si="20"/>
        <v>NA</v>
      </c>
      <c r="BD118" s="12" t="str">
        <f t="shared" ca="1" si="21"/>
        <v>NA</v>
      </c>
      <c r="BE118" s="5"/>
      <c r="BF118" s="5"/>
      <c r="BG118" s="5"/>
      <c r="BH118" s="12" t="str">
        <f t="shared" ca="1" si="22"/>
        <v>NA</v>
      </c>
      <c r="BI118" s="12" t="str">
        <f t="shared" ca="1" si="23"/>
        <v>NA</v>
      </c>
      <c r="BJ118" s="12" t="str">
        <f t="shared" ca="1" si="24"/>
        <v>NA</v>
      </c>
      <c r="BK118" s="5"/>
      <c r="BL118" s="5"/>
      <c r="BM118" s="12" t="str">
        <f t="shared" ca="1" si="25"/>
        <v>NA</v>
      </c>
      <c r="BN118" s="12" t="str">
        <f t="shared" ca="1" si="26"/>
        <v>NA</v>
      </c>
      <c r="BO118" s="12" t="str">
        <f t="shared" ca="1" si="27"/>
        <v>NA</v>
      </c>
      <c r="BP118" s="5"/>
      <c r="BQ118" s="5"/>
      <c r="BR118" s="5"/>
      <c r="BS118" s="12" t="str">
        <f t="shared" ca="1" si="28"/>
        <v>NA</v>
      </c>
      <c r="BT118" s="12" t="str">
        <f t="shared" ca="1" si="29"/>
        <v>NA</v>
      </c>
      <c r="BU118" s="12" t="str">
        <f t="shared" ca="1" si="30"/>
        <v>NA</v>
      </c>
      <c r="BV118" s="5"/>
      <c r="BW118" s="5"/>
      <c r="BX118" s="12" t="str">
        <f t="shared" ca="1" si="31"/>
        <v>NA</v>
      </c>
      <c r="BY118" s="12" t="str">
        <f t="shared" ca="1" si="32"/>
        <v>NA</v>
      </c>
      <c r="BZ118" s="12" t="str">
        <f t="shared" ca="1" si="33"/>
        <v>NA</v>
      </c>
      <c r="CA118" s="5"/>
    </row>
    <row r="119" spans="1:79" ht="12.75" customHeight="1" x14ac:dyDescent="0.15">
      <c r="A119" s="4">
        <v>2412</v>
      </c>
      <c r="B119" s="5" t="s">
        <v>79</v>
      </c>
      <c r="C119" s="5" t="s">
        <v>79</v>
      </c>
      <c r="D119" s="6" t="s">
        <v>663</v>
      </c>
      <c r="E119" s="7">
        <v>20926</v>
      </c>
      <c r="F119" s="6" t="s">
        <v>664</v>
      </c>
      <c r="G119" s="8"/>
      <c r="H119" s="8"/>
      <c r="I119" s="8"/>
      <c r="J119" s="8"/>
      <c r="K119" s="8"/>
      <c r="L119" s="8" t="s">
        <v>82</v>
      </c>
      <c r="M119" s="7">
        <v>2208</v>
      </c>
      <c r="N119" s="7">
        <v>1126</v>
      </c>
      <c r="O119" s="13">
        <v>37410</v>
      </c>
      <c r="P119" s="10">
        <f t="shared" ca="1" si="0"/>
        <v>2.6527777777777777</v>
      </c>
      <c r="Q119" s="5">
        <f t="shared" ca="1" si="1"/>
        <v>31</v>
      </c>
      <c r="R119" s="5">
        <f t="shared" ca="1" si="2"/>
        <v>970</v>
      </c>
      <c r="S119" s="7">
        <f t="shared" ca="1" si="3"/>
        <v>2002</v>
      </c>
      <c r="T119" s="7">
        <f t="shared" ca="1" si="4"/>
        <v>6</v>
      </c>
      <c r="U119" s="7">
        <f t="shared" ca="1" si="5"/>
        <v>3</v>
      </c>
      <c r="V119" s="6" t="s">
        <v>665</v>
      </c>
      <c r="W119" s="14" t="s">
        <v>96</v>
      </c>
      <c r="X119" s="15"/>
      <c r="Y119" s="5">
        <f t="shared" ca="1" si="6"/>
        <v>1</v>
      </c>
      <c r="Z119" s="6"/>
      <c r="AA119" s="12" t="str">
        <f t="shared" ca="1" si="7"/>
        <v>NA</v>
      </c>
      <c r="AB119" s="12" t="str">
        <f t="shared" ca="1" si="8"/>
        <v>NA</v>
      </c>
      <c r="AC119" s="12" t="str">
        <f t="shared" ca="1" si="9"/>
        <v>NA</v>
      </c>
      <c r="AD119" s="6"/>
      <c r="AE119" s="5"/>
      <c r="AF119" s="6"/>
      <c r="AG119" s="11">
        <v>38380</v>
      </c>
      <c r="AH119" s="12">
        <f t="shared" ca="1" si="10"/>
        <v>2005</v>
      </c>
      <c r="AI119" s="12">
        <f t="shared" ca="1" si="11"/>
        <v>1</v>
      </c>
      <c r="AJ119" s="12">
        <f t="shared" ca="1" si="12"/>
        <v>28</v>
      </c>
      <c r="AK119" s="8" t="s">
        <v>666</v>
      </c>
      <c r="AL119" s="8"/>
      <c r="AM119" s="5"/>
      <c r="AN119" s="5"/>
      <c r="AO119" s="11">
        <v>37865</v>
      </c>
      <c r="AP119" s="12">
        <f t="shared" ca="1" si="13"/>
        <v>2003</v>
      </c>
      <c r="AQ119" s="12">
        <f t="shared" ca="1" si="14"/>
        <v>9</v>
      </c>
      <c r="AR119" s="12">
        <f t="shared" ca="1" si="15"/>
        <v>1</v>
      </c>
      <c r="AS119" s="8" t="s">
        <v>667</v>
      </c>
      <c r="AT119" s="8"/>
      <c r="AU119" s="5"/>
      <c r="AV119" s="12" t="str">
        <f t="shared" ca="1" si="16"/>
        <v>NA</v>
      </c>
      <c r="AW119" s="12" t="str">
        <f t="shared" ca="1" si="17"/>
        <v>NA</v>
      </c>
      <c r="AX119" s="12" t="str">
        <f t="shared" ca="1" si="18"/>
        <v>NA</v>
      </c>
      <c r="AY119" s="5"/>
      <c r="AZ119" s="5"/>
      <c r="BA119" s="6"/>
      <c r="BB119" s="12" t="str">
        <f t="shared" ca="1" si="19"/>
        <v>NA</v>
      </c>
      <c r="BC119" s="12" t="str">
        <f t="shared" ca="1" si="20"/>
        <v>NA</v>
      </c>
      <c r="BD119" s="12" t="str">
        <f t="shared" ca="1" si="21"/>
        <v>NA</v>
      </c>
      <c r="BE119" s="5"/>
      <c r="BF119" s="5"/>
      <c r="BG119" s="5"/>
      <c r="BH119" s="12" t="str">
        <f t="shared" ca="1" si="22"/>
        <v>NA</v>
      </c>
      <c r="BI119" s="12" t="str">
        <f t="shared" ca="1" si="23"/>
        <v>NA</v>
      </c>
      <c r="BJ119" s="12" t="str">
        <f t="shared" ca="1" si="24"/>
        <v>NA</v>
      </c>
      <c r="BK119" s="5"/>
      <c r="BL119" s="5"/>
      <c r="BM119" s="12" t="str">
        <f t="shared" ca="1" si="25"/>
        <v>NA</v>
      </c>
      <c r="BN119" s="12" t="str">
        <f t="shared" ca="1" si="26"/>
        <v>NA</v>
      </c>
      <c r="BO119" s="12" t="str">
        <f t="shared" ca="1" si="27"/>
        <v>NA</v>
      </c>
      <c r="BP119" s="5"/>
      <c r="BQ119" s="5"/>
      <c r="BR119" s="5"/>
      <c r="BS119" s="12" t="str">
        <f t="shared" ca="1" si="28"/>
        <v>NA</v>
      </c>
      <c r="BT119" s="12" t="str">
        <f t="shared" ca="1" si="29"/>
        <v>NA</v>
      </c>
      <c r="BU119" s="12" t="str">
        <f t="shared" ca="1" si="30"/>
        <v>NA</v>
      </c>
      <c r="BV119" s="5"/>
      <c r="BW119" s="5"/>
      <c r="BX119" s="12" t="str">
        <f t="shared" ca="1" si="31"/>
        <v>NA</v>
      </c>
      <c r="BY119" s="12" t="str">
        <f t="shared" ca="1" si="32"/>
        <v>NA</v>
      </c>
      <c r="BZ119" s="12" t="str">
        <f t="shared" ca="1" si="33"/>
        <v>NA</v>
      </c>
      <c r="CA119" s="5"/>
    </row>
    <row r="120" spans="1:79" ht="12.75" customHeight="1" x14ac:dyDescent="0.15">
      <c r="A120" s="4">
        <v>2413</v>
      </c>
      <c r="B120" s="5" t="s">
        <v>79</v>
      </c>
      <c r="C120" s="5" t="s">
        <v>79</v>
      </c>
      <c r="D120" s="6" t="s">
        <v>668</v>
      </c>
      <c r="E120" s="6" t="s">
        <v>669</v>
      </c>
      <c r="F120" s="6" t="s">
        <v>670</v>
      </c>
      <c r="G120" s="8"/>
      <c r="H120" s="8"/>
      <c r="I120" s="8"/>
      <c r="J120" s="8"/>
      <c r="K120" s="8"/>
      <c r="L120" s="8" t="s">
        <v>82</v>
      </c>
      <c r="M120" s="7">
        <v>2208</v>
      </c>
      <c r="N120" s="7">
        <v>1126</v>
      </c>
      <c r="O120" s="13">
        <v>37410</v>
      </c>
      <c r="P120" s="10">
        <f t="shared" ca="1" si="0"/>
        <v>5.1611111111111114</v>
      </c>
      <c r="Q120" s="5">
        <f t="shared" ca="1" si="1"/>
        <v>61</v>
      </c>
      <c r="R120" s="5">
        <f t="shared" ca="1" si="2"/>
        <v>1885</v>
      </c>
      <c r="S120" s="7">
        <f t="shared" ca="1" si="3"/>
        <v>2002</v>
      </c>
      <c r="T120" s="7">
        <f t="shared" ca="1" si="4"/>
        <v>6</v>
      </c>
      <c r="U120" s="7">
        <f t="shared" ca="1" si="5"/>
        <v>3</v>
      </c>
      <c r="V120" s="6" t="s">
        <v>671</v>
      </c>
      <c r="W120" s="14" t="s">
        <v>96</v>
      </c>
      <c r="X120" s="15"/>
      <c r="Y120" s="5">
        <f t="shared" ca="1" si="6"/>
        <v>1</v>
      </c>
      <c r="Z120" s="6"/>
      <c r="AA120" s="12" t="str">
        <f t="shared" ca="1" si="7"/>
        <v>NA</v>
      </c>
      <c r="AB120" s="12" t="str">
        <f t="shared" ca="1" si="8"/>
        <v>NA</v>
      </c>
      <c r="AC120" s="12" t="str">
        <f t="shared" ca="1" si="9"/>
        <v>NA</v>
      </c>
      <c r="AD120" s="6"/>
      <c r="AE120" s="5"/>
      <c r="AF120" s="6"/>
      <c r="AG120" s="11">
        <v>39295</v>
      </c>
      <c r="AH120" s="12">
        <f t="shared" ca="1" si="10"/>
        <v>2007</v>
      </c>
      <c r="AI120" s="12">
        <f t="shared" ca="1" si="11"/>
        <v>8</v>
      </c>
      <c r="AJ120" s="12">
        <f t="shared" ca="1" si="12"/>
        <v>1</v>
      </c>
      <c r="AK120" s="8" t="s">
        <v>672</v>
      </c>
      <c r="AL120" s="8"/>
      <c r="AM120" s="5"/>
      <c r="AN120" s="5"/>
      <c r="AO120" s="11">
        <v>37917</v>
      </c>
      <c r="AP120" s="12">
        <f t="shared" ca="1" si="13"/>
        <v>2003</v>
      </c>
      <c r="AQ120" s="12">
        <f t="shared" ca="1" si="14"/>
        <v>10</v>
      </c>
      <c r="AR120" s="12">
        <f t="shared" ca="1" si="15"/>
        <v>23</v>
      </c>
      <c r="AS120" s="8" t="s">
        <v>673</v>
      </c>
      <c r="AT120" s="8"/>
      <c r="AU120" s="5"/>
      <c r="AV120" s="12" t="str">
        <f t="shared" ca="1" si="16"/>
        <v>NA</v>
      </c>
      <c r="AW120" s="12" t="str">
        <f t="shared" ca="1" si="17"/>
        <v>NA</v>
      </c>
      <c r="AX120" s="12" t="str">
        <f t="shared" ca="1" si="18"/>
        <v>NA</v>
      </c>
      <c r="AY120" s="5"/>
      <c r="AZ120" s="5"/>
      <c r="BA120" s="6"/>
      <c r="BB120" s="12" t="str">
        <f t="shared" ca="1" si="19"/>
        <v>NA</v>
      </c>
      <c r="BC120" s="12" t="str">
        <f t="shared" ca="1" si="20"/>
        <v>NA</v>
      </c>
      <c r="BD120" s="12" t="str">
        <f t="shared" ca="1" si="21"/>
        <v>NA</v>
      </c>
      <c r="BE120" s="5"/>
      <c r="BF120" s="5"/>
      <c r="BG120" s="5"/>
      <c r="BH120" s="12" t="str">
        <f t="shared" ca="1" si="22"/>
        <v>NA</v>
      </c>
      <c r="BI120" s="12" t="str">
        <f t="shared" ca="1" si="23"/>
        <v>NA</v>
      </c>
      <c r="BJ120" s="12" t="str">
        <f t="shared" ca="1" si="24"/>
        <v>NA</v>
      </c>
      <c r="BK120" s="5"/>
      <c r="BL120" s="5"/>
      <c r="BM120" s="12" t="str">
        <f t="shared" ca="1" si="25"/>
        <v>NA</v>
      </c>
      <c r="BN120" s="12" t="str">
        <f t="shared" ca="1" si="26"/>
        <v>NA</v>
      </c>
      <c r="BO120" s="12" t="str">
        <f t="shared" ca="1" si="27"/>
        <v>NA</v>
      </c>
      <c r="BP120" s="5"/>
      <c r="BQ120" s="5"/>
      <c r="BR120" s="5"/>
      <c r="BS120" s="12" t="str">
        <f t="shared" ca="1" si="28"/>
        <v>NA</v>
      </c>
      <c r="BT120" s="12" t="str">
        <f t="shared" ca="1" si="29"/>
        <v>NA</v>
      </c>
      <c r="BU120" s="12" t="str">
        <f t="shared" ca="1" si="30"/>
        <v>NA</v>
      </c>
      <c r="BV120" s="5"/>
      <c r="BW120" s="5"/>
      <c r="BX120" s="12" t="str">
        <f t="shared" ca="1" si="31"/>
        <v>NA</v>
      </c>
      <c r="BY120" s="12" t="str">
        <f t="shared" ca="1" si="32"/>
        <v>NA</v>
      </c>
      <c r="BZ120" s="12" t="str">
        <f t="shared" ca="1" si="33"/>
        <v>NA</v>
      </c>
      <c r="CA120" s="5"/>
    </row>
    <row r="121" spans="1:79" ht="12.75" customHeight="1" x14ac:dyDescent="0.15">
      <c r="A121" s="4">
        <v>2414</v>
      </c>
      <c r="B121" s="5" t="s">
        <v>79</v>
      </c>
      <c r="C121" s="5" t="s">
        <v>79</v>
      </c>
      <c r="D121" s="6" t="s">
        <v>674</v>
      </c>
      <c r="E121" s="7">
        <v>131103</v>
      </c>
      <c r="F121" s="6" t="s">
        <v>675</v>
      </c>
      <c r="G121" s="8"/>
      <c r="H121" s="8"/>
      <c r="I121" s="8"/>
      <c r="J121" s="8"/>
      <c r="K121" s="8"/>
      <c r="L121" s="8" t="s">
        <v>82</v>
      </c>
      <c r="M121" s="7">
        <v>1102</v>
      </c>
      <c r="N121" s="7">
        <v>1127</v>
      </c>
      <c r="O121" s="13">
        <v>37565</v>
      </c>
      <c r="P121" s="10">
        <f t="shared" ca="1" si="0"/>
        <v>17.469444444444445</v>
      </c>
      <c r="Q121" s="5">
        <f t="shared" ca="1" si="1"/>
        <v>209</v>
      </c>
      <c r="R121" s="5">
        <f t="shared" ca="1" si="2"/>
        <v>6380</v>
      </c>
      <c r="S121" s="7">
        <f t="shared" ca="1" si="3"/>
        <v>2002</v>
      </c>
      <c r="T121" s="7">
        <f t="shared" ca="1" si="4"/>
        <v>11</v>
      </c>
      <c r="U121" s="7">
        <f t="shared" ca="1" si="5"/>
        <v>5</v>
      </c>
      <c r="V121" s="6" t="s">
        <v>676</v>
      </c>
      <c r="W121" s="14" t="s">
        <v>96</v>
      </c>
      <c r="X121" s="15"/>
      <c r="Y121" s="5">
        <f t="shared" ca="1" si="6"/>
        <v>2</v>
      </c>
      <c r="Z121" s="6"/>
      <c r="AA121" s="12" t="str">
        <f t="shared" ca="1" si="7"/>
        <v>NA</v>
      </c>
      <c r="AB121" s="12" t="str">
        <f t="shared" ca="1" si="8"/>
        <v>NA</v>
      </c>
      <c r="AC121" s="12" t="str">
        <f t="shared" ca="1" si="9"/>
        <v>NA</v>
      </c>
      <c r="AD121" s="6"/>
      <c r="AE121" s="5"/>
      <c r="AF121" s="6"/>
      <c r="AG121" s="11">
        <v>43945</v>
      </c>
      <c r="AH121" s="12">
        <f t="shared" ca="1" si="10"/>
        <v>2020</v>
      </c>
      <c r="AI121" s="12">
        <f t="shared" ca="1" si="11"/>
        <v>4</v>
      </c>
      <c r="AJ121" s="12">
        <f t="shared" ca="1" si="12"/>
        <v>24</v>
      </c>
      <c r="AK121" s="8" t="s">
        <v>677</v>
      </c>
      <c r="AL121" s="8"/>
      <c r="AM121" s="5"/>
      <c r="AN121" s="5"/>
      <c r="AO121" s="11">
        <v>37937</v>
      </c>
      <c r="AP121" s="12">
        <f t="shared" ca="1" si="13"/>
        <v>2003</v>
      </c>
      <c r="AQ121" s="12">
        <f t="shared" ca="1" si="14"/>
        <v>11</v>
      </c>
      <c r="AR121" s="12">
        <f t="shared" ca="1" si="15"/>
        <v>12</v>
      </c>
      <c r="AS121" s="8" t="s">
        <v>678</v>
      </c>
      <c r="AT121" s="8"/>
      <c r="AU121" s="11">
        <v>41585</v>
      </c>
      <c r="AV121" s="12">
        <f t="shared" ca="1" si="16"/>
        <v>2013</v>
      </c>
      <c r="AW121" s="12">
        <f t="shared" ca="1" si="17"/>
        <v>11</v>
      </c>
      <c r="AX121" s="12">
        <f t="shared" ca="1" si="18"/>
        <v>7</v>
      </c>
      <c r="AY121" s="8" t="s">
        <v>679</v>
      </c>
      <c r="AZ121" s="8"/>
      <c r="BA121" s="6"/>
      <c r="BB121" s="12" t="str">
        <f t="shared" ca="1" si="19"/>
        <v>NA</v>
      </c>
      <c r="BC121" s="12" t="str">
        <f t="shared" ca="1" si="20"/>
        <v>NA</v>
      </c>
      <c r="BD121" s="12" t="str">
        <f t="shared" ca="1" si="21"/>
        <v>NA</v>
      </c>
      <c r="BE121" s="5"/>
      <c r="BF121" s="5"/>
      <c r="BG121" s="5"/>
      <c r="BH121" s="12" t="str">
        <f t="shared" ca="1" si="22"/>
        <v>NA</v>
      </c>
      <c r="BI121" s="12" t="str">
        <f t="shared" ca="1" si="23"/>
        <v>NA</v>
      </c>
      <c r="BJ121" s="12" t="str">
        <f t="shared" ca="1" si="24"/>
        <v>NA</v>
      </c>
      <c r="BK121" s="5"/>
      <c r="BL121" s="5"/>
      <c r="BM121" s="12" t="str">
        <f t="shared" ca="1" si="25"/>
        <v>NA</v>
      </c>
      <c r="BN121" s="12" t="str">
        <f t="shared" ca="1" si="26"/>
        <v>NA</v>
      </c>
      <c r="BO121" s="12" t="str">
        <f t="shared" ca="1" si="27"/>
        <v>NA</v>
      </c>
      <c r="BP121" s="5"/>
      <c r="BQ121" s="5"/>
      <c r="BR121" s="5"/>
      <c r="BS121" s="12" t="str">
        <f t="shared" ca="1" si="28"/>
        <v>NA</v>
      </c>
      <c r="BT121" s="12" t="str">
        <f t="shared" ca="1" si="29"/>
        <v>NA</v>
      </c>
      <c r="BU121" s="12" t="str">
        <f t="shared" ca="1" si="30"/>
        <v>NA</v>
      </c>
      <c r="BV121" s="5"/>
      <c r="BW121" s="5"/>
      <c r="BX121" s="12" t="str">
        <f t="shared" ca="1" si="31"/>
        <v>NA</v>
      </c>
      <c r="BY121" s="12" t="str">
        <f t="shared" ca="1" si="32"/>
        <v>NA</v>
      </c>
      <c r="BZ121" s="12" t="str">
        <f t="shared" ca="1" si="33"/>
        <v>NA</v>
      </c>
      <c r="CA121" s="5"/>
    </row>
    <row r="122" spans="1:79" ht="12.75" customHeight="1" x14ac:dyDescent="0.15">
      <c r="A122" s="4">
        <v>2415</v>
      </c>
      <c r="B122" s="5" t="s">
        <v>79</v>
      </c>
      <c r="C122" s="5" t="s">
        <v>79</v>
      </c>
      <c r="D122" s="6" t="s">
        <v>680</v>
      </c>
      <c r="E122" s="7">
        <v>22894</v>
      </c>
      <c r="F122" s="6" t="s">
        <v>681</v>
      </c>
      <c r="G122" s="8"/>
      <c r="H122" s="8"/>
      <c r="I122" s="8"/>
      <c r="J122" s="8"/>
      <c r="K122" s="8"/>
      <c r="L122" s="8" t="s">
        <v>82</v>
      </c>
      <c r="M122" s="7">
        <v>1102</v>
      </c>
      <c r="N122" s="7">
        <v>1127</v>
      </c>
      <c r="O122" s="13">
        <v>37565</v>
      </c>
      <c r="P122" s="10">
        <f t="shared" ca="1" si="0"/>
        <v>7.5194444444444448</v>
      </c>
      <c r="Q122" s="5">
        <f t="shared" ca="1" si="1"/>
        <v>90</v>
      </c>
      <c r="R122" s="5">
        <f t="shared" ca="1" si="2"/>
        <v>2745</v>
      </c>
      <c r="S122" s="7">
        <f t="shared" ca="1" si="3"/>
        <v>2002</v>
      </c>
      <c r="T122" s="7">
        <f t="shared" ca="1" si="4"/>
        <v>11</v>
      </c>
      <c r="U122" s="7">
        <f t="shared" ca="1" si="5"/>
        <v>5</v>
      </c>
      <c r="V122" s="6" t="s">
        <v>682</v>
      </c>
      <c r="W122" s="14" t="s">
        <v>96</v>
      </c>
      <c r="X122" s="15"/>
      <c r="Y122" s="5">
        <f t="shared" ca="1" si="6"/>
        <v>1</v>
      </c>
      <c r="Z122" s="6"/>
      <c r="AA122" s="12" t="str">
        <f t="shared" ca="1" si="7"/>
        <v>NA</v>
      </c>
      <c r="AB122" s="12" t="str">
        <f t="shared" ca="1" si="8"/>
        <v>NA</v>
      </c>
      <c r="AC122" s="12" t="str">
        <f t="shared" ca="1" si="9"/>
        <v>NA</v>
      </c>
      <c r="AD122" s="6"/>
      <c r="AE122" s="5"/>
      <c r="AF122" s="6"/>
      <c r="AG122" s="11">
        <v>40310</v>
      </c>
      <c r="AH122" s="12">
        <f t="shared" ca="1" si="10"/>
        <v>2010</v>
      </c>
      <c r="AI122" s="12">
        <f t="shared" ca="1" si="11"/>
        <v>5</v>
      </c>
      <c r="AJ122" s="12">
        <f t="shared" ca="1" si="12"/>
        <v>12</v>
      </c>
      <c r="AK122" s="8" t="s">
        <v>683</v>
      </c>
      <c r="AL122" s="8"/>
      <c r="AM122" s="5"/>
      <c r="AN122" s="5"/>
      <c r="AO122" s="11">
        <v>40129</v>
      </c>
      <c r="AP122" s="12">
        <f t="shared" ca="1" si="13"/>
        <v>2009</v>
      </c>
      <c r="AQ122" s="12">
        <f t="shared" ca="1" si="14"/>
        <v>11</v>
      </c>
      <c r="AR122" s="12">
        <f t="shared" ca="1" si="15"/>
        <v>12</v>
      </c>
      <c r="AS122" s="8" t="s">
        <v>684</v>
      </c>
      <c r="AT122" s="8"/>
      <c r="AU122" s="5"/>
      <c r="AV122" s="12" t="str">
        <f t="shared" ca="1" si="16"/>
        <v>NA</v>
      </c>
      <c r="AW122" s="12" t="str">
        <f t="shared" ca="1" si="17"/>
        <v>NA</v>
      </c>
      <c r="AX122" s="12" t="str">
        <f t="shared" ca="1" si="18"/>
        <v>NA</v>
      </c>
      <c r="AY122" s="5"/>
      <c r="AZ122" s="5"/>
      <c r="BA122" s="6"/>
      <c r="BB122" s="12" t="str">
        <f t="shared" ca="1" si="19"/>
        <v>NA</v>
      </c>
      <c r="BC122" s="12" t="str">
        <f t="shared" ca="1" si="20"/>
        <v>NA</v>
      </c>
      <c r="BD122" s="12" t="str">
        <f t="shared" ca="1" si="21"/>
        <v>NA</v>
      </c>
      <c r="BE122" s="5"/>
      <c r="BF122" s="5"/>
      <c r="BG122" s="5"/>
      <c r="BH122" s="12" t="str">
        <f t="shared" ca="1" si="22"/>
        <v>NA</v>
      </c>
      <c r="BI122" s="12" t="str">
        <f t="shared" ca="1" si="23"/>
        <v>NA</v>
      </c>
      <c r="BJ122" s="12" t="str">
        <f t="shared" ca="1" si="24"/>
        <v>NA</v>
      </c>
      <c r="BK122" s="5"/>
      <c r="BL122" s="5"/>
      <c r="BM122" s="12" t="str">
        <f t="shared" ca="1" si="25"/>
        <v>NA</v>
      </c>
      <c r="BN122" s="12" t="str">
        <f t="shared" ca="1" si="26"/>
        <v>NA</v>
      </c>
      <c r="BO122" s="12" t="str">
        <f t="shared" ca="1" si="27"/>
        <v>NA</v>
      </c>
      <c r="BP122" s="5"/>
      <c r="BQ122" s="5"/>
      <c r="BR122" s="5"/>
      <c r="BS122" s="12" t="str">
        <f t="shared" ca="1" si="28"/>
        <v>NA</v>
      </c>
      <c r="BT122" s="12" t="str">
        <f t="shared" ca="1" si="29"/>
        <v>NA</v>
      </c>
      <c r="BU122" s="12" t="str">
        <f t="shared" ca="1" si="30"/>
        <v>NA</v>
      </c>
      <c r="BV122" s="5"/>
      <c r="BW122" s="5"/>
      <c r="BX122" s="12" t="str">
        <f t="shared" ca="1" si="31"/>
        <v>NA</v>
      </c>
      <c r="BY122" s="12" t="str">
        <f t="shared" ca="1" si="32"/>
        <v>NA</v>
      </c>
      <c r="BZ122" s="12" t="str">
        <f t="shared" ca="1" si="33"/>
        <v>NA</v>
      </c>
      <c r="CA122" s="5"/>
    </row>
    <row r="123" spans="1:79" ht="12.75" customHeight="1" x14ac:dyDescent="0.15">
      <c r="A123" s="4">
        <v>2416</v>
      </c>
      <c r="B123" s="5" t="s">
        <v>79</v>
      </c>
      <c r="C123" s="5" t="s">
        <v>79</v>
      </c>
      <c r="D123" s="6" t="s">
        <v>685</v>
      </c>
      <c r="E123" s="7">
        <v>22361</v>
      </c>
      <c r="F123" s="6" t="s">
        <v>686</v>
      </c>
      <c r="G123" s="8"/>
      <c r="H123" s="8"/>
      <c r="I123" s="8"/>
      <c r="J123" s="8"/>
      <c r="K123" s="8"/>
      <c r="L123" s="8" t="s">
        <v>82</v>
      </c>
      <c r="M123" s="7">
        <v>2338</v>
      </c>
      <c r="N123" s="7">
        <v>2340</v>
      </c>
      <c r="O123" s="13">
        <v>37610</v>
      </c>
      <c r="P123" s="10">
        <f t="shared" ca="1" si="0"/>
        <v>15.419444444444444</v>
      </c>
      <c r="Q123" s="5">
        <f t="shared" ca="1" si="1"/>
        <v>185</v>
      </c>
      <c r="R123" s="5">
        <f t="shared" ca="1" si="2"/>
        <v>5631</v>
      </c>
      <c r="S123" s="7">
        <f t="shared" ca="1" si="3"/>
        <v>2002</v>
      </c>
      <c r="T123" s="7">
        <f t="shared" ca="1" si="4"/>
        <v>12</v>
      </c>
      <c r="U123" s="7">
        <f t="shared" ca="1" si="5"/>
        <v>20</v>
      </c>
      <c r="V123" s="6" t="s">
        <v>687</v>
      </c>
      <c r="W123" s="14" t="s">
        <v>96</v>
      </c>
      <c r="X123" s="15"/>
      <c r="Y123" s="5">
        <f t="shared" ca="1" si="6"/>
        <v>1</v>
      </c>
      <c r="Z123" s="6"/>
      <c r="AA123" s="12" t="str">
        <f t="shared" ca="1" si="7"/>
        <v>NA</v>
      </c>
      <c r="AB123" s="12" t="str">
        <f t="shared" ca="1" si="8"/>
        <v>NA</v>
      </c>
      <c r="AC123" s="12" t="str">
        <f t="shared" ca="1" si="9"/>
        <v>NA</v>
      </c>
      <c r="AD123" s="6"/>
      <c r="AE123" s="5"/>
      <c r="AF123" s="6"/>
      <c r="AG123" s="11">
        <v>43241</v>
      </c>
      <c r="AH123" s="12">
        <f t="shared" ca="1" si="10"/>
        <v>2018</v>
      </c>
      <c r="AI123" s="12">
        <f t="shared" ca="1" si="11"/>
        <v>5</v>
      </c>
      <c r="AJ123" s="12">
        <f t="shared" ca="1" si="12"/>
        <v>21</v>
      </c>
      <c r="AK123" s="8" t="s">
        <v>688</v>
      </c>
      <c r="AL123" s="8"/>
      <c r="AM123" s="5"/>
      <c r="AN123" s="5"/>
      <c r="AO123" s="21" t="s">
        <v>689</v>
      </c>
      <c r="AP123" s="12" t="str">
        <f t="shared" ca="1" si="13"/>
        <v>NA</v>
      </c>
      <c r="AQ123" s="12" t="str">
        <f t="shared" ca="1" si="14"/>
        <v>NA</v>
      </c>
      <c r="AR123" s="12" t="str">
        <f t="shared" ca="1" si="15"/>
        <v>NA</v>
      </c>
      <c r="AS123" s="6" t="s">
        <v>690</v>
      </c>
      <c r="AT123" s="6"/>
      <c r="AU123" s="11">
        <v>39381</v>
      </c>
      <c r="AV123" s="12">
        <f t="shared" ca="1" si="16"/>
        <v>2007</v>
      </c>
      <c r="AW123" s="12">
        <f t="shared" ca="1" si="17"/>
        <v>10</v>
      </c>
      <c r="AX123" s="12">
        <f t="shared" ca="1" si="18"/>
        <v>26</v>
      </c>
      <c r="AY123" s="8" t="s">
        <v>691</v>
      </c>
      <c r="AZ123" s="8"/>
      <c r="BA123" s="6"/>
      <c r="BB123" s="12" t="str">
        <f t="shared" ca="1" si="19"/>
        <v>NA</v>
      </c>
      <c r="BC123" s="12" t="str">
        <f t="shared" ca="1" si="20"/>
        <v>NA</v>
      </c>
      <c r="BD123" s="12" t="str">
        <f t="shared" ca="1" si="21"/>
        <v>NA</v>
      </c>
      <c r="BE123" s="5"/>
      <c r="BF123" s="5"/>
      <c r="BG123" s="5"/>
      <c r="BH123" s="12" t="str">
        <f t="shared" ca="1" si="22"/>
        <v>NA</v>
      </c>
      <c r="BI123" s="12" t="str">
        <f t="shared" ca="1" si="23"/>
        <v>NA</v>
      </c>
      <c r="BJ123" s="12" t="str">
        <f t="shared" ca="1" si="24"/>
        <v>NA</v>
      </c>
      <c r="BK123" s="5"/>
      <c r="BL123" s="5"/>
      <c r="BM123" s="12" t="str">
        <f t="shared" ca="1" si="25"/>
        <v>NA</v>
      </c>
      <c r="BN123" s="12" t="str">
        <f t="shared" ca="1" si="26"/>
        <v>NA</v>
      </c>
      <c r="BO123" s="12" t="str">
        <f t="shared" ca="1" si="27"/>
        <v>NA</v>
      </c>
      <c r="BP123" s="5"/>
      <c r="BQ123" s="5"/>
      <c r="BR123" s="5"/>
      <c r="BS123" s="12" t="str">
        <f t="shared" ca="1" si="28"/>
        <v>NA</v>
      </c>
      <c r="BT123" s="12" t="str">
        <f t="shared" ca="1" si="29"/>
        <v>NA</v>
      </c>
      <c r="BU123" s="12" t="str">
        <f t="shared" ca="1" si="30"/>
        <v>NA</v>
      </c>
      <c r="BV123" s="5"/>
      <c r="BW123" s="5"/>
      <c r="BX123" s="12" t="str">
        <f t="shared" ca="1" si="31"/>
        <v>NA</v>
      </c>
      <c r="BY123" s="12" t="str">
        <f t="shared" ca="1" si="32"/>
        <v>NA</v>
      </c>
      <c r="BZ123" s="12" t="str">
        <f t="shared" ca="1" si="33"/>
        <v>NA</v>
      </c>
      <c r="CA123" s="5"/>
    </row>
    <row r="124" spans="1:79" ht="12.75" customHeight="1" x14ac:dyDescent="0.15">
      <c r="A124" s="4">
        <v>2417</v>
      </c>
      <c r="B124" s="5" t="s">
        <v>79</v>
      </c>
      <c r="C124" s="5" t="s">
        <v>79</v>
      </c>
      <c r="D124" s="6" t="s">
        <v>692</v>
      </c>
      <c r="E124" s="22">
        <v>7142</v>
      </c>
      <c r="F124" s="6" t="s">
        <v>693</v>
      </c>
      <c r="G124" s="8"/>
      <c r="H124" s="8"/>
      <c r="I124" s="8"/>
      <c r="J124" s="8"/>
      <c r="K124" s="8"/>
      <c r="L124" s="8" t="s">
        <v>82</v>
      </c>
      <c r="M124" s="7">
        <v>2338</v>
      </c>
      <c r="N124" s="7">
        <v>2340</v>
      </c>
      <c r="O124" s="13">
        <v>37610</v>
      </c>
      <c r="P124" s="10">
        <f t="shared" ca="1" si="0"/>
        <v>13.175000000000001</v>
      </c>
      <c r="Q124" s="5">
        <f t="shared" ca="1" si="1"/>
        <v>158</v>
      </c>
      <c r="R124" s="5">
        <f t="shared" ca="1" si="2"/>
        <v>4813</v>
      </c>
      <c r="S124" s="7">
        <f t="shared" ca="1" si="3"/>
        <v>2002</v>
      </c>
      <c r="T124" s="7">
        <f t="shared" ca="1" si="4"/>
        <v>12</v>
      </c>
      <c r="U124" s="7">
        <f t="shared" ca="1" si="5"/>
        <v>20</v>
      </c>
      <c r="V124" s="6" t="s">
        <v>694</v>
      </c>
      <c r="W124" s="14" t="s">
        <v>96</v>
      </c>
      <c r="X124" s="15"/>
      <c r="Y124" s="5">
        <f t="shared" ca="1" si="6"/>
        <v>2</v>
      </c>
      <c r="Z124" s="6"/>
      <c r="AA124" s="12" t="str">
        <f t="shared" ca="1" si="7"/>
        <v>NA</v>
      </c>
      <c r="AB124" s="12" t="str">
        <f t="shared" ca="1" si="8"/>
        <v>NA</v>
      </c>
      <c r="AC124" s="12" t="str">
        <f t="shared" ca="1" si="9"/>
        <v>NA</v>
      </c>
      <c r="AD124" s="6"/>
      <c r="AE124" s="5"/>
      <c r="AF124" s="6"/>
      <c r="AG124" s="11">
        <v>42423</v>
      </c>
      <c r="AH124" s="12">
        <f t="shared" ca="1" si="10"/>
        <v>2016</v>
      </c>
      <c r="AI124" s="12">
        <f t="shared" ca="1" si="11"/>
        <v>2</v>
      </c>
      <c r="AJ124" s="12">
        <f t="shared" ca="1" si="12"/>
        <v>23</v>
      </c>
      <c r="AK124" s="8" t="s">
        <v>695</v>
      </c>
      <c r="AL124" s="8"/>
      <c r="AM124" s="5"/>
      <c r="AN124" s="5"/>
      <c r="AO124" s="11">
        <v>39332</v>
      </c>
      <c r="AP124" s="12">
        <f t="shared" ca="1" si="13"/>
        <v>2007</v>
      </c>
      <c r="AQ124" s="12">
        <f t="shared" ca="1" si="14"/>
        <v>9</v>
      </c>
      <c r="AR124" s="12">
        <f t="shared" ca="1" si="15"/>
        <v>7</v>
      </c>
      <c r="AS124" s="8" t="s">
        <v>696</v>
      </c>
      <c r="AT124" s="8"/>
      <c r="AU124" s="11">
        <v>39371</v>
      </c>
      <c r="AV124" s="12">
        <f t="shared" ca="1" si="16"/>
        <v>2007</v>
      </c>
      <c r="AW124" s="12">
        <f t="shared" ca="1" si="17"/>
        <v>10</v>
      </c>
      <c r="AX124" s="12">
        <f t="shared" ca="1" si="18"/>
        <v>16</v>
      </c>
      <c r="AY124" s="8" t="s">
        <v>697</v>
      </c>
      <c r="AZ124" s="8"/>
      <c r="BA124" s="6"/>
      <c r="BB124" s="12" t="str">
        <f t="shared" ca="1" si="19"/>
        <v>NA</v>
      </c>
      <c r="BC124" s="12" t="str">
        <f t="shared" ca="1" si="20"/>
        <v>NA</v>
      </c>
      <c r="BD124" s="12" t="str">
        <f t="shared" ca="1" si="21"/>
        <v>NA</v>
      </c>
      <c r="BE124" s="5"/>
      <c r="BF124" s="5"/>
      <c r="BG124" s="5"/>
      <c r="BH124" s="12" t="str">
        <f t="shared" ca="1" si="22"/>
        <v>NA</v>
      </c>
      <c r="BI124" s="12" t="str">
        <f t="shared" ca="1" si="23"/>
        <v>NA</v>
      </c>
      <c r="BJ124" s="12" t="str">
        <f t="shared" ca="1" si="24"/>
        <v>NA</v>
      </c>
      <c r="BK124" s="5"/>
      <c r="BL124" s="5"/>
      <c r="BM124" s="12" t="str">
        <f t="shared" ca="1" si="25"/>
        <v>NA</v>
      </c>
      <c r="BN124" s="12" t="str">
        <f t="shared" ca="1" si="26"/>
        <v>NA</v>
      </c>
      <c r="BO124" s="12" t="str">
        <f t="shared" ca="1" si="27"/>
        <v>NA</v>
      </c>
      <c r="BP124" s="5"/>
      <c r="BQ124" s="5"/>
      <c r="BR124" s="5"/>
      <c r="BS124" s="12" t="str">
        <f t="shared" ca="1" si="28"/>
        <v>NA</v>
      </c>
      <c r="BT124" s="12" t="str">
        <f t="shared" ca="1" si="29"/>
        <v>NA</v>
      </c>
      <c r="BU124" s="12" t="str">
        <f t="shared" ca="1" si="30"/>
        <v>NA</v>
      </c>
      <c r="BV124" s="5"/>
      <c r="BW124" s="5"/>
      <c r="BX124" s="12" t="str">
        <f t="shared" ca="1" si="31"/>
        <v>NA</v>
      </c>
      <c r="BY124" s="12" t="str">
        <f t="shared" ca="1" si="32"/>
        <v>NA</v>
      </c>
      <c r="BZ124" s="12" t="str">
        <f t="shared" ca="1" si="33"/>
        <v>NA</v>
      </c>
      <c r="CA124" s="5"/>
    </row>
    <row r="125" spans="1:79" ht="12.75" customHeight="1" x14ac:dyDescent="0.15">
      <c r="A125" s="4">
        <v>2418</v>
      </c>
      <c r="B125" s="5" t="s">
        <v>79</v>
      </c>
      <c r="C125" s="5" t="s">
        <v>79</v>
      </c>
      <c r="D125" s="6" t="s">
        <v>698</v>
      </c>
      <c r="E125" s="7">
        <v>100846</v>
      </c>
      <c r="F125" s="6" t="s">
        <v>699</v>
      </c>
      <c r="G125" s="8"/>
      <c r="H125" s="8"/>
      <c r="I125" s="8"/>
      <c r="J125" s="8"/>
      <c r="K125" s="8"/>
      <c r="L125" s="8" t="s">
        <v>82</v>
      </c>
      <c r="M125" s="7">
        <v>1125</v>
      </c>
      <c r="N125" s="7">
        <v>1124</v>
      </c>
      <c r="O125" s="13">
        <v>37661</v>
      </c>
      <c r="P125" s="10">
        <f t="shared" ca="1" si="0"/>
        <v>12.977777777777778</v>
      </c>
      <c r="Q125" s="5">
        <f t="shared" ca="1" si="1"/>
        <v>155</v>
      </c>
      <c r="R125" s="5">
        <f t="shared" ca="1" si="2"/>
        <v>4739</v>
      </c>
      <c r="S125" s="7">
        <f t="shared" ca="1" si="3"/>
        <v>2003</v>
      </c>
      <c r="T125" s="7">
        <f t="shared" ca="1" si="4"/>
        <v>2</v>
      </c>
      <c r="U125" s="7">
        <f t="shared" ca="1" si="5"/>
        <v>9</v>
      </c>
      <c r="V125" s="6" t="s">
        <v>700</v>
      </c>
      <c r="W125" s="14" t="s">
        <v>96</v>
      </c>
      <c r="X125" s="15"/>
      <c r="Y125" s="5">
        <f t="shared" ca="1" si="6"/>
        <v>2</v>
      </c>
      <c r="Z125" s="6"/>
      <c r="AA125" s="12" t="str">
        <f t="shared" ca="1" si="7"/>
        <v>NA</v>
      </c>
      <c r="AB125" s="12" t="str">
        <f t="shared" ca="1" si="8"/>
        <v>NA</v>
      </c>
      <c r="AC125" s="12" t="str">
        <f t="shared" ca="1" si="9"/>
        <v>NA</v>
      </c>
      <c r="AD125" s="6"/>
      <c r="AE125" s="5"/>
      <c r="AF125" s="6"/>
      <c r="AG125" s="11">
        <v>42400</v>
      </c>
      <c r="AH125" s="12">
        <f t="shared" ca="1" si="10"/>
        <v>2016</v>
      </c>
      <c r="AI125" s="12">
        <f t="shared" ca="1" si="11"/>
        <v>1</v>
      </c>
      <c r="AJ125" s="12">
        <f t="shared" ca="1" si="12"/>
        <v>31</v>
      </c>
      <c r="AK125" s="8" t="s">
        <v>701</v>
      </c>
      <c r="AL125" s="8"/>
      <c r="AM125" s="5"/>
      <c r="AN125" s="5"/>
      <c r="AO125" s="11">
        <v>39029</v>
      </c>
      <c r="AP125" s="12">
        <f t="shared" ca="1" si="13"/>
        <v>2006</v>
      </c>
      <c r="AQ125" s="12">
        <f t="shared" ca="1" si="14"/>
        <v>11</v>
      </c>
      <c r="AR125" s="12">
        <f t="shared" ca="1" si="15"/>
        <v>8</v>
      </c>
      <c r="AS125" s="8" t="s">
        <v>702</v>
      </c>
      <c r="AT125" s="8"/>
      <c r="AU125" s="11">
        <v>40667</v>
      </c>
      <c r="AV125" s="12">
        <f t="shared" ca="1" si="16"/>
        <v>2011</v>
      </c>
      <c r="AW125" s="12">
        <f t="shared" ca="1" si="17"/>
        <v>5</v>
      </c>
      <c r="AX125" s="12">
        <f t="shared" ca="1" si="18"/>
        <v>4</v>
      </c>
      <c r="AY125" s="8" t="s">
        <v>703</v>
      </c>
      <c r="AZ125" s="8"/>
      <c r="BA125" s="6"/>
      <c r="BB125" s="12" t="str">
        <f t="shared" ca="1" si="19"/>
        <v>NA</v>
      </c>
      <c r="BC125" s="12" t="str">
        <f t="shared" ca="1" si="20"/>
        <v>NA</v>
      </c>
      <c r="BD125" s="12" t="str">
        <f t="shared" ca="1" si="21"/>
        <v>NA</v>
      </c>
      <c r="BE125" s="5"/>
      <c r="BF125" s="5"/>
      <c r="BG125" s="5"/>
      <c r="BH125" s="12" t="str">
        <f t="shared" ca="1" si="22"/>
        <v>NA</v>
      </c>
      <c r="BI125" s="12" t="str">
        <f t="shared" ca="1" si="23"/>
        <v>NA</v>
      </c>
      <c r="BJ125" s="12" t="str">
        <f t="shared" ca="1" si="24"/>
        <v>NA</v>
      </c>
      <c r="BK125" s="5"/>
      <c r="BL125" s="5"/>
      <c r="BM125" s="12" t="str">
        <f t="shared" ca="1" si="25"/>
        <v>NA</v>
      </c>
      <c r="BN125" s="12" t="str">
        <f t="shared" ca="1" si="26"/>
        <v>NA</v>
      </c>
      <c r="BO125" s="12" t="str">
        <f t="shared" ca="1" si="27"/>
        <v>NA</v>
      </c>
      <c r="BP125" s="5"/>
      <c r="BQ125" s="5"/>
      <c r="BR125" s="5"/>
      <c r="BS125" s="12" t="str">
        <f t="shared" ca="1" si="28"/>
        <v>NA</v>
      </c>
      <c r="BT125" s="12" t="str">
        <f t="shared" ca="1" si="29"/>
        <v>NA</v>
      </c>
      <c r="BU125" s="12" t="str">
        <f t="shared" ca="1" si="30"/>
        <v>NA</v>
      </c>
      <c r="BV125" s="5"/>
      <c r="BW125" s="5"/>
      <c r="BX125" s="12" t="str">
        <f t="shared" ca="1" si="31"/>
        <v>NA</v>
      </c>
      <c r="BY125" s="12" t="str">
        <f t="shared" ca="1" si="32"/>
        <v>NA</v>
      </c>
      <c r="BZ125" s="12" t="str">
        <f t="shared" ca="1" si="33"/>
        <v>NA</v>
      </c>
      <c r="CA125" s="5"/>
    </row>
    <row r="126" spans="1:79" ht="12.75" customHeight="1" x14ac:dyDescent="0.15">
      <c r="A126" s="4">
        <v>2419</v>
      </c>
      <c r="B126" s="5" t="s">
        <v>79</v>
      </c>
      <c r="C126" s="5" t="s">
        <v>79</v>
      </c>
      <c r="D126" s="6" t="s">
        <v>704</v>
      </c>
      <c r="E126" s="6" t="s">
        <v>705</v>
      </c>
      <c r="F126" s="6" t="s">
        <v>706</v>
      </c>
      <c r="G126" s="8"/>
      <c r="H126" s="8"/>
      <c r="I126" s="8"/>
      <c r="J126" s="8"/>
      <c r="K126" s="8"/>
      <c r="L126" s="8" t="s">
        <v>82</v>
      </c>
      <c r="M126" s="7">
        <v>1125</v>
      </c>
      <c r="N126" s="7">
        <v>1124</v>
      </c>
      <c r="O126" s="13">
        <v>37661</v>
      </c>
      <c r="P126" s="10">
        <f t="shared" ca="1" si="0"/>
        <v>1.1111111111111112E-2</v>
      </c>
      <c r="Q126" s="5">
        <f t="shared" ca="1" si="1"/>
        <v>0</v>
      </c>
      <c r="R126" s="5">
        <f t="shared" ca="1" si="2"/>
        <v>4</v>
      </c>
      <c r="S126" s="7">
        <f t="shared" ca="1" si="3"/>
        <v>2003</v>
      </c>
      <c r="T126" s="7">
        <f t="shared" ca="1" si="4"/>
        <v>2</v>
      </c>
      <c r="U126" s="7">
        <f t="shared" ca="1" si="5"/>
        <v>9</v>
      </c>
      <c r="V126" s="6" t="s">
        <v>707</v>
      </c>
      <c r="W126" s="14" t="s">
        <v>96</v>
      </c>
      <c r="X126" s="15"/>
      <c r="Y126" s="5">
        <f t="shared" ca="1" si="6"/>
        <v>0</v>
      </c>
      <c r="Z126" s="6"/>
      <c r="AA126" s="12" t="str">
        <f t="shared" ca="1" si="7"/>
        <v>NA</v>
      </c>
      <c r="AB126" s="12" t="str">
        <f t="shared" ca="1" si="8"/>
        <v>NA</v>
      </c>
      <c r="AC126" s="12" t="str">
        <f t="shared" ca="1" si="9"/>
        <v>NA</v>
      </c>
      <c r="AD126" s="6"/>
      <c r="AE126" s="5"/>
      <c r="AF126" s="6"/>
      <c r="AG126" s="11">
        <v>37665</v>
      </c>
      <c r="AH126" s="12">
        <f t="shared" ca="1" si="10"/>
        <v>2003</v>
      </c>
      <c r="AI126" s="12">
        <f t="shared" ca="1" si="11"/>
        <v>2</v>
      </c>
      <c r="AJ126" s="12">
        <f t="shared" ca="1" si="12"/>
        <v>13</v>
      </c>
      <c r="AK126" s="8" t="s">
        <v>708</v>
      </c>
      <c r="AL126" s="8"/>
      <c r="AM126" s="5"/>
      <c r="AN126" s="5"/>
      <c r="AO126" s="5"/>
      <c r="AP126" s="12" t="str">
        <f t="shared" ca="1" si="13"/>
        <v>NA</v>
      </c>
      <c r="AQ126" s="12" t="str">
        <f t="shared" ca="1" si="14"/>
        <v>NA</v>
      </c>
      <c r="AR126" s="12" t="str">
        <f t="shared" ca="1" si="15"/>
        <v>NA</v>
      </c>
      <c r="AS126" s="5"/>
      <c r="AT126" s="5"/>
      <c r="AU126" s="5"/>
      <c r="AV126" s="12" t="str">
        <f t="shared" ca="1" si="16"/>
        <v>NA</v>
      </c>
      <c r="AW126" s="12" t="str">
        <f t="shared" ca="1" si="17"/>
        <v>NA</v>
      </c>
      <c r="AX126" s="12" t="str">
        <f t="shared" ca="1" si="18"/>
        <v>NA</v>
      </c>
      <c r="AY126" s="5"/>
      <c r="AZ126" s="5"/>
      <c r="BA126" s="6"/>
      <c r="BB126" s="12" t="str">
        <f t="shared" ca="1" si="19"/>
        <v>NA</v>
      </c>
      <c r="BC126" s="12" t="str">
        <f t="shared" ca="1" si="20"/>
        <v>NA</v>
      </c>
      <c r="BD126" s="12" t="str">
        <f t="shared" ca="1" si="21"/>
        <v>NA</v>
      </c>
      <c r="BE126" s="5"/>
      <c r="BF126" s="5"/>
      <c r="BG126" s="5"/>
      <c r="BH126" s="12" t="str">
        <f t="shared" ca="1" si="22"/>
        <v>NA</v>
      </c>
      <c r="BI126" s="12" t="str">
        <f t="shared" ca="1" si="23"/>
        <v>NA</v>
      </c>
      <c r="BJ126" s="12" t="str">
        <f t="shared" ca="1" si="24"/>
        <v>NA</v>
      </c>
      <c r="BK126" s="5"/>
      <c r="BL126" s="5"/>
      <c r="BM126" s="12" t="str">
        <f t="shared" ca="1" si="25"/>
        <v>NA</v>
      </c>
      <c r="BN126" s="12" t="str">
        <f t="shared" ca="1" si="26"/>
        <v>NA</v>
      </c>
      <c r="BO126" s="12" t="str">
        <f t="shared" ca="1" si="27"/>
        <v>NA</v>
      </c>
      <c r="BP126" s="5"/>
      <c r="BQ126" s="5"/>
      <c r="BR126" s="5"/>
      <c r="BS126" s="12" t="str">
        <f t="shared" ca="1" si="28"/>
        <v>NA</v>
      </c>
      <c r="BT126" s="12" t="str">
        <f t="shared" ca="1" si="29"/>
        <v>NA</v>
      </c>
      <c r="BU126" s="12" t="str">
        <f t="shared" ca="1" si="30"/>
        <v>NA</v>
      </c>
      <c r="BV126" s="5"/>
      <c r="BW126" s="5"/>
      <c r="BX126" s="12" t="str">
        <f t="shared" ca="1" si="31"/>
        <v>NA</v>
      </c>
      <c r="BY126" s="12" t="str">
        <f t="shared" ca="1" si="32"/>
        <v>NA</v>
      </c>
      <c r="BZ126" s="12" t="str">
        <f t="shared" ca="1" si="33"/>
        <v>NA</v>
      </c>
      <c r="CA126" s="5"/>
    </row>
    <row r="127" spans="1:79" ht="12.75" customHeight="1" x14ac:dyDescent="0.15">
      <c r="A127" s="4">
        <v>2423</v>
      </c>
      <c r="B127" s="5" t="s">
        <v>79</v>
      </c>
      <c r="C127" s="5" t="s">
        <v>79</v>
      </c>
      <c r="D127" s="6" t="s">
        <v>709</v>
      </c>
      <c r="E127" s="6" t="s">
        <v>710</v>
      </c>
      <c r="F127" s="6" t="s">
        <v>711</v>
      </c>
      <c r="G127" s="8"/>
      <c r="H127" s="8"/>
      <c r="I127" s="8"/>
      <c r="J127" s="8"/>
      <c r="K127" s="8"/>
      <c r="L127" s="8" t="s">
        <v>82</v>
      </c>
      <c r="M127" s="6" t="s">
        <v>712</v>
      </c>
      <c r="N127" s="7">
        <v>2422</v>
      </c>
      <c r="O127" s="23">
        <v>36892</v>
      </c>
      <c r="P127" s="10">
        <f t="shared" ca="1" si="0"/>
        <v>15.388888888888889</v>
      </c>
      <c r="Q127" s="5">
        <f t="shared" ca="1" si="1"/>
        <v>184</v>
      </c>
      <c r="R127" s="5">
        <f t="shared" ca="1" si="2"/>
        <v>5619</v>
      </c>
      <c r="S127" s="7">
        <f t="shared" ca="1" si="3"/>
        <v>2001</v>
      </c>
      <c r="T127" s="7">
        <f t="shared" ca="1" si="4"/>
        <v>1</v>
      </c>
      <c r="U127" s="7">
        <f t="shared" ca="1" si="5"/>
        <v>1</v>
      </c>
      <c r="V127" s="6" t="s">
        <v>713</v>
      </c>
      <c r="W127" s="8" t="s">
        <v>84</v>
      </c>
      <c r="X127" s="8"/>
      <c r="Y127" s="5">
        <f t="shared" ca="1" si="6"/>
        <v>5</v>
      </c>
      <c r="Z127" s="6"/>
      <c r="AA127" s="12" t="str">
        <f t="shared" ca="1" si="7"/>
        <v>NA</v>
      </c>
      <c r="AB127" s="12" t="str">
        <f t="shared" ca="1" si="8"/>
        <v>NA</v>
      </c>
      <c r="AC127" s="12" t="str">
        <f t="shared" ca="1" si="9"/>
        <v>NA</v>
      </c>
      <c r="AD127" s="6"/>
      <c r="AE127" s="5"/>
      <c r="AF127" s="6"/>
      <c r="AG127" s="11">
        <v>42511</v>
      </c>
      <c r="AH127" s="12">
        <f t="shared" ca="1" si="10"/>
        <v>2016</v>
      </c>
      <c r="AI127" s="12">
        <f t="shared" ca="1" si="11"/>
        <v>5</v>
      </c>
      <c r="AJ127" s="12">
        <f t="shared" ca="1" si="12"/>
        <v>21</v>
      </c>
      <c r="AK127" s="8" t="s">
        <v>714</v>
      </c>
      <c r="AL127" s="8"/>
      <c r="AM127" s="5"/>
      <c r="AN127" s="5"/>
      <c r="AO127" s="11">
        <v>37453</v>
      </c>
      <c r="AP127" s="12">
        <f t="shared" ca="1" si="13"/>
        <v>2002</v>
      </c>
      <c r="AQ127" s="12">
        <f t="shared" ca="1" si="14"/>
        <v>7</v>
      </c>
      <c r="AR127" s="12">
        <f t="shared" ca="1" si="15"/>
        <v>16</v>
      </c>
      <c r="AS127" s="8" t="s">
        <v>715</v>
      </c>
      <c r="AT127" s="8"/>
      <c r="AU127" s="11">
        <v>37783</v>
      </c>
      <c r="AV127" s="12">
        <f t="shared" ca="1" si="16"/>
        <v>2003</v>
      </c>
      <c r="AW127" s="12">
        <f t="shared" ca="1" si="17"/>
        <v>6</v>
      </c>
      <c r="AX127" s="12">
        <f t="shared" ca="1" si="18"/>
        <v>11</v>
      </c>
      <c r="AY127" s="8" t="s">
        <v>716</v>
      </c>
      <c r="AZ127" s="8"/>
      <c r="BA127" s="11">
        <v>38336</v>
      </c>
      <c r="BB127" s="12">
        <f t="shared" ca="1" si="19"/>
        <v>2004</v>
      </c>
      <c r="BC127" s="12">
        <f t="shared" ca="1" si="20"/>
        <v>12</v>
      </c>
      <c r="BD127" s="12">
        <f t="shared" ca="1" si="21"/>
        <v>15</v>
      </c>
      <c r="BE127" s="8" t="s">
        <v>717</v>
      </c>
      <c r="BF127" s="8"/>
      <c r="BG127" s="11">
        <v>39332</v>
      </c>
      <c r="BH127" s="12">
        <f t="shared" ca="1" si="22"/>
        <v>2007</v>
      </c>
      <c r="BI127" s="12">
        <f t="shared" ca="1" si="23"/>
        <v>9</v>
      </c>
      <c r="BJ127" s="12">
        <f t="shared" ca="1" si="24"/>
        <v>7</v>
      </c>
      <c r="BK127" s="8" t="s">
        <v>718</v>
      </c>
      <c r="BL127" s="19">
        <v>39371</v>
      </c>
      <c r="BM127" s="12">
        <f t="shared" ca="1" si="25"/>
        <v>2007</v>
      </c>
      <c r="BN127" s="12">
        <f t="shared" ca="1" si="26"/>
        <v>10</v>
      </c>
      <c r="BO127" s="12">
        <f t="shared" ca="1" si="27"/>
        <v>16</v>
      </c>
      <c r="BP127" s="6" t="s">
        <v>719</v>
      </c>
      <c r="BQ127" s="6" t="s">
        <v>84</v>
      </c>
      <c r="BR127" s="5"/>
      <c r="BS127" s="12" t="str">
        <f t="shared" ca="1" si="28"/>
        <v>NA</v>
      </c>
      <c r="BT127" s="12" t="str">
        <f t="shared" ca="1" si="29"/>
        <v>NA</v>
      </c>
      <c r="BU127" s="12" t="str">
        <f t="shared" ca="1" si="30"/>
        <v>NA</v>
      </c>
      <c r="BV127" s="5"/>
      <c r="BW127" s="5"/>
      <c r="BX127" s="12" t="str">
        <f t="shared" ca="1" si="31"/>
        <v>NA</v>
      </c>
      <c r="BY127" s="12" t="str">
        <f t="shared" ca="1" si="32"/>
        <v>NA</v>
      </c>
      <c r="BZ127" s="12" t="str">
        <f t="shared" ca="1" si="33"/>
        <v>NA</v>
      </c>
      <c r="CA127" s="5"/>
    </row>
    <row r="128" spans="1:79" ht="12.75" customHeight="1" x14ac:dyDescent="0.15">
      <c r="A128" s="4">
        <v>2424</v>
      </c>
      <c r="B128" s="5" t="s">
        <v>79</v>
      </c>
      <c r="C128" s="5" t="s">
        <v>79</v>
      </c>
      <c r="D128" s="6" t="s">
        <v>720</v>
      </c>
      <c r="E128" s="7">
        <v>2924</v>
      </c>
      <c r="F128" s="6" t="s">
        <v>721</v>
      </c>
      <c r="G128" s="8"/>
      <c r="H128" s="8"/>
      <c r="I128" s="8"/>
      <c r="J128" s="8"/>
      <c r="K128" s="8"/>
      <c r="L128" s="8" t="s">
        <v>82</v>
      </c>
      <c r="M128" s="6" t="s">
        <v>722</v>
      </c>
      <c r="N128" s="7">
        <v>2422</v>
      </c>
      <c r="O128" s="9">
        <v>37257</v>
      </c>
      <c r="P128" s="10">
        <f t="shared" ca="1" si="0"/>
        <v>6.6138888888888889</v>
      </c>
      <c r="Q128" s="5">
        <f t="shared" ca="1" si="1"/>
        <v>79</v>
      </c>
      <c r="R128" s="5">
        <f t="shared" ca="1" si="2"/>
        <v>2415</v>
      </c>
      <c r="S128" s="7">
        <f t="shared" ca="1" si="3"/>
        <v>2002</v>
      </c>
      <c r="T128" s="7">
        <f t="shared" ca="1" si="4"/>
        <v>1</v>
      </c>
      <c r="U128" s="7">
        <f t="shared" ca="1" si="5"/>
        <v>1</v>
      </c>
      <c r="V128" s="6" t="s">
        <v>723</v>
      </c>
      <c r="W128" s="8" t="s">
        <v>264</v>
      </c>
      <c r="X128" s="8"/>
      <c r="Y128" s="5">
        <f t="shared" ca="1" si="6"/>
        <v>2</v>
      </c>
      <c r="Z128" s="6"/>
      <c r="AA128" s="12" t="str">
        <f t="shared" ca="1" si="7"/>
        <v>NA</v>
      </c>
      <c r="AB128" s="12" t="str">
        <f t="shared" ca="1" si="8"/>
        <v>NA</v>
      </c>
      <c r="AC128" s="12" t="str">
        <f t="shared" ca="1" si="9"/>
        <v>NA</v>
      </c>
      <c r="AD128" s="6"/>
      <c r="AE128" s="5"/>
      <c r="AF128" s="6"/>
      <c r="AG128" s="11">
        <v>39672</v>
      </c>
      <c r="AH128" s="12">
        <f t="shared" ca="1" si="10"/>
        <v>2008</v>
      </c>
      <c r="AI128" s="12">
        <f t="shared" ca="1" si="11"/>
        <v>8</v>
      </c>
      <c r="AJ128" s="12">
        <f t="shared" ca="1" si="12"/>
        <v>12</v>
      </c>
      <c r="AK128" s="8" t="s">
        <v>724</v>
      </c>
      <c r="AL128" s="8"/>
      <c r="AM128" s="5"/>
      <c r="AN128" s="5"/>
      <c r="AO128" s="11">
        <v>37783</v>
      </c>
      <c r="AP128" s="12">
        <f t="shared" ca="1" si="13"/>
        <v>2003</v>
      </c>
      <c r="AQ128" s="12">
        <f t="shared" ca="1" si="14"/>
        <v>6</v>
      </c>
      <c r="AR128" s="12">
        <f t="shared" ca="1" si="15"/>
        <v>11</v>
      </c>
      <c r="AS128" s="8" t="s">
        <v>725</v>
      </c>
      <c r="AT128" s="8"/>
      <c r="AU128" s="11">
        <v>37964</v>
      </c>
      <c r="AV128" s="12">
        <f t="shared" ca="1" si="16"/>
        <v>2003</v>
      </c>
      <c r="AW128" s="12">
        <f t="shared" ca="1" si="17"/>
        <v>12</v>
      </c>
      <c r="AX128" s="12">
        <f t="shared" ca="1" si="18"/>
        <v>9</v>
      </c>
      <c r="AY128" s="8" t="s">
        <v>726</v>
      </c>
      <c r="AZ128" s="8"/>
      <c r="BA128" s="6"/>
      <c r="BB128" s="12" t="str">
        <f t="shared" ca="1" si="19"/>
        <v>NA</v>
      </c>
      <c r="BC128" s="12" t="str">
        <f t="shared" ca="1" si="20"/>
        <v>NA</v>
      </c>
      <c r="BD128" s="12" t="str">
        <f t="shared" ca="1" si="21"/>
        <v>NA</v>
      </c>
      <c r="BE128" s="5"/>
      <c r="BF128" s="5"/>
      <c r="BG128" s="5"/>
      <c r="BH128" s="12" t="str">
        <f t="shared" ca="1" si="22"/>
        <v>NA</v>
      </c>
      <c r="BI128" s="12" t="str">
        <f t="shared" ca="1" si="23"/>
        <v>NA</v>
      </c>
      <c r="BJ128" s="12" t="str">
        <f t="shared" ca="1" si="24"/>
        <v>NA</v>
      </c>
      <c r="BK128" s="5"/>
      <c r="BL128" s="5"/>
      <c r="BM128" s="12" t="str">
        <f t="shared" ca="1" si="25"/>
        <v>NA</v>
      </c>
      <c r="BN128" s="12" t="str">
        <f t="shared" ca="1" si="26"/>
        <v>NA</v>
      </c>
      <c r="BO128" s="12" t="str">
        <f t="shared" ca="1" si="27"/>
        <v>NA</v>
      </c>
      <c r="BP128" s="5"/>
      <c r="BQ128" s="5"/>
      <c r="BR128" s="5"/>
      <c r="BS128" s="12" t="str">
        <f t="shared" ca="1" si="28"/>
        <v>NA</v>
      </c>
      <c r="BT128" s="12" t="str">
        <f t="shared" ca="1" si="29"/>
        <v>NA</v>
      </c>
      <c r="BU128" s="12" t="str">
        <f t="shared" ca="1" si="30"/>
        <v>NA</v>
      </c>
      <c r="BV128" s="5"/>
      <c r="BW128" s="5"/>
      <c r="BX128" s="12" t="str">
        <f t="shared" ca="1" si="31"/>
        <v>NA</v>
      </c>
      <c r="BY128" s="12" t="str">
        <f t="shared" ca="1" si="32"/>
        <v>NA</v>
      </c>
      <c r="BZ128" s="12" t="str">
        <f t="shared" ca="1" si="33"/>
        <v>NA</v>
      </c>
      <c r="CA128" s="5"/>
    </row>
    <row r="129" spans="1:79" ht="12.75" customHeight="1" x14ac:dyDescent="0.15">
      <c r="A129" s="4">
        <v>2425</v>
      </c>
      <c r="B129" s="5" t="s">
        <v>79</v>
      </c>
      <c r="C129" s="5" t="s">
        <v>79</v>
      </c>
      <c r="D129" s="6" t="s">
        <v>727</v>
      </c>
      <c r="E129" s="7">
        <v>1501</v>
      </c>
      <c r="F129" s="6" t="s">
        <v>728</v>
      </c>
      <c r="G129" s="8"/>
      <c r="H129" s="8"/>
      <c r="I129" s="8"/>
      <c r="J129" s="8"/>
      <c r="K129" s="8"/>
      <c r="L129" s="8" t="s">
        <v>82</v>
      </c>
      <c r="M129" s="7">
        <v>1116</v>
      </c>
      <c r="N129" s="7">
        <v>1120</v>
      </c>
      <c r="O129" s="13">
        <v>37836</v>
      </c>
      <c r="P129" s="10">
        <f t="shared" ca="1" si="0"/>
        <v>9.2305555555555561</v>
      </c>
      <c r="Q129" s="5">
        <f t="shared" ca="1" si="1"/>
        <v>110</v>
      </c>
      <c r="R129" s="5">
        <f t="shared" ca="1" si="2"/>
        <v>3372</v>
      </c>
      <c r="S129" s="7">
        <f t="shared" ca="1" si="3"/>
        <v>2003</v>
      </c>
      <c r="T129" s="7">
        <f t="shared" ca="1" si="4"/>
        <v>8</v>
      </c>
      <c r="U129" s="7">
        <f t="shared" ca="1" si="5"/>
        <v>3</v>
      </c>
      <c r="V129" s="6" t="s">
        <v>729</v>
      </c>
      <c r="W129" s="14" t="s">
        <v>96</v>
      </c>
      <c r="X129" s="15"/>
      <c r="Y129" s="5">
        <f t="shared" ca="1" si="6"/>
        <v>0</v>
      </c>
      <c r="Z129" s="6"/>
      <c r="AA129" s="12" t="str">
        <f t="shared" ca="1" si="7"/>
        <v>NA</v>
      </c>
      <c r="AB129" s="12" t="str">
        <f t="shared" ca="1" si="8"/>
        <v>NA</v>
      </c>
      <c r="AC129" s="12" t="str">
        <f t="shared" ca="1" si="9"/>
        <v>NA</v>
      </c>
      <c r="AD129" s="6"/>
      <c r="AE129" s="5"/>
      <c r="AF129" s="6"/>
      <c r="AG129" s="11">
        <v>41208</v>
      </c>
      <c r="AH129" s="12">
        <f t="shared" ca="1" si="10"/>
        <v>2012</v>
      </c>
      <c r="AI129" s="12">
        <f t="shared" ca="1" si="11"/>
        <v>10</v>
      </c>
      <c r="AJ129" s="12">
        <f t="shared" ca="1" si="12"/>
        <v>26</v>
      </c>
      <c r="AK129" s="8" t="s">
        <v>730</v>
      </c>
      <c r="AL129" s="8"/>
      <c r="AM129" s="5"/>
      <c r="AN129" s="5"/>
      <c r="AO129" s="5"/>
      <c r="AP129" s="12" t="str">
        <f t="shared" ca="1" si="13"/>
        <v>NA</v>
      </c>
      <c r="AQ129" s="12" t="str">
        <f t="shared" ca="1" si="14"/>
        <v>NA</v>
      </c>
      <c r="AR129" s="12" t="str">
        <f t="shared" ca="1" si="15"/>
        <v>NA</v>
      </c>
      <c r="AS129" s="5"/>
      <c r="AT129" s="5"/>
      <c r="AU129" s="5"/>
      <c r="AV129" s="12" t="str">
        <f t="shared" ca="1" si="16"/>
        <v>NA</v>
      </c>
      <c r="AW129" s="12" t="str">
        <f t="shared" ca="1" si="17"/>
        <v>NA</v>
      </c>
      <c r="AX129" s="12" t="str">
        <f t="shared" ca="1" si="18"/>
        <v>NA</v>
      </c>
      <c r="AY129" s="5"/>
      <c r="AZ129" s="5"/>
      <c r="BA129" s="6"/>
      <c r="BB129" s="12" t="str">
        <f t="shared" ca="1" si="19"/>
        <v>NA</v>
      </c>
      <c r="BC129" s="12" t="str">
        <f t="shared" ca="1" si="20"/>
        <v>NA</v>
      </c>
      <c r="BD129" s="12" t="str">
        <f t="shared" ca="1" si="21"/>
        <v>NA</v>
      </c>
      <c r="BE129" s="5"/>
      <c r="BF129" s="5"/>
      <c r="BG129" s="5"/>
      <c r="BH129" s="12" t="str">
        <f t="shared" ca="1" si="22"/>
        <v>NA</v>
      </c>
      <c r="BI129" s="12" t="str">
        <f t="shared" ca="1" si="23"/>
        <v>NA</v>
      </c>
      <c r="BJ129" s="12" t="str">
        <f t="shared" ca="1" si="24"/>
        <v>NA</v>
      </c>
      <c r="BK129" s="5"/>
      <c r="BL129" s="5"/>
      <c r="BM129" s="12" t="str">
        <f t="shared" ca="1" si="25"/>
        <v>NA</v>
      </c>
      <c r="BN129" s="12" t="str">
        <f t="shared" ca="1" si="26"/>
        <v>NA</v>
      </c>
      <c r="BO129" s="12" t="str">
        <f t="shared" ca="1" si="27"/>
        <v>NA</v>
      </c>
      <c r="BP129" s="5"/>
      <c r="BQ129" s="5"/>
      <c r="BR129" s="5"/>
      <c r="BS129" s="12" t="str">
        <f t="shared" ca="1" si="28"/>
        <v>NA</v>
      </c>
      <c r="BT129" s="12" t="str">
        <f t="shared" ca="1" si="29"/>
        <v>NA</v>
      </c>
      <c r="BU129" s="12" t="str">
        <f t="shared" ca="1" si="30"/>
        <v>NA</v>
      </c>
      <c r="BV129" s="5"/>
      <c r="BW129" s="5"/>
      <c r="BX129" s="12" t="str">
        <f t="shared" ca="1" si="31"/>
        <v>NA</v>
      </c>
      <c r="BY129" s="12" t="str">
        <f t="shared" ca="1" si="32"/>
        <v>NA</v>
      </c>
      <c r="BZ129" s="12" t="str">
        <f t="shared" ca="1" si="33"/>
        <v>NA</v>
      </c>
      <c r="CA129" s="5"/>
    </row>
    <row r="130" spans="1:79" ht="12.75" customHeight="1" x14ac:dyDescent="0.15">
      <c r="A130" s="4">
        <v>2426</v>
      </c>
      <c r="B130" s="5" t="s">
        <v>79</v>
      </c>
      <c r="C130" s="5" t="s">
        <v>79</v>
      </c>
      <c r="D130" s="6" t="s">
        <v>731</v>
      </c>
      <c r="E130" s="7">
        <v>1502</v>
      </c>
      <c r="F130" s="6" t="s">
        <v>732</v>
      </c>
      <c r="G130" s="8"/>
      <c r="H130" s="8"/>
      <c r="I130" s="8"/>
      <c r="J130" s="8"/>
      <c r="K130" s="8"/>
      <c r="L130" s="8" t="s">
        <v>82</v>
      </c>
      <c r="M130" s="7">
        <v>1116</v>
      </c>
      <c r="N130" s="7">
        <v>1120</v>
      </c>
      <c r="O130" s="13">
        <v>37836</v>
      </c>
      <c r="P130" s="10">
        <f t="shared" ca="1" si="0"/>
        <v>10.786111111111111</v>
      </c>
      <c r="Q130" s="5">
        <f t="shared" ca="1" si="1"/>
        <v>129</v>
      </c>
      <c r="R130" s="5">
        <f t="shared" ca="1" si="2"/>
        <v>3939</v>
      </c>
      <c r="S130" s="7">
        <f t="shared" ca="1" si="3"/>
        <v>2003</v>
      </c>
      <c r="T130" s="7">
        <f t="shared" ca="1" si="4"/>
        <v>8</v>
      </c>
      <c r="U130" s="7">
        <f t="shared" ca="1" si="5"/>
        <v>3</v>
      </c>
      <c r="V130" s="6" t="s">
        <v>733</v>
      </c>
      <c r="W130" s="14" t="s">
        <v>96</v>
      </c>
      <c r="X130" s="15"/>
      <c r="Y130" s="5">
        <f t="shared" ca="1" si="6"/>
        <v>0</v>
      </c>
      <c r="Z130" s="6"/>
      <c r="AA130" s="12" t="str">
        <f t="shared" ca="1" si="7"/>
        <v>NA</v>
      </c>
      <c r="AB130" s="12" t="str">
        <f t="shared" ca="1" si="8"/>
        <v>NA</v>
      </c>
      <c r="AC130" s="12" t="str">
        <f t="shared" ca="1" si="9"/>
        <v>NA</v>
      </c>
      <c r="AD130" s="6"/>
      <c r="AE130" s="5"/>
      <c r="AF130" s="6"/>
      <c r="AG130" s="11">
        <v>41775</v>
      </c>
      <c r="AH130" s="12">
        <f t="shared" ca="1" si="10"/>
        <v>2014</v>
      </c>
      <c r="AI130" s="12">
        <f t="shared" ca="1" si="11"/>
        <v>5</v>
      </c>
      <c r="AJ130" s="12">
        <f t="shared" ca="1" si="12"/>
        <v>16</v>
      </c>
      <c r="AK130" s="8" t="s">
        <v>734</v>
      </c>
      <c r="AL130" s="8"/>
      <c r="AM130" s="5"/>
      <c r="AN130" s="5"/>
      <c r="AO130" s="5"/>
      <c r="AP130" s="12" t="str">
        <f t="shared" ca="1" si="13"/>
        <v>NA</v>
      </c>
      <c r="AQ130" s="12" t="str">
        <f t="shared" ca="1" si="14"/>
        <v>NA</v>
      </c>
      <c r="AR130" s="12" t="str">
        <f t="shared" ca="1" si="15"/>
        <v>NA</v>
      </c>
      <c r="AS130" s="5"/>
      <c r="AT130" s="5"/>
      <c r="AU130" s="5"/>
      <c r="AV130" s="12" t="str">
        <f t="shared" ca="1" si="16"/>
        <v>NA</v>
      </c>
      <c r="AW130" s="12" t="str">
        <f t="shared" ca="1" si="17"/>
        <v>NA</v>
      </c>
      <c r="AX130" s="12" t="str">
        <f t="shared" ca="1" si="18"/>
        <v>NA</v>
      </c>
      <c r="AY130" s="5"/>
      <c r="AZ130" s="5"/>
      <c r="BA130" s="6"/>
      <c r="BB130" s="12" t="str">
        <f t="shared" ca="1" si="19"/>
        <v>NA</v>
      </c>
      <c r="BC130" s="12" t="str">
        <f t="shared" ca="1" si="20"/>
        <v>NA</v>
      </c>
      <c r="BD130" s="12" t="str">
        <f t="shared" ca="1" si="21"/>
        <v>NA</v>
      </c>
      <c r="BE130" s="5"/>
      <c r="BF130" s="5"/>
      <c r="BG130" s="5"/>
      <c r="BH130" s="12" t="str">
        <f t="shared" ca="1" si="22"/>
        <v>NA</v>
      </c>
      <c r="BI130" s="12" t="str">
        <f t="shared" ca="1" si="23"/>
        <v>NA</v>
      </c>
      <c r="BJ130" s="12" t="str">
        <f t="shared" ca="1" si="24"/>
        <v>NA</v>
      </c>
      <c r="BK130" s="5"/>
      <c r="BL130" s="5"/>
      <c r="BM130" s="12" t="str">
        <f t="shared" ca="1" si="25"/>
        <v>NA</v>
      </c>
      <c r="BN130" s="12" t="str">
        <f t="shared" ca="1" si="26"/>
        <v>NA</v>
      </c>
      <c r="BO130" s="12" t="str">
        <f t="shared" ca="1" si="27"/>
        <v>NA</v>
      </c>
      <c r="BP130" s="5"/>
      <c r="BQ130" s="5"/>
      <c r="BR130" s="5"/>
      <c r="BS130" s="12" t="str">
        <f t="shared" ca="1" si="28"/>
        <v>NA</v>
      </c>
      <c r="BT130" s="12" t="str">
        <f t="shared" ca="1" si="29"/>
        <v>NA</v>
      </c>
      <c r="BU130" s="12" t="str">
        <f t="shared" ca="1" si="30"/>
        <v>NA</v>
      </c>
      <c r="BV130" s="5"/>
      <c r="BW130" s="5"/>
      <c r="BX130" s="12" t="str">
        <f t="shared" ca="1" si="31"/>
        <v>NA</v>
      </c>
      <c r="BY130" s="12" t="str">
        <f t="shared" ca="1" si="32"/>
        <v>NA</v>
      </c>
      <c r="BZ130" s="12" t="str">
        <f t="shared" ca="1" si="33"/>
        <v>NA</v>
      </c>
      <c r="CA130" s="5"/>
    </row>
    <row r="131" spans="1:79" ht="12.75" customHeight="1" x14ac:dyDescent="0.15">
      <c r="A131" s="4">
        <v>2427</v>
      </c>
      <c r="B131" s="5" t="s">
        <v>79</v>
      </c>
      <c r="C131" s="5" t="s">
        <v>79</v>
      </c>
      <c r="D131" s="6" t="s">
        <v>735</v>
      </c>
      <c r="E131" s="7">
        <v>108023</v>
      </c>
      <c r="F131" s="6" t="s">
        <v>736</v>
      </c>
      <c r="G131" s="8"/>
      <c r="H131" s="8"/>
      <c r="I131" s="8"/>
      <c r="J131" s="8"/>
      <c r="K131" s="8"/>
      <c r="L131" s="8" t="s">
        <v>82</v>
      </c>
      <c r="M131" s="7">
        <v>2338</v>
      </c>
      <c r="N131" s="7">
        <v>2340</v>
      </c>
      <c r="O131" s="13">
        <v>37869</v>
      </c>
      <c r="P131" s="10">
        <f t="shared" ca="1" si="0"/>
        <v>12.425000000000001</v>
      </c>
      <c r="Q131" s="5">
        <f t="shared" ca="1" si="1"/>
        <v>149</v>
      </c>
      <c r="R131" s="5">
        <f t="shared" ca="1" si="2"/>
        <v>4539</v>
      </c>
      <c r="S131" s="7">
        <f t="shared" ca="1" si="3"/>
        <v>2003</v>
      </c>
      <c r="T131" s="7">
        <f t="shared" ca="1" si="4"/>
        <v>9</v>
      </c>
      <c r="U131" s="7">
        <f t="shared" ca="1" si="5"/>
        <v>5</v>
      </c>
      <c r="V131" s="6" t="s">
        <v>737</v>
      </c>
      <c r="W131" s="14" t="s">
        <v>96</v>
      </c>
      <c r="X131" s="15"/>
      <c r="Y131" s="5">
        <f t="shared" ca="1" si="6"/>
        <v>3</v>
      </c>
      <c r="Z131" s="6"/>
      <c r="AA131" s="12" t="str">
        <f t="shared" ca="1" si="7"/>
        <v>NA</v>
      </c>
      <c r="AB131" s="12" t="str">
        <f t="shared" ca="1" si="8"/>
        <v>NA</v>
      </c>
      <c r="AC131" s="12" t="str">
        <f t="shared" ca="1" si="9"/>
        <v>NA</v>
      </c>
      <c r="AD131" s="6"/>
      <c r="AE131" s="5"/>
      <c r="AF131" s="6"/>
      <c r="AG131" s="11">
        <v>42408</v>
      </c>
      <c r="AH131" s="12">
        <f t="shared" ca="1" si="10"/>
        <v>2016</v>
      </c>
      <c r="AI131" s="12">
        <f t="shared" ca="1" si="11"/>
        <v>2</v>
      </c>
      <c r="AJ131" s="12">
        <f t="shared" ca="1" si="12"/>
        <v>8</v>
      </c>
      <c r="AK131" s="8" t="s">
        <v>738</v>
      </c>
      <c r="AL131" s="8"/>
      <c r="AM131" s="5"/>
      <c r="AN131" s="5"/>
      <c r="AO131" s="11">
        <v>39330</v>
      </c>
      <c r="AP131" s="12">
        <f t="shared" ca="1" si="13"/>
        <v>2007</v>
      </c>
      <c r="AQ131" s="12">
        <f t="shared" ca="1" si="14"/>
        <v>9</v>
      </c>
      <c r="AR131" s="12">
        <f t="shared" ca="1" si="15"/>
        <v>5</v>
      </c>
      <c r="AS131" s="8" t="s">
        <v>739</v>
      </c>
      <c r="AT131" s="8"/>
      <c r="AU131" s="11">
        <v>39380</v>
      </c>
      <c r="AV131" s="12">
        <f t="shared" ca="1" si="16"/>
        <v>2007</v>
      </c>
      <c r="AW131" s="12">
        <f t="shared" ca="1" si="17"/>
        <v>10</v>
      </c>
      <c r="AX131" s="12">
        <f t="shared" ca="1" si="18"/>
        <v>25</v>
      </c>
      <c r="AY131" s="8" t="s">
        <v>740</v>
      </c>
      <c r="AZ131" s="8"/>
      <c r="BA131" s="11">
        <v>39731</v>
      </c>
      <c r="BB131" s="12">
        <f t="shared" ca="1" si="19"/>
        <v>2008</v>
      </c>
      <c r="BC131" s="12">
        <f t="shared" ca="1" si="20"/>
        <v>10</v>
      </c>
      <c r="BD131" s="12">
        <f t="shared" ca="1" si="21"/>
        <v>10</v>
      </c>
      <c r="BE131" s="8" t="s">
        <v>741</v>
      </c>
      <c r="BF131" s="8"/>
      <c r="BG131" s="5"/>
      <c r="BH131" s="12" t="str">
        <f t="shared" ca="1" si="22"/>
        <v>NA</v>
      </c>
      <c r="BI131" s="12" t="str">
        <f t="shared" ca="1" si="23"/>
        <v>NA</v>
      </c>
      <c r="BJ131" s="12" t="str">
        <f t="shared" ca="1" si="24"/>
        <v>NA</v>
      </c>
      <c r="BK131" s="5"/>
      <c r="BL131" s="5"/>
      <c r="BM131" s="12" t="str">
        <f t="shared" ca="1" si="25"/>
        <v>NA</v>
      </c>
      <c r="BN131" s="12" t="str">
        <f t="shared" ca="1" si="26"/>
        <v>NA</v>
      </c>
      <c r="BO131" s="12" t="str">
        <f t="shared" ca="1" si="27"/>
        <v>NA</v>
      </c>
      <c r="BP131" s="5"/>
      <c r="BQ131" s="5"/>
      <c r="BR131" s="5"/>
      <c r="BS131" s="12" t="str">
        <f t="shared" ca="1" si="28"/>
        <v>NA</v>
      </c>
      <c r="BT131" s="12" t="str">
        <f t="shared" ca="1" si="29"/>
        <v>NA</v>
      </c>
      <c r="BU131" s="12" t="str">
        <f t="shared" ca="1" si="30"/>
        <v>NA</v>
      </c>
      <c r="BV131" s="5"/>
      <c r="BW131" s="5"/>
      <c r="BX131" s="12" t="str">
        <f t="shared" ca="1" si="31"/>
        <v>NA</v>
      </c>
      <c r="BY131" s="12" t="str">
        <f t="shared" ca="1" si="32"/>
        <v>NA</v>
      </c>
      <c r="BZ131" s="12" t="str">
        <f t="shared" ca="1" si="33"/>
        <v>NA</v>
      </c>
      <c r="CA131" s="5"/>
    </row>
    <row r="132" spans="1:79" ht="12.75" customHeight="1" x14ac:dyDescent="0.15">
      <c r="A132" s="4">
        <v>2428</v>
      </c>
      <c r="B132" s="5" t="s">
        <v>79</v>
      </c>
      <c r="C132" s="5" t="s">
        <v>79</v>
      </c>
      <c r="D132" s="6" t="s">
        <v>742</v>
      </c>
      <c r="E132" s="7">
        <v>22421</v>
      </c>
      <c r="F132" s="6" t="s">
        <v>743</v>
      </c>
      <c r="G132" s="8"/>
      <c r="H132" s="8"/>
      <c r="I132" s="8"/>
      <c r="J132" s="8"/>
      <c r="K132" s="8"/>
      <c r="L132" s="8" t="s">
        <v>82</v>
      </c>
      <c r="M132" s="7">
        <v>2338</v>
      </c>
      <c r="N132" s="7">
        <v>2340</v>
      </c>
      <c r="O132" s="13">
        <v>37869</v>
      </c>
      <c r="P132" s="10">
        <f t="shared" ca="1" si="0"/>
        <v>12.519444444444444</v>
      </c>
      <c r="Q132" s="5">
        <f t="shared" ca="1" si="1"/>
        <v>150</v>
      </c>
      <c r="R132" s="5">
        <f t="shared" ca="1" si="2"/>
        <v>4572</v>
      </c>
      <c r="S132" s="7">
        <f t="shared" ca="1" si="3"/>
        <v>2003</v>
      </c>
      <c r="T132" s="7">
        <f t="shared" ca="1" si="4"/>
        <v>9</v>
      </c>
      <c r="U132" s="7">
        <f t="shared" ca="1" si="5"/>
        <v>5</v>
      </c>
      <c r="V132" s="6" t="s">
        <v>744</v>
      </c>
      <c r="W132" s="14" t="s">
        <v>96</v>
      </c>
      <c r="X132" s="15"/>
      <c r="Y132" s="5">
        <f t="shared" ca="1" si="6"/>
        <v>3</v>
      </c>
      <c r="Z132" s="6"/>
      <c r="AA132" s="12" t="str">
        <f t="shared" ca="1" si="7"/>
        <v>NA</v>
      </c>
      <c r="AB132" s="12" t="str">
        <f t="shared" ca="1" si="8"/>
        <v>NA</v>
      </c>
      <c r="AC132" s="12" t="str">
        <f t="shared" ca="1" si="9"/>
        <v>NA</v>
      </c>
      <c r="AD132" s="6"/>
      <c r="AE132" s="5"/>
      <c r="AF132" s="6"/>
      <c r="AG132" s="11">
        <v>42441</v>
      </c>
      <c r="AH132" s="12">
        <f t="shared" ca="1" si="10"/>
        <v>2016</v>
      </c>
      <c r="AI132" s="12">
        <f t="shared" ca="1" si="11"/>
        <v>3</v>
      </c>
      <c r="AJ132" s="12">
        <f t="shared" ca="1" si="12"/>
        <v>12</v>
      </c>
      <c r="AK132" s="8" t="s">
        <v>745</v>
      </c>
      <c r="AL132" s="8"/>
      <c r="AM132" s="5"/>
      <c r="AN132" s="5"/>
      <c r="AO132" s="11">
        <v>38624</v>
      </c>
      <c r="AP132" s="12">
        <f t="shared" ca="1" si="13"/>
        <v>2005</v>
      </c>
      <c r="AQ132" s="12">
        <f t="shared" ca="1" si="14"/>
        <v>9</v>
      </c>
      <c r="AR132" s="12">
        <f t="shared" ca="1" si="15"/>
        <v>29</v>
      </c>
      <c r="AS132" s="8" t="s">
        <v>746</v>
      </c>
      <c r="AT132" s="8"/>
      <c r="AU132" s="11">
        <v>41141</v>
      </c>
      <c r="AV132" s="12">
        <f t="shared" ca="1" si="16"/>
        <v>2012</v>
      </c>
      <c r="AW132" s="12">
        <f t="shared" ca="1" si="17"/>
        <v>8</v>
      </c>
      <c r="AX132" s="12">
        <f t="shared" ca="1" si="18"/>
        <v>20</v>
      </c>
      <c r="AY132" s="8" t="s">
        <v>747</v>
      </c>
      <c r="AZ132" s="8"/>
      <c r="BA132" s="11">
        <v>41571</v>
      </c>
      <c r="BB132" s="12">
        <f t="shared" ca="1" si="19"/>
        <v>2013</v>
      </c>
      <c r="BC132" s="12">
        <f t="shared" ca="1" si="20"/>
        <v>10</v>
      </c>
      <c r="BD132" s="12">
        <f t="shared" ca="1" si="21"/>
        <v>24</v>
      </c>
      <c r="BE132" s="8" t="s">
        <v>748</v>
      </c>
      <c r="BF132" s="8"/>
      <c r="BG132" s="5"/>
      <c r="BH132" s="12" t="str">
        <f t="shared" ca="1" si="22"/>
        <v>NA</v>
      </c>
      <c r="BI132" s="12" t="str">
        <f t="shared" ca="1" si="23"/>
        <v>NA</v>
      </c>
      <c r="BJ132" s="12" t="str">
        <f t="shared" ca="1" si="24"/>
        <v>NA</v>
      </c>
      <c r="BK132" s="5"/>
      <c r="BL132" s="5"/>
      <c r="BM132" s="12" t="str">
        <f t="shared" ca="1" si="25"/>
        <v>NA</v>
      </c>
      <c r="BN132" s="12" t="str">
        <f t="shared" ca="1" si="26"/>
        <v>NA</v>
      </c>
      <c r="BO132" s="12" t="str">
        <f t="shared" ca="1" si="27"/>
        <v>NA</v>
      </c>
      <c r="BP132" s="5"/>
      <c r="BQ132" s="5"/>
      <c r="BR132" s="5"/>
      <c r="BS132" s="12" t="str">
        <f t="shared" ca="1" si="28"/>
        <v>NA</v>
      </c>
      <c r="BT132" s="12" t="str">
        <f t="shared" ca="1" si="29"/>
        <v>NA</v>
      </c>
      <c r="BU132" s="12" t="str">
        <f t="shared" ca="1" si="30"/>
        <v>NA</v>
      </c>
      <c r="BV132" s="5"/>
      <c r="BW132" s="5"/>
      <c r="BX132" s="12" t="str">
        <f t="shared" ca="1" si="31"/>
        <v>NA</v>
      </c>
      <c r="BY132" s="12" t="str">
        <f t="shared" ca="1" si="32"/>
        <v>NA</v>
      </c>
      <c r="BZ132" s="12" t="str">
        <f t="shared" ca="1" si="33"/>
        <v>NA</v>
      </c>
      <c r="CA132" s="5"/>
    </row>
    <row r="133" spans="1:79" ht="12.75" customHeight="1" x14ac:dyDescent="0.15">
      <c r="A133" s="4">
        <v>2429</v>
      </c>
      <c r="B133" s="5" t="s">
        <v>79</v>
      </c>
      <c r="C133" s="5" t="s">
        <v>79</v>
      </c>
      <c r="D133" s="6" t="s">
        <v>749</v>
      </c>
      <c r="E133" s="7">
        <v>114012</v>
      </c>
      <c r="F133" s="6" t="s">
        <v>750</v>
      </c>
      <c r="G133" s="8"/>
      <c r="H133" s="8"/>
      <c r="I133" s="8"/>
      <c r="J133" s="8"/>
      <c r="K133" s="8"/>
      <c r="L133" s="8" t="s">
        <v>82</v>
      </c>
      <c r="M133" s="7">
        <v>2337</v>
      </c>
      <c r="N133" s="7">
        <v>2341</v>
      </c>
      <c r="O133" s="13">
        <v>37921</v>
      </c>
      <c r="P133" s="10">
        <f t="shared" ca="1" si="0"/>
        <v>17.138888888888889</v>
      </c>
      <c r="Q133" s="5">
        <f t="shared" ca="1" si="1"/>
        <v>205</v>
      </c>
      <c r="R133" s="5">
        <f t="shared" ca="1" si="2"/>
        <v>6261</v>
      </c>
      <c r="S133" s="7">
        <f t="shared" ca="1" si="3"/>
        <v>2003</v>
      </c>
      <c r="T133" s="7">
        <f t="shared" ca="1" si="4"/>
        <v>10</v>
      </c>
      <c r="U133" s="7">
        <f t="shared" ca="1" si="5"/>
        <v>27</v>
      </c>
      <c r="V133" s="6" t="s">
        <v>751</v>
      </c>
      <c r="W133" s="14" t="s">
        <v>96</v>
      </c>
      <c r="X133" s="15"/>
      <c r="Y133" s="5">
        <f t="shared" ca="1" si="6"/>
        <v>3</v>
      </c>
      <c r="Z133" s="6"/>
      <c r="AA133" s="12" t="str">
        <f t="shared" ca="1" si="7"/>
        <v>NA</v>
      </c>
      <c r="AB133" s="12" t="str">
        <f t="shared" ca="1" si="8"/>
        <v>NA</v>
      </c>
      <c r="AC133" s="12" t="str">
        <f t="shared" ca="1" si="9"/>
        <v>NA</v>
      </c>
      <c r="AD133" s="6"/>
      <c r="AE133" s="5"/>
      <c r="AF133" s="6"/>
      <c r="AG133" s="11">
        <v>44182</v>
      </c>
      <c r="AH133" s="12">
        <f t="shared" ca="1" si="10"/>
        <v>2020</v>
      </c>
      <c r="AI133" s="12">
        <f t="shared" ca="1" si="11"/>
        <v>12</v>
      </c>
      <c r="AJ133" s="12">
        <f t="shared" ca="1" si="12"/>
        <v>17</v>
      </c>
      <c r="AK133" s="8" t="s">
        <v>752</v>
      </c>
      <c r="AL133" s="8"/>
      <c r="AM133" s="5"/>
      <c r="AN133" s="5"/>
      <c r="AO133" s="11">
        <v>38818</v>
      </c>
      <c r="AP133" s="12">
        <f t="shared" ca="1" si="13"/>
        <v>2006</v>
      </c>
      <c r="AQ133" s="12">
        <f t="shared" ca="1" si="14"/>
        <v>4</v>
      </c>
      <c r="AR133" s="12">
        <f t="shared" ca="1" si="15"/>
        <v>11</v>
      </c>
      <c r="AS133" s="8" t="s">
        <v>753</v>
      </c>
      <c r="AT133" s="8"/>
      <c r="AU133" s="11">
        <v>41141</v>
      </c>
      <c r="AV133" s="12">
        <f t="shared" ca="1" si="16"/>
        <v>2012</v>
      </c>
      <c r="AW133" s="12">
        <f t="shared" ca="1" si="17"/>
        <v>8</v>
      </c>
      <c r="AX133" s="12">
        <f t="shared" ca="1" si="18"/>
        <v>20</v>
      </c>
      <c r="AY133" s="8" t="s">
        <v>754</v>
      </c>
      <c r="AZ133" s="8"/>
      <c r="BA133" s="16">
        <v>41773</v>
      </c>
      <c r="BB133" s="12">
        <f t="shared" ca="1" si="19"/>
        <v>2014</v>
      </c>
      <c r="BC133" s="12">
        <f t="shared" ca="1" si="20"/>
        <v>5</v>
      </c>
      <c r="BD133" s="12">
        <f t="shared" ca="1" si="21"/>
        <v>14</v>
      </c>
      <c r="BE133" s="6" t="s">
        <v>755</v>
      </c>
      <c r="BF133" s="6" t="s">
        <v>264</v>
      </c>
      <c r="BG133" s="5"/>
      <c r="BH133" s="12" t="str">
        <f t="shared" ca="1" si="22"/>
        <v>NA</v>
      </c>
      <c r="BI133" s="12" t="str">
        <f t="shared" ca="1" si="23"/>
        <v>NA</v>
      </c>
      <c r="BJ133" s="12" t="str">
        <f t="shared" ca="1" si="24"/>
        <v>NA</v>
      </c>
      <c r="BK133" s="5"/>
      <c r="BL133" s="5"/>
      <c r="BM133" s="12" t="str">
        <f t="shared" ca="1" si="25"/>
        <v>NA</v>
      </c>
      <c r="BN133" s="12" t="str">
        <f t="shared" ca="1" si="26"/>
        <v>NA</v>
      </c>
      <c r="BO133" s="12" t="str">
        <f t="shared" ca="1" si="27"/>
        <v>NA</v>
      </c>
      <c r="BP133" s="5"/>
      <c r="BQ133" s="5"/>
      <c r="BR133" s="5"/>
      <c r="BS133" s="12" t="str">
        <f t="shared" ca="1" si="28"/>
        <v>NA</v>
      </c>
      <c r="BT133" s="12" t="str">
        <f t="shared" ca="1" si="29"/>
        <v>NA</v>
      </c>
      <c r="BU133" s="12" t="str">
        <f t="shared" ca="1" si="30"/>
        <v>NA</v>
      </c>
      <c r="BV133" s="5"/>
      <c r="BW133" s="5"/>
      <c r="BX133" s="12" t="str">
        <f t="shared" ca="1" si="31"/>
        <v>NA</v>
      </c>
      <c r="BY133" s="12" t="str">
        <f t="shared" ca="1" si="32"/>
        <v>NA</v>
      </c>
      <c r="BZ133" s="12" t="str">
        <f t="shared" ca="1" si="33"/>
        <v>NA</v>
      </c>
      <c r="CA133" s="5"/>
    </row>
    <row r="134" spans="1:79" ht="12.75" customHeight="1" x14ac:dyDescent="0.15">
      <c r="A134" s="4">
        <v>2430</v>
      </c>
      <c r="B134" s="5" t="s">
        <v>79</v>
      </c>
      <c r="C134" s="5" t="s">
        <v>79</v>
      </c>
      <c r="D134" s="6" t="s">
        <v>756</v>
      </c>
      <c r="E134" s="7">
        <v>105004</v>
      </c>
      <c r="F134" s="6" t="s">
        <v>757</v>
      </c>
      <c r="G134" s="8"/>
      <c r="H134" s="8"/>
      <c r="I134" s="8"/>
      <c r="J134" s="8"/>
      <c r="K134" s="8"/>
      <c r="L134" s="8" t="s">
        <v>82</v>
      </c>
      <c r="M134" s="7">
        <v>1125</v>
      </c>
      <c r="N134" s="7">
        <v>1124</v>
      </c>
      <c r="O134" s="13">
        <v>37977</v>
      </c>
      <c r="P134" s="10">
        <f t="shared" ca="1" si="0"/>
        <v>13.263888888888889</v>
      </c>
      <c r="Q134" s="5">
        <f t="shared" ca="1" si="1"/>
        <v>159</v>
      </c>
      <c r="R134" s="5">
        <f t="shared" ca="1" si="2"/>
        <v>4844</v>
      </c>
      <c r="S134" s="7">
        <f t="shared" ca="1" si="3"/>
        <v>2003</v>
      </c>
      <c r="T134" s="7">
        <f t="shared" ca="1" si="4"/>
        <v>12</v>
      </c>
      <c r="U134" s="7">
        <f t="shared" ca="1" si="5"/>
        <v>22</v>
      </c>
      <c r="V134" s="6" t="s">
        <v>758</v>
      </c>
      <c r="W134" s="14" t="s">
        <v>96</v>
      </c>
      <c r="X134" s="15"/>
      <c r="Y134" s="5">
        <f t="shared" ca="1" si="6"/>
        <v>2</v>
      </c>
      <c r="Z134" s="6"/>
      <c r="AA134" s="12" t="str">
        <f t="shared" ca="1" si="7"/>
        <v>NA</v>
      </c>
      <c r="AB134" s="12" t="str">
        <f t="shared" ca="1" si="8"/>
        <v>NA</v>
      </c>
      <c r="AC134" s="12" t="str">
        <f t="shared" ca="1" si="9"/>
        <v>NA</v>
      </c>
      <c r="AD134" s="6"/>
      <c r="AE134" s="5"/>
      <c r="AF134" s="6"/>
      <c r="AG134" s="11">
        <v>42821</v>
      </c>
      <c r="AH134" s="12">
        <f t="shared" ca="1" si="10"/>
        <v>2017</v>
      </c>
      <c r="AI134" s="12">
        <f t="shared" ca="1" si="11"/>
        <v>3</v>
      </c>
      <c r="AJ134" s="12">
        <f t="shared" ca="1" si="12"/>
        <v>27</v>
      </c>
      <c r="AK134" s="8" t="s">
        <v>759</v>
      </c>
      <c r="AL134" s="8"/>
      <c r="AM134" s="5"/>
      <c r="AN134" s="5"/>
      <c r="AO134" s="11">
        <v>38300</v>
      </c>
      <c r="AP134" s="12">
        <f t="shared" ca="1" si="13"/>
        <v>2004</v>
      </c>
      <c r="AQ134" s="12">
        <f t="shared" ca="1" si="14"/>
        <v>11</v>
      </c>
      <c r="AR134" s="12">
        <f t="shared" ca="1" si="15"/>
        <v>9</v>
      </c>
      <c r="AS134" s="8" t="s">
        <v>760</v>
      </c>
      <c r="AT134" s="8"/>
      <c r="AU134" s="11">
        <v>38518</v>
      </c>
      <c r="AV134" s="12">
        <f t="shared" ca="1" si="16"/>
        <v>2005</v>
      </c>
      <c r="AW134" s="12">
        <f t="shared" ca="1" si="17"/>
        <v>6</v>
      </c>
      <c r="AX134" s="12">
        <f t="shared" ca="1" si="18"/>
        <v>15</v>
      </c>
      <c r="AY134" s="8" t="s">
        <v>761</v>
      </c>
      <c r="AZ134" s="8"/>
      <c r="BA134" s="6"/>
      <c r="BB134" s="12" t="str">
        <f t="shared" ca="1" si="19"/>
        <v>NA</v>
      </c>
      <c r="BC134" s="12" t="str">
        <f t="shared" ca="1" si="20"/>
        <v>NA</v>
      </c>
      <c r="BD134" s="12" t="str">
        <f t="shared" ca="1" si="21"/>
        <v>NA</v>
      </c>
      <c r="BE134" s="5"/>
      <c r="BF134" s="5"/>
      <c r="BG134" s="5"/>
      <c r="BH134" s="12" t="str">
        <f t="shared" ca="1" si="22"/>
        <v>NA</v>
      </c>
      <c r="BI134" s="12" t="str">
        <f t="shared" ca="1" si="23"/>
        <v>NA</v>
      </c>
      <c r="BJ134" s="12" t="str">
        <f t="shared" ca="1" si="24"/>
        <v>NA</v>
      </c>
      <c r="BK134" s="5"/>
      <c r="BL134" s="5"/>
      <c r="BM134" s="12" t="str">
        <f t="shared" ca="1" si="25"/>
        <v>NA</v>
      </c>
      <c r="BN134" s="12" t="str">
        <f t="shared" ca="1" si="26"/>
        <v>NA</v>
      </c>
      <c r="BO134" s="12" t="str">
        <f t="shared" ca="1" si="27"/>
        <v>NA</v>
      </c>
      <c r="BP134" s="5"/>
      <c r="BQ134" s="5"/>
      <c r="BR134" s="5"/>
      <c r="BS134" s="12" t="str">
        <f t="shared" ca="1" si="28"/>
        <v>NA</v>
      </c>
      <c r="BT134" s="12" t="str">
        <f t="shared" ca="1" si="29"/>
        <v>NA</v>
      </c>
      <c r="BU134" s="12" t="str">
        <f t="shared" ca="1" si="30"/>
        <v>NA</v>
      </c>
      <c r="BV134" s="5"/>
      <c r="BW134" s="5"/>
      <c r="BX134" s="12" t="str">
        <f t="shared" ca="1" si="31"/>
        <v>NA</v>
      </c>
      <c r="BY134" s="12" t="str">
        <f t="shared" ca="1" si="32"/>
        <v>NA</v>
      </c>
      <c r="BZ134" s="12" t="str">
        <f t="shared" ca="1" si="33"/>
        <v>NA</v>
      </c>
      <c r="CA134" s="5"/>
    </row>
    <row r="135" spans="1:79" ht="12.75" customHeight="1" x14ac:dyDescent="0.15">
      <c r="A135" s="4">
        <v>2431</v>
      </c>
      <c r="B135" s="5" t="s">
        <v>79</v>
      </c>
      <c r="C135" s="5" t="s">
        <v>79</v>
      </c>
      <c r="D135" s="6" t="s">
        <v>762</v>
      </c>
      <c r="E135" s="6" t="s">
        <v>763</v>
      </c>
      <c r="F135" s="6" t="s">
        <v>764</v>
      </c>
      <c r="G135" s="8"/>
      <c r="H135" s="8"/>
      <c r="I135" s="8"/>
      <c r="J135" s="8"/>
      <c r="K135" s="8"/>
      <c r="L135" s="8" t="s">
        <v>82</v>
      </c>
      <c r="M135" s="7">
        <v>1125</v>
      </c>
      <c r="N135" s="7">
        <v>1124</v>
      </c>
      <c r="O135" s="13">
        <v>37977</v>
      </c>
      <c r="P135" s="10">
        <f t="shared" ca="1" si="0"/>
        <v>0</v>
      </c>
      <c r="Q135" s="5">
        <f t="shared" ca="1" si="1"/>
        <v>0</v>
      </c>
      <c r="R135" s="5">
        <f t="shared" ca="1" si="2"/>
        <v>0</v>
      </c>
      <c r="S135" s="7">
        <f t="shared" ca="1" si="3"/>
        <v>2003</v>
      </c>
      <c r="T135" s="7">
        <f t="shared" ca="1" si="4"/>
        <v>12</v>
      </c>
      <c r="U135" s="7">
        <f t="shared" ca="1" si="5"/>
        <v>22</v>
      </c>
      <c r="V135" s="6" t="s">
        <v>765</v>
      </c>
      <c r="W135" s="14" t="s">
        <v>96</v>
      </c>
      <c r="X135" s="15"/>
      <c r="Y135" s="5">
        <f t="shared" ca="1" si="6"/>
        <v>0</v>
      </c>
      <c r="Z135" s="6"/>
      <c r="AA135" s="12" t="str">
        <f t="shared" ca="1" si="7"/>
        <v>NA</v>
      </c>
      <c r="AB135" s="12" t="str">
        <f t="shared" ca="1" si="8"/>
        <v>NA</v>
      </c>
      <c r="AC135" s="12" t="str">
        <f t="shared" ca="1" si="9"/>
        <v>NA</v>
      </c>
      <c r="AD135" s="6"/>
      <c r="AE135" s="5"/>
      <c r="AF135" s="6"/>
      <c r="AG135" s="11">
        <v>37977</v>
      </c>
      <c r="AH135" s="12">
        <f t="shared" ca="1" si="10"/>
        <v>2003</v>
      </c>
      <c r="AI135" s="12">
        <f t="shared" ca="1" si="11"/>
        <v>12</v>
      </c>
      <c r="AJ135" s="12">
        <f t="shared" ca="1" si="12"/>
        <v>22</v>
      </c>
      <c r="AK135" s="8" t="s">
        <v>766</v>
      </c>
      <c r="AL135" s="8"/>
      <c r="AM135" s="5"/>
      <c r="AN135" s="5"/>
      <c r="AO135" s="5"/>
      <c r="AP135" s="12" t="str">
        <f t="shared" ca="1" si="13"/>
        <v>NA</v>
      </c>
      <c r="AQ135" s="12" t="str">
        <f t="shared" ca="1" si="14"/>
        <v>NA</v>
      </c>
      <c r="AR135" s="12" t="str">
        <f t="shared" ca="1" si="15"/>
        <v>NA</v>
      </c>
      <c r="AS135" s="5"/>
      <c r="AT135" s="5"/>
      <c r="AU135" s="5"/>
      <c r="AV135" s="12" t="str">
        <f t="shared" ca="1" si="16"/>
        <v>NA</v>
      </c>
      <c r="AW135" s="12" t="str">
        <f t="shared" ca="1" si="17"/>
        <v>NA</v>
      </c>
      <c r="AX135" s="12" t="str">
        <f t="shared" ca="1" si="18"/>
        <v>NA</v>
      </c>
      <c r="AY135" s="5"/>
      <c r="AZ135" s="5"/>
      <c r="BA135" s="6"/>
      <c r="BB135" s="12" t="str">
        <f t="shared" ca="1" si="19"/>
        <v>NA</v>
      </c>
      <c r="BC135" s="12" t="str">
        <f t="shared" ca="1" si="20"/>
        <v>NA</v>
      </c>
      <c r="BD135" s="12" t="str">
        <f t="shared" ca="1" si="21"/>
        <v>NA</v>
      </c>
      <c r="BE135" s="5"/>
      <c r="BF135" s="5"/>
      <c r="BG135" s="5"/>
      <c r="BH135" s="12" t="str">
        <f t="shared" ca="1" si="22"/>
        <v>NA</v>
      </c>
      <c r="BI135" s="12" t="str">
        <f t="shared" ca="1" si="23"/>
        <v>NA</v>
      </c>
      <c r="BJ135" s="12" t="str">
        <f t="shared" ca="1" si="24"/>
        <v>NA</v>
      </c>
      <c r="BK135" s="5"/>
      <c r="BL135" s="5"/>
      <c r="BM135" s="12" t="str">
        <f t="shared" ca="1" si="25"/>
        <v>NA</v>
      </c>
      <c r="BN135" s="12" t="str">
        <f t="shared" ca="1" si="26"/>
        <v>NA</v>
      </c>
      <c r="BO135" s="12" t="str">
        <f t="shared" ca="1" si="27"/>
        <v>NA</v>
      </c>
      <c r="BP135" s="5"/>
      <c r="BQ135" s="5"/>
      <c r="BR135" s="5"/>
      <c r="BS135" s="12" t="str">
        <f t="shared" ca="1" si="28"/>
        <v>NA</v>
      </c>
      <c r="BT135" s="12" t="str">
        <f t="shared" ca="1" si="29"/>
        <v>NA</v>
      </c>
      <c r="BU135" s="12" t="str">
        <f t="shared" ca="1" si="30"/>
        <v>NA</v>
      </c>
      <c r="BV135" s="5"/>
      <c r="BW135" s="5"/>
      <c r="BX135" s="12" t="str">
        <f t="shared" ca="1" si="31"/>
        <v>NA</v>
      </c>
      <c r="BY135" s="12" t="str">
        <f t="shared" ca="1" si="32"/>
        <v>NA</v>
      </c>
      <c r="BZ135" s="12" t="str">
        <f t="shared" ca="1" si="33"/>
        <v>NA</v>
      </c>
      <c r="CA135" s="5"/>
    </row>
    <row r="136" spans="1:79" ht="12.75" customHeight="1" x14ac:dyDescent="0.15">
      <c r="A136" s="4">
        <v>2432</v>
      </c>
      <c r="B136" s="5" t="s">
        <v>79</v>
      </c>
      <c r="C136" s="5" t="s">
        <v>79</v>
      </c>
      <c r="D136" s="6" t="s">
        <v>767</v>
      </c>
      <c r="E136" s="7">
        <v>2912</v>
      </c>
      <c r="F136" s="6" t="s">
        <v>768</v>
      </c>
      <c r="G136" s="8"/>
      <c r="H136" s="8"/>
      <c r="I136" s="8"/>
      <c r="J136" s="8"/>
      <c r="K136" s="8"/>
      <c r="L136" s="8" t="s">
        <v>82</v>
      </c>
      <c r="M136" s="7">
        <v>1012</v>
      </c>
      <c r="N136" s="7">
        <v>1044</v>
      </c>
      <c r="O136" s="13">
        <v>35180</v>
      </c>
      <c r="P136" s="10">
        <f t="shared" ca="1" si="0"/>
        <v>1.3888888888888888E-2</v>
      </c>
      <c r="Q136" s="5">
        <f t="shared" ca="1" si="1"/>
        <v>0</v>
      </c>
      <c r="R136" s="5">
        <f t="shared" ca="1" si="2"/>
        <v>5</v>
      </c>
      <c r="S136" s="7">
        <f t="shared" ca="1" si="3"/>
        <v>1996</v>
      </c>
      <c r="T136" s="7">
        <f t="shared" ca="1" si="4"/>
        <v>4</v>
      </c>
      <c r="U136" s="7">
        <f t="shared" ca="1" si="5"/>
        <v>25</v>
      </c>
      <c r="V136" s="6" t="s">
        <v>769</v>
      </c>
      <c r="W136" s="14" t="s">
        <v>96</v>
      </c>
      <c r="X136" s="15"/>
      <c r="Y136" s="5">
        <f t="shared" ca="1" si="6"/>
        <v>0</v>
      </c>
      <c r="Z136" s="6"/>
      <c r="AA136" s="12" t="str">
        <f t="shared" ca="1" si="7"/>
        <v>NA</v>
      </c>
      <c r="AB136" s="12" t="str">
        <f t="shared" ca="1" si="8"/>
        <v>NA</v>
      </c>
      <c r="AC136" s="12" t="str">
        <f t="shared" ca="1" si="9"/>
        <v>NA</v>
      </c>
      <c r="AD136" s="6"/>
      <c r="AE136" s="5"/>
      <c r="AF136" s="6"/>
      <c r="AG136" s="11">
        <v>35185</v>
      </c>
      <c r="AH136" s="12">
        <f t="shared" ca="1" si="10"/>
        <v>1996</v>
      </c>
      <c r="AI136" s="12">
        <f t="shared" ca="1" si="11"/>
        <v>4</v>
      </c>
      <c r="AJ136" s="12">
        <f t="shared" ca="1" si="12"/>
        <v>30</v>
      </c>
      <c r="AK136" s="8" t="s">
        <v>770</v>
      </c>
      <c r="AL136" s="8"/>
      <c r="AM136" s="5"/>
      <c r="AN136" s="5"/>
      <c r="AO136" s="5"/>
      <c r="AP136" s="12" t="str">
        <f t="shared" ca="1" si="13"/>
        <v>NA</v>
      </c>
      <c r="AQ136" s="12" t="str">
        <f t="shared" ca="1" si="14"/>
        <v>NA</v>
      </c>
      <c r="AR136" s="12" t="str">
        <f t="shared" ca="1" si="15"/>
        <v>NA</v>
      </c>
      <c r="AS136" s="5"/>
      <c r="AT136" s="5"/>
      <c r="AU136" s="5"/>
      <c r="AV136" s="12" t="str">
        <f t="shared" ca="1" si="16"/>
        <v>NA</v>
      </c>
      <c r="AW136" s="12" t="str">
        <f t="shared" ca="1" si="17"/>
        <v>NA</v>
      </c>
      <c r="AX136" s="12" t="str">
        <f t="shared" ca="1" si="18"/>
        <v>NA</v>
      </c>
      <c r="AY136" s="5"/>
      <c r="AZ136" s="5"/>
      <c r="BA136" s="6"/>
      <c r="BB136" s="12" t="str">
        <f t="shared" ca="1" si="19"/>
        <v>NA</v>
      </c>
      <c r="BC136" s="12" t="str">
        <f t="shared" ca="1" si="20"/>
        <v>NA</v>
      </c>
      <c r="BD136" s="12" t="str">
        <f t="shared" ca="1" si="21"/>
        <v>NA</v>
      </c>
      <c r="BE136" s="5"/>
      <c r="BF136" s="5"/>
      <c r="BG136" s="5"/>
      <c r="BH136" s="12" t="str">
        <f t="shared" ca="1" si="22"/>
        <v>NA</v>
      </c>
      <c r="BI136" s="12" t="str">
        <f t="shared" ca="1" si="23"/>
        <v>NA</v>
      </c>
      <c r="BJ136" s="12" t="str">
        <f t="shared" ca="1" si="24"/>
        <v>NA</v>
      </c>
      <c r="BK136" s="5"/>
      <c r="BL136" s="5"/>
      <c r="BM136" s="12" t="str">
        <f t="shared" ca="1" si="25"/>
        <v>NA</v>
      </c>
      <c r="BN136" s="12" t="str">
        <f t="shared" ca="1" si="26"/>
        <v>NA</v>
      </c>
      <c r="BO136" s="12" t="str">
        <f t="shared" ca="1" si="27"/>
        <v>NA</v>
      </c>
      <c r="BP136" s="5"/>
      <c r="BQ136" s="5"/>
      <c r="BR136" s="5"/>
      <c r="BS136" s="12" t="str">
        <f t="shared" ca="1" si="28"/>
        <v>NA</v>
      </c>
      <c r="BT136" s="12" t="str">
        <f t="shared" ca="1" si="29"/>
        <v>NA</v>
      </c>
      <c r="BU136" s="12" t="str">
        <f t="shared" ca="1" si="30"/>
        <v>NA</v>
      </c>
      <c r="BV136" s="5"/>
      <c r="BW136" s="5"/>
      <c r="BX136" s="12" t="str">
        <f t="shared" ca="1" si="31"/>
        <v>NA</v>
      </c>
      <c r="BY136" s="12" t="str">
        <f t="shared" ca="1" si="32"/>
        <v>NA</v>
      </c>
      <c r="BZ136" s="12" t="str">
        <f t="shared" ca="1" si="33"/>
        <v>NA</v>
      </c>
      <c r="CA136" s="5"/>
    </row>
    <row r="137" spans="1:79" ht="12.75" customHeight="1" x14ac:dyDescent="0.15">
      <c r="A137" s="4">
        <v>2433</v>
      </c>
      <c r="B137" s="5" t="s">
        <v>79</v>
      </c>
      <c r="C137" s="5" t="s">
        <v>79</v>
      </c>
      <c r="D137" s="6" t="s">
        <v>771</v>
      </c>
      <c r="E137" s="7">
        <v>11810</v>
      </c>
      <c r="F137" s="6" t="s">
        <v>772</v>
      </c>
      <c r="G137" s="8"/>
      <c r="H137" s="8"/>
      <c r="I137" s="8"/>
      <c r="J137" s="8"/>
      <c r="K137" s="8"/>
      <c r="L137" s="8" t="s">
        <v>82</v>
      </c>
      <c r="M137" s="7">
        <v>1056</v>
      </c>
      <c r="N137" s="7">
        <v>1079</v>
      </c>
      <c r="O137" s="13">
        <v>36741</v>
      </c>
      <c r="P137" s="10">
        <f t="shared" ca="1" si="0"/>
        <v>0</v>
      </c>
      <c r="Q137" s="5">
        <f t="shared" ca="1" si="1"/>
        <v>0</v>
      </c>
      <c r="R137" s="5">
        <f t="shared" ca="1" si="2"/>
        <v>0</v>
      </c>
      <c r="S137" s="7">
        <f t="shared" ca="1" si="3"/>
        <v>2000</v>
      </c>
      <c r="T137" s="7">
        <f t="shared" ca="1" si="4"/>
        <v>8</v>
      </c>
      <c r="U137" s="7">
        <f t="shared" ca="1" si="5"/>
        <v>3</v>
      </c>
      <c r="V137" s="6" t="s">
        <v>773</v>
      </c>
      <c r="W137" s="14" t="s">
        <v>96</v>
      </c>
      <c r="X137" s="15"/>
      <c r="Y137" s="5">
        <f t="shared" ca="1" si="6"/>
        <v>0</v>
      </c>
      <c r="Z137" s="6"/>
      <c r="AA137" s="12" t="str">
        <f t="shared" ca="1" si="7"/>
        <v>NA</v>
      </c>
      <c r="AB137" s="12" t="str">
        <f t="shared" ca="1" si="8"/>
        <v>NA</v>
      </c>
      <c r="AC137" s="12" t="str">
        <f t="shared" ca="1" si="9"/>
        <v>NA</v>
      </c>
      <c r="AD137" s="6"/>
      <c r="AE137" s="5"/>
      <c r="AF137" s="6"/>
      <c r="AG137" s="11">
        <v>36741</v>
      </c>
      <c r="AH137" s="12">
        <f t="shared" ca="1" si="10"/>
        <v>2000</v>
      </c>
      <c r="AI137" s="12">
        <f t="shared" ca="1" si="11"/>
        <v>8</v>
      </c>
      <c r="AJ137" s="12">
        <f t="shared" ca="1" si="12"/>
        <v>3</v>
      </c>
      <c r="AK137" s="8" t="s">
        <v>774</v>
      </c>
      <c r="AL137" s="8"/>
      <c r="AM137" s="5"/>
      <c r="AN137" s="5"/>
      <c r="AO137" s="5"/>
      <c r="AP137" s="12" t="str">
        <f t="shared" ca="1" si="13"/>
        <v>NA</v>
      </c>
      <c r="AQ137" s="12" t="str">
        <f t="shared" ca="1" si="14"/>
        <v>NA</v>
      </c>
      <c r="AR137" s="12" t="str">
        <f t="shared" ca="1" si="15"/>
        <v>NA</v>
      </c>
      <c r="AS137" s="5"/>
      <c r="AT137" s="5"/>
      <c r="AU137" s="5"/>
      <c r="AV137" s="12" t="str">
        <f t="shared" ca="1" si="16"/>
        <v>NA</v>
      </c>
      <c r="AW137" s="12" t="str">
        <f t="shared" ca="1" si="17"/>
        <v>NA</v>
      </c>
      <c r="AX137" s="12" t="str">
        <f t="shared" ca="1" si="18"/>
        <v>NA</v>
      </c>
      <c r="AY137" s="5"/>
      <c r="AZ137" s="5"/>
      <c r="BA137" s="6"/>
      <c r="BB137" s="12" t="str">
        <f t="shared" ca="1" si="19"/>
        <v>NA</v>
      </c>
      <c r="BC137" s="12" t="str">
        <f t="shared" ca="1" si="20"/>
        <v>NA</v>
      </c>
      <c r="BD137" s="12" t="str">
        <f t="shared" ca="1" si="21"/>
        <v>NA</v>
      </c>
      <c r="BE137" s="5"/>
      <c r="BF137" s="5"/>
      <c r="BG137" s="5"/>
      <c r="BH137" s="12" t="str">
        <f t="shared" ca="1" si="22"/>
        <v>NA</v>
      </c>
      <c r="BI137" s="12" t="str">
        <f t="shared" ca="1" si="23"/>
        <v>NA</v>
      </c>
      <c r="BJ137" s="12" t="str">
        <f t="shared" ca="1" si="24"/>
        <v>NA</v>
      </c>
      <c r="BK137" s="5"/>
      <c r="BL137" s="5"/>
      <c r="BM137" s="12" t="str">
        <f t="shared" ca="1" si="25"/>
        <v>NA</v>
      </c>
      <c r="BN137" s="12" t="str">
        <f t="shared" ca="1" si="26"/>
        <v>NA</v>
      </c>
      <c r="BO137" s="12" t="str">
        <f t="shared" ca="1" si="27"/>
        <v>NA</v>
      </c>
      <c r="BP137" s="5"/>
      <c r="BQ137" s="5"/>
      <c r="BR137" s="5"/>
      <c r="BS137" s="12" t="str">
        <f t="shared" ca="1" si="28"/>
        <v>NA</v>
      </c>
      <c r="BT137" s="12" t="str">
        <f t="shared" ca="1" si="29"/>
        <v>NA</v>
      </c>
      <c r="BU137" s="12" t="str">
        <f t="shared" ca="1" si="30"/>
        <v>NA</v>
      </c>
      <c r="BV137" s="5"/>
      <c r="BW137" s="5"/>
      <c r="BX137" s="12" t="str">
        <f t="shared" ca="1" si="31"/>
        <v>NA</v>
      </c>
      <c r="BY137" s="12" t="str">
        <f t="shared" ca="1" si="32"/>
        <v>NA</v>
      </c>
      <c r="BZ137" s="12" t="str">
        <f t="shared" ca="1" si="33"/>
        <v>NA</v>
      </c>
      <c r="CA137" s="5"/>
    </row>
    <row r="138" spans="1:79" ht="12.75" customHeight="1" x14ac:dyDescent="0.15">
      <c r="A138" s="4">
        <v>2434</v>
      </c>
      <c r="B138" s="5" t="s">
        <v>79</v>
      </c>
      <c r="C138" s="5" t="s">
        <v>79</v>
      </c>
      <c r="D138" s="6" t="s">
        <v>775</v>
      </c>
      <c r="E138" s="7">
        <v>200382</v>
      </c>
      <c r="F138" s="6" t="s">
        <v>776</v>
      </c>
      <c r="G138" s="8"/>
      <c r="H138" s="8"/>
      <c r="I138" s="8"/>
      <c r="J138" s="8"/>
      <c r="K138" s="8"/>
      <c r="L138" s="8" t="s">
        <v>82</v>
      </c>
      <c r="M138" s="7">
        <v>1102</v>
      </c>
      <c r="N138" s="7">
        <v>1127</v>
      </c>
      <c r="O138" s="13">
        <v>36967</v>
      </c>
      <c r="P138" s="10">
        <f t="shared" ca="1" si="0"/>
        <v>0</v>
      </c>
      <c r="Q138" s="5">
        <f t="shared" ca="1" si="1"/>
        <v>0</v>
      </c>
      <c r="R138" s="5">
        <f t="shared" ca="1" si="2"/>
        <v>0</v>
      </c>
      <c r="S138" s="7">
        <f t="shared" ca="1" si="3"/>
        <v>2001</v>
      </c>
      <c r="T138" s="7">
        <f t="shared" ca="1" si="4"/>
        <v>3</v>
      </c>
      <c r="U138" s="7">
        <f t="shared" ca="1" si="5"/>
        <v>17</v>
      </c>
      <c r="V138" s="6" t="s">
        <v>777</v>
      </c>
      <c r="W138" s="14" t="s">
        <v>96</v>
      </c>
      <c r="X138" s="15"/>
      <c r="Y138" s="5">
        <f t="shared" ca="1" si="6"/>
        <v>0</v>
      </c>
      <c r="Z138" s="6"/>
      <c r="AA138" s="12" t="str">
        <f t="shared" ca="1" si="7"/>
        <v>NA</v>
      </c>
      <c r="AB138" s="12" t="str">
        <f t="shared" ca="1" si="8"/>
        <v>NA</v>
      </c>
      <c r="AC138" s="12" t="str">
        <f t="shared" ca="1" si="9"/>
        <v>NA</v>
      </c>
      <c r="AD138" s="6"/>
      <c r="AE138" s="5"/>
      <c r="AF138" s="6"/>
      <c r="AG138" s="11">
        <v>36967</v>
      </c>
      <c r="AH138" s="12">
        <f t="shared" ca="1" si="10"/>
        <v>2001</v>
      </c>
      <c r="AI138" s="12">
        <f t="shared" ca="1" si="11"/>
        <v>3</v>
      </c>
      <c r="AJ138" s="12">
        <f t="shared" ca="1" si="12"/>
        <v>17</v>
      </c>
      <c r="AK138" s="8" t="s">
        <v>778</v>
      </c>
      <c r="AL138" s="8"/>
      <c r="AM138" s="5"/>
      <c r="AN138" s="5"/>
      <c r="AO138" s="5"/>
      <c r="AP138" s="12" t="str">
        <f t="shared" ca="1" si="13"/>
        <v>NA</v>
      </c>
      <c r="AQ138" s="12" t="str">
        <f t="shared" ca="1" si="14"/>
        <v>NA</v>
      </c>
      <c r="AR138" s="12" t="str">
        <f t="shared" ca="1" si="15"/>
        <v>NA</v>
      </c>
      <c r="AS138" s="5"/>
      <c r="AT138" s="5"/>
      <c r="AU138" s="5"/>
      <c r="AV138" s="12" t="str">
        <f t="shared" ca="1" si="16"/>
        <v>NA</v>
      </c>
      <c r="AW138" s="12" t="str">
        <f t="shared" ca="1" si="17"/>
        <v>NA</v>
      </c>
      <c r="AX138" s="12" t="str">
        <f t="shared" ca="1" si="18"/>
        <v>NA</v>
      </c>
      <c r="AY138" s="5"/>
      <c r="AZ138" s="5"/>
      <c r="BA138" s="6"/>
      <c r="BB138" s="12" t="str">
        <f t="shared" ca="1" si="19"/>
        <v>NA</v>
      </c>
      <c r="BC138" s="12" t="str">
        <f t="shared" ca="1" si="20"/>
        <v>NA</v>
      </c>
      <c r="BD138" s="12" t="str">
        <f t="shared" ca="1" si="21"/>
        <v>NA</v>
      </c>
      <c r="BE138" s="5"/>
      <c r="BF138" s="5"/>
      <c r="BG138" s="5"/>
      <c r="BH138" s="12" t="str">
        <f t="shared" ca="1" si="22"/>
        <v>NA</v>
      </c>
      <c r="BI138" s="12" t="str">
        <f t="shared" ca="1" si="23"/>
        <v>NA</v>
      </c>
      <c r="BJ138" s="12" t="str">
        <f t="shared" ca="1" si="24"/>
        <v>NA</v>
      </c>
      <c r="BK138" s="5"/>
      <c r="BL138" s="5"/>
      <c r="BM138" s="12" t="str">
        <f t="shared" ca="1" si="25"/>
        <v>NA</v>
      </c>
      <c r="BN138" s="12" t="str">
        <f t="shared" ca="1" si="26"/>
        <v>NA</v>
      </c>
      <c r="BO138" s="12" t="str">
        <f t="shared" ca="1" si="27"/>
        <v>NA</v>
      </c>
      <c r="BP138" s="5"/>
      <c r="BQ138" s="5"/>
      <c r="BR138" s="5"/>
      <c r="BS138" s="12" t="str">
        <f t="shared" ca="1" si="28"/>
        <v>NA</v>
      </c>
      <c r="BT138" s="12" t="str">
        <f t="shared" ca="1" si="29"/>
        <v>NA</v>
      </c>
      <c r="BU138" s="12" t="str">
        <f t="shared" ca="1" si="30"/>
        <v>NA</v>
      </c>
      <c r="BV138" s="5"/>
      <c r="BW138" s="5"/>
      <c r="BX138" s="12" t="str">
        <f t="shared" ca="1" si="31"/>
        <v>NA</v>
      </c>
      <c r="BY138" s="12" t="str">
        <f t="shared" ca="1" si="32"/>
        <v>NA</v>
      </c>
      <c r="BZ138" s="12" t="str">
        <f t="shared" ca="1" si="33"/>
        <v>NA</v>
      </c>
      <c r="CA138" s="5"/>
    </row>
    <row r="139" spans="1:79" ht="12.75" customHeight="1" x14ac:dyDescent="0.15">
      <c r="A139" s="4">
        <v>2435</v>
      </c>
      <c r="B139" s="5" t="s">
        <v>79</v>
      </c>
      <c r="C139" s="5" t="s">
        <v>79</v>
      </c>
      <c r="D139" s="6" t="s">
        <v>779</v>
      </c>
      <c r="E139" s="7">
        <v>518029</v>
      </c>
      <c r="F139" s="6" t="s">
        <v>780</v>
      </c>
      <c r="G139" s="8"/>
      <c r="H139" s="8"/>
      <c r="I139" s="8"/>
      <c r="J139" s="8"/>
      <c r="K139" s="8"/>
      <c r="L139" s="8" t="s">
        <v>82</v>
      </c>
      <c r="M139" s="7">
        <v>2208</v>
      </c>
      <c r="N139" s="7">
        <v>1126</v>
      </c>
      <c r="O139" s="13">
        <v>38209</v>
      </c>
      <c r="P139" s="10">
        <f t="shared" ca="1" si="0"/>
        <v>16.719444444444445</v>
      </c>
      <c r="Q139" s="5">
        <f t="shared" ca="1" si="1"/>
        <v>200</v>
      </c>
      <c r="R139" s="5">
        <f t="shared" ca="1" si="2"/>
        <v>6106</v>
      </c>
      <c r="S139" s="7">
        <f t="shared" ca="1" si="3"/>
        <v>2004</v>
      </c>
      <c r="T139" s="7">
        <f t="shared" ca="1" si="4"/>
        <v>8</v>
      </c>
      <c r="U139" s="7">
        <f t="shared" ca="1" si="5"/>
        <v>10</v>
      </c>
      <c r="V139" s="6" t="s">
        <v>781</v>
      </c>
      <c r="W139" s="14" t="s">
        <v>96</v>
      </c>
      <c r="X139" s="15"/>
      <c r="Y139" s="5">
        <f t="shared" ca="1" si="6"/>
        <v>4</v>
      </c>
      <c r="Z139" s="6"/>
      <c r="AA139" s="12" t="str">
        <f t="shared" ca="1" si="7"/>
        <v>NA</v>
      </c>
      <c r="AB139" s="12" t="str">
        <f t="shared" ca="1" si="8"/>
        <v>NA</v>
      </c>
      <c r="AC139" s="12" t="str">
        <f t="shared" ca="1" si="9"/>
        <v>NA</v>
      </c>
      <c r="AD139" s="6"/>
      <c r="AE139" s="5"/>
      <c r="AF139" s="6"/>
      <c r="AG139" s="11">
        <v>44315</v>
      </c>
      <c r="AH139" s="12">
        <f t="shared" ca="1" si="10"/>
        <v>2021</v>
      </c>
      <c r="AI139" s="12">
        <f t="shared" ca="1" si="11"/>
        <v>4</v>
      </c>
      <c r="AJ139" s="12">
        <f t="shared" ca="1" si="12"/>
        <v>29</v>
      </c>
      <c r="AK139" s="8" t="s">
        <v>782</v>
      </c>
      <c r="AL139" s="8"/>
      <c r="AM139" s="5"/>
      <c r="AN139" s="5"/>
      <c r="AO139" s="11">
        <v>38980</v>
      </c>
      <c r="AP139" s="12">
        <f t="shared" ca="1" si="13"/>
        <v>2006</v>
      </c>
      <c r="AQ139" s="12">
        <f t="shared" ca="1" si="14"/>
        <v>9</v>
      </c>
      <c r="AR139" s="12">
        <f t="shared" ca="1" si="15"/>
        <v>20</v>
      </c>
      <c r="AS139" s="8" t="s">
        <v>783</v>
      </c>
      <c r="AT139" s="8"/>
      <c r="AU139" s="11">
        <v>41575</v>
      </c>
      <c r="AV139" s="12">
        <f t="shared" ca="1" si="16"/>
        <v>2013</v>
      </c>
      <c r="AW139" s="12">
        <f t="shared" ca="1" si="17"/>
        <v>10</v>
      </c>
      <c r="AX139" s="12">
        <f t="shared" ca="1" si="18"/>
        <v>28</v>
      </c>
      <c r="AY139" s="8" t="s">
        <v>784</v>
      </c>
      <c r="AZ139" s="8"/>
      <c r="BA139" s="11">
        <v>42495</v>
      </c>
      <c r="BB139" s="12">
        <f t="shared" ca="1" si="19"/>
        <v>2016</v>
      </c>
      <c r="BC139" s="12">
        <f t="shared" ca="1" si="20"/>
        <v>5</v>
      </c>
      <c r="BD139" s="12">
        <f t="shared" ca="1" si="21"/>
        <v>5</v>
      </c>
      <c r="BE139" s="8" t="s">
        <v>785</v>
      </c>
      <c r="BF139" s="8"/>
      <c r="BG139" s="11">
        <v>43209</v>
      </c>
      <c r="BH139" s="12">
        <f t="shared" ca="1" si="22"/>
        <v>2018</v>
      </c>
      <c r="BI139" s="12">
        <f t="shared" ca="1" si="23"/>
        <v>4</v>
      </c>
      <c r="BJ139" s="12">
        <f t="shared" ca="1" si="24"/>
        <v>19</v>
      </c>
      <c r="BK139" s="8" t="s">
        <v>786</v>
      </c>
      <c r="BL139" s="5"/>
      <c r="BM139" s="12" t="str">
        <f t="shared" ca="1" si="25"/>
        <v>NA</v>
      </c>
      <c r="BN139" s="12" t="str">
        <f t="shared" ca="1" si="26"/>
        <v>NA</v>
      </c>
      <c r="BO139" s="12" t="str">
        <f t="shared" ca="1" si="27"/>
        <v>NA</v>
      </c>
      <c r="BP139" s="5"/>
      <c r="BQ139" s="5"/>
      <c r="BR139" s="5"/>
      <c r="BS139" s="12" t="str">
        <f t="shared" ca="1" si="28"/>
        <v>NA</v>
      </c>
      <c r="BT139" s="12" t="str">
        <f t="shared" ca="1" si="29"/>
        <v>NA</v>
      </c>
      <c r="BU139" s="12" t="str">
        <f t="shared" ca="1" si="30"/>
        <v>NA</v>
      </c>
      <c r="BV139" s="5"/>
      <c r="BW139" s="5"/>
      <c r="BX139" s="12" t="str">
        <f t="shared" ca="1" si="31"/>
        <v>NA</v>
      </c>
      <c r="BY139" s="12" t="str">
        <f t="shared" ca="1" si="32"/>
        <v>NA</v>
      </c>
      <c r="BZ139" s="12" t="str">
        <f t="shared" ca="1" si="33"/>
        <v>NA</v>
      </c>
      <c r="CA139" s="5"/>
    </row>
    <row r="140" spans="1:79" ht="12.75" customHeight="1" x14ac:dyDescent="0.15">
      <c r="A140" s="4">
        <v>2436</v>
      </c>
      <c r="B140" s="5" t="s">
        <v>79</v>
      </c>
      <c r="C140" s="5" t="s">
        <v>79</v>
      </c>
      <c r="D140" s="6" t="s">
        <v>787</v>
      </c>
      <c r="E140" s="7">
        <v>37010</v>
      </c>
      <c r="F140" s="6" t="s">
        <v>788</v>
      </c>
      <c r="G140" s="8"/>
      <c r="H140" s="8"/>
      <c r="I140" s="8"/>
      <c r="J140" s="8"/>
      <c r="K140" s="8"/>
      <c r="L140" s="8" t="s">
        <v>82</v>
      </c>
      <c r="M140" s="7">
        <v>2208</v>
      </c>
      <c r="N140" s="7">
        <v>1126</v>
      </c>
      <c r="O140" s="13">
        <v>38209</v>
      </c>
      <c r="P140" s="10">
        <f t="shared" ca="1" si="0"/>
        <v>14.338888888888889</v>
      </c>
      <c r="Q140" s="5">
        <f t="shared" ca="1" si="1"/>
        <v>172</v>
      </c>
      <c r="R140" s="5">
        <f t="shared" ca="1" si="2"/>
        <v>5237</v>
      </c>
      <c r="S140" s="7">
        <f t="shared" ca="1" si="3"/>
        <v>2004</v>
      </c>
      <c r="T140" s="7">
        <f t="shared" ca="1" si="4"/>
        <v>8</v>
      </c>
      <c r="U140" s="7">
        <f t="shared" ca="1" si="5"/>
        <v>10</v>
      </c>
      <c r="V140" s="6" t="s">
        <v>789</v>
      </c>
      <c r="W140" s="14" t="s">
        <v>96</v>
      </c>
      <c r="X140" s="15"/>
      <c r="Y140" s="5">
        <f t="shared" ca="1" si="6"/>
        <v>3</v>
      </c>
      <c r="Z140" s="6"/>
      <c r="AA140" s="12" t="str">
        <f t="shared" ca="1" si="7"/>
        <v>NA</v>
      </c>
      <c r="AB140" s="12" t="str">
        <f t="shared" ca="1" si="8"/>
        <v>NA</v>
      </c>
      <c r="AC140" s="12" t="str">
        <f t="shared" ca="1" si="9"/>
        <v>NA</v>
      </c>
      <c r="AD140" s="6"/>
      <c r="AE140" s="5"/>
      <c r="AF140" s="6"/>
      <c r="AG140" s="11">
        <v>43446</v>
      </c>
      <c r="AH140" s="12">
        <f t="shared" ca="1" si="10"/>
        <v>2018</v>
      </c>
      <c r="AI140" s="12">
        <f t="shared" ca="1" si="11"/>
        <v>12</v>
      </c>
      <c r="AJ140" s="12">
        <f t="shared" ca="1" si="12"/>
        <v>12</v>
      </c>
      <c r="AK140" s="8" t="s">
        <v>790</v>
      </c>
      <c r="AL140" s="8"/>
      <c r="AM140" s="5"/>
      <c r="AN140" s="5"/>
      <c r="AO140" s="11">
        <v>38980</v>
      </c>
      <c r="AP140" s="12">
        <f t="shared" ca="1" si="13"/>
        <v>2006</v>
      </c>
      <c r="AQ140" s="12">
        <f t="shared" ca="1" si="14"/>
        <v>9</v>
      </c>
      <c r="AR140" s="12">
        <f t="shared" ca="1" si="15"/>
        <v>20</v>
      </c>
      <c r="AS140" s="8" t="s">
        <v>791</v>
      </c>
      <c r="AT140" s="8"/>
      <c r="AU140" s="11">
        <v>42241</v>
      </c>
      <c r="AV140" s="12">
        <f t="shared" ca="1" si="16"/>
        <v>2015</v>
      </c>
      <c r="AW140" s="12">
        <f t="shared" ca="1" si="17"/>
        <v>8</v>
      </c>
      <c r="AX140" s="12">
        <f t="shared" ca="1" si="18"/>
        <v>25</v>
      </c>
      <c r="AY140" s="8" t="s">
        <v>792</v>
      </c>
      <c r="AZ140" s="8"/>
      <c r="BA140" s="11">
        <v>42956</v>
      </c>
      <c r="BB140" s="12">
        <f t="shared" ca="1" si="19"/>
        <v>2017</v>
      </c>
      <c r="BC140" s="12">
        <f t="shared" ca="1" si="20"/>
        <v>8</v>
      </c>
      <c r="BD140" s="12">
        <f t="shared" ca="1" si="21"/>
        <v>9</v>
      </c>
      <c r="BE140" s="8" t="s">
        <v>793</v>
      </c>
      <c r="BF140" s="8"/>
      <c r="BG140" s="5"/>
      <c r="BH140" s="12" t="str">
        <f t="shared" ca="1" si="22"/>
        <v>NA</v>
      </c>
      <c r="BI140" s="12" t="str">
        <f t="shared" ca="1" si="23"/>
        <v>NA</v>
      </c>
      <c r="BJ140" s="12" t="str">
        <f t="shared" ca="1" si="24"/>
        <v>NA</v>
      </c>
      <c r="BK140" s="5"/>
      <c r="BL140" s="5"/>
      <c r="BM140" s="12" t="str">
        <f t="shared" ca="1" si="25"/>
        <v>NA</v>
      </c>
      <c r="BN140" s="12" t="str">
        <f t="shared" ca="1" si="26"/>
        <v>NA</v>
      </c>
      <c r="BO140" s="12" t="str">
        <f t="shared" ca="1" si="27"/>
        <v>NA</v>
      </c>
      <c r="BP140" s="5"/>
      <c r="BQ140" s="5"/>
      <c r="BR140" s="5"/>
      <c r="BS140" s="12" t="str">
        <f t="shared" ca="1" si="28"/>
        <v>NA</v>
      </c>
      <c r="BT140" s="12" t="str">
        <f t="shared" ca="1" si="29"/>
        <v>NA</v>
      </c>
      <c r="BU140" s="12" t="str">
        <f t="shared" ca="1" si="30"/>
        <v>NA</v>
      </c>
      <c r="BV140" s="5"/>
      <c r="BW140" s="5"/>
      <c r="BX140" s="12" t="str">
        <f t="shared" ca="1" si="31"/>
        <v>NA</v>
      </c>
      <c r="BY140" s="12" t="str">
        <f t="shared" ca="1" si="32"/>
        <v>NA</v>
      </c>
      <c r="BZ140" s="12" t="str">
        <f t="shared" ca="1" si="33"/>
        <v>NA</v>
      </c>
      <c r="CA140" s="5"/>
    </row>
    <row r="141" spans="1:79" ht="12.75" customHeight="1" x14ac:dyDescent="0.15">
      <c r="A141" s="4">
        <v>2437</v>
      </c>
      <c r="B141" s="5" t="s">
        <v>79</v>
      </c>
      <c r="C141" s="5" t="s">
        <v>79</v>
      </c>
      <c r="D141" s="6" t="s">
        <v>794</v>
      </c>
      <c r="E141" s="6" t="s">
        <v>795</v>
      </c>
      <c r="F141" s="6" t="s">
        <v>796</v>
      </c>
      <c r="G141" s="8"/>
      <c r="H141" s="8"/>
      <c r="I141" s="8"/>
      <c r="J141" s="8"/>
      <c r="K141" s="8"/>
      <c r="L141" s="8" t="s">
        <v>82</v>
      </c>
      <c r="M141" s="7">
        <v>1125</v>
      </c>
      <c r="N141" s="7">
        <v>1124</v>
      </c>
      <c r="O141" s="13">
        <v>38210</v>
      </c>
      <c r="P141" s="10">
        <f t="shared" ca="1" si="0"/>
        <v>8.3333333333333332E-3</v>
      </c>
      <c r="Q141" s="5">
        <f t="shared" ca="1" si="1"/>
        <v>0</v>
      </c>
      <c r="R141" s="5">
        <f t="shared" ca="1" si="2"/>
        <v>3</v>
      </c>
      <c r="S141" s="7">
        <f t="shared" ca="1" si="3"/>
        <v>2004</v>
      </c>
      <c r="T141" s="7">
        <f t="shared" ca="1" si="4"/>
        <v>8</v>
      </c>
      <c r="U141" s="7">
        <f t="shared" ca="1" si="5"/>
        <v>11</v>
      </c>
      <c r="V141" s="6" t="s">
        <v>797</v>
      </c>
      <c r="W141" s="14" t="s">
        <v>96</v>
      </c>
      <c r="X141" s="15"/>
      <c r="Y141" s="5">
        <f t="shared" ca="1" si="6"/>
        <v>0</v>
      </c>
      <c r="Z141" s="6"/>
      <c r="AA141" s="12" t="str">
        <f t="shared" ca="1" si="7"/>
        <v>NA</v>
      </c>
      <c r="AB141" s="12" t="str">
        <f t="shared" ca="1" si="8"/>
        <v>NA</v>
      </c>
      <c r="AC141" s="12" t="str">
        <f t="shared" ca="1" si="9"/>
        <v>NA</v>
      </c>
      <c r="AD141" s="6"/>
      <c r="AE141" s="5"/>
      <c r="AF141" s="6"/>
      <c r="AG141" s="11">
        <v>38213</v>
      </c>
      <c r="AH141" s="12">
        <f t="shared" ca="1" si="10"/>
        <v>2004</v>
      </c>
      <c r="AI141" s="12">
        <f t="shared" ca="1" si="11"/>
        <v>8</v>
      </c>
      <c r="AJ141" s="12">
        <f t="shared" ca="1" si="12"/>
        <v>14</v>
      </c>
      <c r="AK141" s="8" t="s">
        <v>798</v>
      </c>
      <c r="AL141" s="8"/>
      <c r="AM141" s="5"/>
      <c r="AN141" s="5"/>
      <c r="AO141" s="5"/>
      <c r="AP141" s="12" t="str">
        <f t="shared" ca="1" si="13"/>
        <v>NA</v>
      </c>
      <c r="AQ141" s="12" t="str">
        <f t="shared" ca="1" si="14"/>
        <v>NA</v>
      </c>
      <c r="AR141" s="12" t="str">
        <f t="shared" ca="1" si="15"/>
        <v>NA</v>
      </c>
      <c r="AS141" s="5"/>
      <c r="AT141" s="5"/>
      <c r="AU141" s="5"/>
      <c r="AV141" s="12" t="str">
        <f t="shared" ca="1" si="16"/>
        <v>NA</v>
      </c>
      <c r="AW141" s="12" t="str">
        <f t="shared" ca="1" si="17"/>
        <v>NA</v>
      </c>
      <c r="AX141" s="12" t="str">
        <f t="shared" ca="1" si="18"/>
        <v>NA</v>
      </c>
      <c r="AY141" s="5"/>
      <c r="AZ141" s="5"/>
      <c r="BA141" s="6"/>
      <c r="BB141" s="12" t="str">
        <f t="shared" ca="1" si="19"/>
        <v>NA</v>
      </c>
      <c r="BC141" s="12" t="str">
        <f t="shared" ca="1" si="20"/>
        <v>NA</v>
      </c>
      <c r="BD141" s="12" t="str">
        <f t="shared" ca="1" si="21"/>
        <v>NA</v>
      </c>
      <c r="BE141" s="5"/>
      <c r="BF141" s="5"/>
      <c r="BG141" s="5"/>
      <c r="BH141" s="12" t="str">
        <f t="shared" ca="1" si="22"/>
        <v>NA</v>
      </c>
      <c r="BI141" s="12" t="str">
        <f t="shared" ca="1" si="23"/>
        <v>NA</v>
      </c>
      <c r="BJ141" s="12" t="str">
        <f t="shared" ca="1" si="24"/>
        <v>NA</v>
      </c>
      <c r="BK141" s="5"/>
      <c r="BL141" s="5"/>
      <c r="BM141" s="12" t="str">
        <f t="shared" ca="1" si="25"/>
        <v>NA</v>
      </c>
      <c r="BN141" s="12" t="str">
        <f t="shared" ca="1" si="26"/>
        <v>NA</v>
      </c>
      <c r="BO141" s="12" t="str">
        <f t="shared" ca="1" si="27"/>
        <v>NA</v>
      </c>
      <c r="BP141" s="5"/>
      <c r="BQ141" s="5"/>
      <c r="BR141" s="5"/>
      <c r="BS141" s="12" t="str">
        <f t="shared" ca="1" si="28"/>
        <v>NA</v>
      </c>
      <c r="BT141" s="12" t="str">
        <f t="shared" ca="1" si="29"/>
        <v>NA</v>
      </c>
      <c r="BU141" s="12" t="str">
        <f t="shared" ca="1" si="30"/>
        <v>NA</v>
      </c>
      <c r="BV141" s="5"/>
      <c r="BW141" s="5"/>
      <c r="BX141" s="12" t="str">
        <f t="shared" ca="1" si="31"/>
        <v>NA</v>
      </c>
      <c r="BY141" s="12" t="str">
        <f t="shared" ca="1" si="32"/>
        <v>NA</v>
      </c>
      <c r="BZ141" s="12" t="str">
        <f t="shared" ca="1" si="33"/>
        <v>NA</v>
      </c>
      <c r="CA141" s="5"/>
    </row>
    <row r="142" spans="1:79" ht="12.75" customHeight="1" x14ac:dyDescent="0.15">
      <c r="A142" s="4">
        <v>2438</v>
      </c>
      <c r="B142" s="5" t="s">
        <v>79</v>
      </c>
      <c r="C142" s="5" t="s">
        <v>79</v>
      </c>
      <c r="D142" s="6" t="s">
        <v>799</v>
      </c>
      <c r="E142" s="6" t="s">
        <v>800</v>
      </c>
      <c r="F142" s="6" t="s">
        <v>801</v>
      </c>
      <c r="G142" s="8"/>
      <c r="H142" s="8"/>
      <c r="I142" s="8"/>
      <c r="J142" s="8"/>
      <c r="K142" s="8"/>
      <c r="L142" s="8" t="s">
        <v>82</v>
      </c>
      <c r="M142" s="7">
        <v>1125</v>
      </c>
      <c r="N142" s="7">
        <v>1124</v>
      </c>
      <c r="O142" s="13">
        <v>38210</v>
      </c>
      <c r="P142" s="10">
        <f t="shared" ca="1" si="0"/>
        <v>8.3333333333333332E-3</v>
      </c>
      <c r="Q142" s="5">
        <f t="shared" ca="1" si="1"/>
        <v>0</v>
      </c>
      <c r="R142" s="5">
        <f t="shared" ca="1" si="2"/>
        <v>3</v>
      </c>
      <c r="S142" s="7">
        <f t="shared" ca="1" si="3"/>
        <v>2004</v>
      </c>
      <c r="T142" s="7">
        <f t="shared" ca="1" si="4"/>
        <v>8</v>
      </c>
      <c r="U142" s="7">
        <f t="shared" ca="1" si="5"/>
        <v>11</v>
      </c>
      <c r="V142" s="6" t="s">
        <v>802</v>
      </c>
      <c r="W142" s="14" t="s">
        <v>96</v>
      </c>
      <c r="X142" s="15"/>
      <c r="Y142" s="5">
        <f t="shared" ca="1" si="6"/>
        <v>0</v>
      </c>
      <c r="Z142" s="6"/>
      <c r="AA142" s="12" t="str">
        <f t="shared" ca="1" si="7"/>
        <v>NA</v>
      </c>
      <c r="AB142" s="12" t="str">
        <f t="shared" ca="1" si="8"/>
        <v>NA</v>
      </c>
      <c r="AC142" s="12" t="str">
        <f t="shared" ca="1" si="9"/>
        <v>NA</v>
      </c>
      <c r="AD142" s="6"/>
      <c r="AE142" s="5"/>
      <c r="AF142" s="6"/>
      <c r="AG142" s="11">
        <v>38213</v>
      </c>
      <c r="AH142" s="12">
        <f t="shared" ca="1" si="10"/>
        <v>2004</v>
      </c>
      <c r="AI142" s="12">
        <f t="shared" ca="1" si="11"/>
        <v>8</v>
      </c>
      <c r="AJ142" s="12">
        <f t="shared" ca="1" si="12"/>
        <v>14</v>
      </c>
      <c r="AK142" s="8" t="s">
        <v>803</v>
      </c>
      <c r="AL142" s="8"/>
      <c r="AM142" s="5"/>
      <c r="AN142" s="5"/>
      <c r="AO142" s="5"/>
      <c r="AP142" s="12" t="str">
        <f t="shared" ca="1" si="13"/>
        <v>NA</v>
      </c>
      <c r="AQ142" s="12" t="str">
        <f t="shared" ca="1" si="14"/>
        <v>NA</v>
      </c>
      <c r="AR142" s="12" t="str">
        <f t="shared" ca="1" si="15"/>
        <v>NA</v>
      </c>
      <c r="AS142" s="5"/>
      <c r="AT142" s="5"/>
      <c r="AU142" s="5"/>
      <c r="AV142" s="12" t="str">
        <f t="shared" ca="1" si="16"/>
        <v>NA</v>
      </c>
      <c r="AW142" s="12" t="str">
        <f t="shared" ca="1" si="17"/>
        <v>NA</v>
      </c>
      <c r="AX142" s="12" t="str">
        <f t="shared" ca="1" si="18"/>
        <v>NA</v>
      </c>
      <c r="AY142" s="5"/>
      <c r="AZ142" s="5"/>
      <c r="BA142" s="6"/>
      <c r="BB142" s="12" t="str">
        <f t="shared" ca="1" si="19"/>
        <v>NA</v>
      </c>
      <c r="BC142" s="12" t="str">
        <f t="shared" ca="1" si="20"/>
        <v>NA</v>
      </c>
      <c r="BD142" s="12" t="str">
        <f t="shared" ca="1" si="21"/>
        <v>NA</v>
      </c>
      <c r="BE142" s="5"/>
      <c r="BF142" s="5"/>
      <c r="BG142" s="5"/>
      <c r="BH142" s="12" t="str">
        <f t="shared" ca="1" si="22"/>
        <v>NA</v>
      </c>
      <c r="BI142" s="12" t="str">
        <f t="shared" ca="1" si="23"/>
        <v>NA</v>
      </c>
      <c r="BJ142" s="12" t="str">
        <f t="shared" ca="1" si="24"/>
        <v>NA</v>
      </c>
      <c r="BK142" s="5"/>
      <c r="BL142" s="5"/>
      <c r="BM142" s="12" t="str">
        <f t="shared" ca="1" si="25"/>
        <v>NA</v>
      </c>
      <c r="BN142" s="12" t="str">
        <f t="shared" ca="1" si="26"/>
        <v>NA</v>
      </c>
      <c r="BO142" s="12" t="str">
        <f t="shared" ca="1" si="27"/>
        <v>NA</v>
      </c>
      <c r="BP142" s="5"/>
      <c r="BQ142" s="5"/>
      <c r="BR142" s="5"/>
      <c r="BS142" s="12" t="str">
        <f t="shared" ca="1" si="28"/>
        <v>NA</v>
      </c>
      <c r="BT142" s="12" t="str">
        <f t="shared" ca="1" si="29"/>
        <v>NA</v>
      </c>
      <c r="BU142" s="12" t="str">
        <f t="shared" ca="1" si="30"/>
        <v>NA</v>
      </c>
      <c r="BV142" s="5"/>
      <c r="BW142" s="5"/>
      <c r="BX142" s="12" t="str">
        <f t="shared" ca="1" si="31"/>
        <v>NA</v>
      </c>
      <c r="BY142" s="12" t="str">
        <f t="shared" ca="1" si="32"/>
        <v>NA</v>
      </c>
      <c r="BZ142" s="12" t="str">
        <f t="shared" ca="1" si="33"/>
        <v>NA</v>
      </c>
      <c r="CA142" s="5"/>
    </row>
    <row r="143" spans="1:79" ht="12.75" customHeight="1" x14ac:dyDescent="0.15">
      <c r="A143" s="4">
        <v>2439</v>
      </c>
      <c r="B143" s="5" t="s">
        <v>79</v>
      </c>
      <c r="C143" s="5" t="s">
        <v>79</v>
      </c>
      <c r="D143" s="6" t="s">
        <v>804</v>
      </c>
      <c r="E143" s="7">
        <v>106789</v>
      </c>
      <c r="F143" s="6" t="s">
        <v>805</v>
      </c>
      <c r="G143" s="8"/>
      <c r="H143" s="8"/>
      <c r="I143" s="8"/>
      <c r="J143" s="8"/>
      <c r="K143" s="8"/>
      <c r="L143" s="8" t="s">
        <v>82</v>
      </c>
      <c r="M143" s="7">
        <v>2338</v>
      </c>
      <c r="N143" s="7">
        <v>2340</v>
      </c>
      <c r="O143" s="13">
        <v>38221</v>
      </c>
      <c r="P143" s="10">
        <f t="shared" ca="1" si="0"/>
        <v>1.3888888888888888E-2</v>
      </c>
      <c r="Q143" s="5">
        <f t="shared" ca="1" si="1"/>
        <v>0</v>
      </c>
      <c r="R143" s="5">
        <f t="shared" ca="1" si="2"/>
        <v>5</v>
      </c>
      <c r="S143" s="7">
        <f t="shared" ca="1" si="3"/>
        <v>2004</v>
      </c>
      <c r="T143" s="7">
        <f t="shared" ca="1" si="4"/>
        <v>8</v>
      </c>
      <c r="U143" s="7">
        <f t="shared" ca="1" si="5"/>
        <v>22</v>
      </c>
      <c r="V143" s="6" t="s">
        <v>806</v>
      </c>
      <c r="W143" s="14" t="s">
        <v>96</v>
      </c>
      <c r="X143" s="15"/>
      <c r="Y143" s="5">
        <f t="shared" ca="1" si="6"/>
        <v>0</v>
      </c>
      <c r="Z143" s="6"/>
      <c r="AA143" s="12" t="str">
        <f t="shared" ca="1" si="7"/>
        <v>NA</v>
      </c>
      <c r="AB143" s="12" t="str">
        <f t="shared" ca="1" si="8"/>
        <v>NA</v>
      </c>
      <c r="AC143" s="12" t="str">
        <f t="shared" ca="1" si="9"/>
        <v>NA</v>
      </c>
      <c r="AD143" s="6"/>
      <c r="AE143" s="5"/>
      <c r="AF143" s="6"/>
      <c r="AG143" s="11">
        <v>38226</v>
      </c>
      <c r="AH143" s="12">
        <f t="shared" ca="1" si="10"/>
        <v>2004</v>
      </c>
      <c r="AI143" s="12">
        <f t="shared" ca="1" si="11"/>
        <v>8</v>
      </c>
      <c r="AJ143" s="12">
        <f t="shared" ca="1" si="12"/>
        <v>27</v>
      </c>
      <c r="AK143" s="8" t="s">
        <v>807</v>
      </c>
      <c r="AL143" s="8"/>
      <c r="AM143" s="5"/>
      <c r="AN143" s="5"/>
      <c r="AO143" s="5"/>
      <c r="AP143" s="12" t="str">
        <f t="shared" ca="1" si="13"/>
        <v>NA</v>
      </c>
      <c r="AQ143" s="12" t="str">
        <f t="shared" ca="1" si="14"/>
        <v>NA</v>
      </c>
      <c r="AR143" s="12" t="str">
        <f t="shared" ca="1" si="15"/>
        <v>NA</v>
      </c>
      <c r="AS143" s="5"/>
      <c r="AT143" s="5"/>
      <c r="AU143" s="5"/>
      <c r="AV143" s="12" t="str">
        <f t="shared" ca="1" si="16"/>
        <v>NA</v>
      </c>
      <c r="AW143" s="12" t="str">
        <f t="shared" ca="1" si="17"/>
        <v>NA</v>
      </c>
      <c r="AX143" s="12" t="str">
        <f t="shared" ca="1" si="18"/>
        <v>NA</v>
      </c>
      <c r="AY143" s="5"/>
      <c r="AZ143" s="5"/>
      <c r="BA143" s="6"/>
      <c r="BB143" s="12" t="str">
        <f t="shared" ca="1" si="19"/>
        <v>NA</v>
      </c>
      <c r="BC143" s="12" t="str">
        <f t="shared" ca="1" si="20"/>
        <v>NA</v>
      </c>
      <c r="BD143" s="12" t="str">
        <f t="shared" ca="1" si="21"/>
        <v>NA</v>
      </c>
      <c r="BE143" s="5"/>
      <c r="BF143" s="5"/>
      <c r="BG143" s="5"/>
      <c r="BH143" s="12" t="str">
        <f t="shared" ca="1" si="22"/>
        <v>NA</v>
      </c>
      <c r="BI143" s="12" t="str">
        <f t="shared" ca="1" si="23"/>
        <v>NA</v>
      </c>
      <c r="BJ143" s="12" t="str">
        <f t="shared" ca="1" si="24"/>
        <v>NA</v>
      </c>
      <c r="BK143" s="5"/>
      <c r="BL143" s="5"/>
      <c r="BM143" s="12" t="str">
        <f t="shared" ca="1" si="25"/>
        <v>NA</v>
      </c>
      <c r="BN143" s="12" t="str">
        <f t="shared" ca="1" si="26"/>
        <v>NA</v>
      </c>
      <c r="BO143" s="12" t="str">
        <f t="shared" ca="1" si="27"/>
        <v>NA</v>
      </c>
      <c r="BP143" s="5"/>
      <c r="BQ143" s="5"/>
      <c r="BR143" s="5"/>
      <c r="BS143" s="12" t="str">
        <f t="shared" ca="1" si="28"/>
        <v>NA</v>
      </c>
      <c r="BT143" s="12" t="str">
        <f t="shared" ca="1" si="29"/>
        <v>NA</v>
      </c>
      <c r="BU143" s="12" t="str">
        <f t="shared" ca="1" si="30"/>
        <v>NA</v>
      </c>
      <c r="BV143" s="5"/>
      <c r="BW143" s="5"/>
      <c r="BX143" s="12" t="str">
        <f t="shared" ca="1" si="31"/>
        <v>NA</v>
      </c>
      <c r="BY143" s="12" t="str">
        <f t="shared" ca="1" si="32"/>
        <v>NA</v>
      </c>
      <c r="BZ143" s="12" t="str">
        <f t="shared" ca="1" si="33"/>
        <v>NA</v>
      </c>
      <c r="CA143" s="5"/>
    </row>
    <row r="144" spans="1:79" ht="12.75" customHeight="1" x14ac:dyDescent="0.15">
      <c r="A144" s="4">
        <v>2440</v>
      </c>
      <c r="B144" s="5" t="s">
        <v>79</v>
      </c>
      <c r="C144" s="5" t="s">
        <v>79</v>
      </c>
      <c r="D144" s="6" t="s">
        <v>808</v>
      </c>
      <c r="E144" s="7">
        <v>106790</v>
      </c>
      <c r="F144" s="6" t="s">
        <v>809</v>
      </c>
      <c r="G144" s="8"/>
      <c r="H144" s="8"/>
      <c r="I144" s="8"/>
      <c r="J144" s="8"/>
      <c r="K144" s="8"/>
      <c r="L144" s="8" t="s">
        <v>82</v>
      </c>
      <c r="M144" s="7">
        <v>2338</v>
      </c>
      <c r="N144" s="7">
        <v>2340</v>
      </c>
      <c r="O144" s="13">
        <v>38221</v>
      </c>
      <c r="P144" s="10">
        <f t="shared" ca="1" si="0"/>
        <v>0</v>
      </c>
      <c r="Q144" s="5">
        <f t="shared" ca="1" si="1"/>
        <v>0</v>
      </c>
      <c r="R144" s="5">
        <f t="shared" ca="1" si="2"/>
        <v>0</v>
      </c>
      <c r="S144" s="7">
        <f t="shared" ca="1" si="3"/>
        <v>2004</v>
      </c>
      <c r="T144" s="7">
        <f t="shared" ca="1" si="4"/>
        <v>8</v>
      </c>
      <c r="U144" s="7">
        <f t="shared" ca="1" si="5"/>
        <v>22</v>
      </c>
      <c r="V144" s="6" t="s">
        <v>810</v>
      </c>
      <c r="W144" s="14" t="s">
        <v>96</v>
      </c>
      <c r="X144" s="15"/>
      <c r="Y144" s="5">
        <f t="shared" ca="1" si="6"/>
        <v>0</v>
      </c>
      <c r="Z144" s="6"/>
      <c r="AA144" s="12" t="str">
        <f t="shared" ca="1" si="7"/>
        <v>NA</v>
      </c>
      <c r="AB144" s="12" t="str">
        <f t="shared" ca="1" si="8"/>
        <v>NA</v>
      </c>
      <c r="AC144" s="12" t="str">
        <f t="shared" ca="1" si="9"/>
        <v>NA</v>
      </c>
      <c r="AD144" s="6"/>
      <c r="AE144" s="5"/>
      <c r="AF144" s="6"/>
      <c r="AG144" s="11">
        <v>38221</v>
      </c>
      <c r="AH144" s="12">
        <f t="shared" ca="1" si="10"/>
        <v>2004</v>
      </c>
      <c r="AI144" s="12">
        <f t="shared" ca="1" si="11"/>
        <v>8</v>
      </c>
      <c r="AJ144" s="12">
        <f t="shared" ca="1" si="12"/>
        <v>22</v>
      </c>
      <c r="AK144" s="8" t="s">
        <v>811</v>
      </c>
      <c r="AL144" s="8"/>
      <c r="AM144" s="5"/>
      <c r="AN144" s="5"/>
      <c r="AO144" s="5"/>
      <c r="AP144" s="12" t="str">
        <f t="shared" ca="1" si="13"/>
        <v>NA</v>
      </c>
      <c r="AQ144" s="12" t="str">
        <f t="shared" ca="1" si="14"/>
        <v>NA</v>
      </c>
      <c r="AR144" s="12" t="str">
        <f t="shared" ca="1" si="15"/>
        <v>NA</v>
      </c>
      <c r="AS144" s="5"/>
      <c r="AT144" s="5"/>
      <c r="AU144" s="5"/>
      <c r="AV144" s="12" t="str">
        <f t="shared" ca="1" si="16"/>
        <v>NA</v>
      </c>
      <c r="AW144" s="12" t="str">
        <f t="shared" ca="1" si="17"/>
        <v>NA</v>
      </c>
      <c r="AX144" s="12" t="str">
        <f t="shared" ca="1" si="18"/>
        <v>NA</v>
      </c>
      <c r="AY144" s="5"/>
      <c r="AZ144" s="5"/>
      <c r="BA144" s="6"/>
      <c r="BB144" s="12" t="str">
        <f t="shared" ca="1" si="19"/>
        <v>NA</v>
      </c>
      <c r="BC144" s="12" t="str">
        <f t="shared" ca="1" si="20"/>
        <v>NA</v>
      </c>
      <c r="BD144" s="12" t="str">
        <f t="shared" ca="1" si="21"/>
        <v>NA</v>
      </c>
      <c r="BE144" s="5"/>
      <c r="BF144" s="5"/>
      <c r="BG144" s="5"/>
      <c r="BH144" s="12" t="str">
        <f t="shared" ca="1" si="22"/>
        <v>NA</v>
      </c>
      <c r="BI144" s="12" t="str">
        <f t="shared" ca="1" si="23"/>
        <v>NA</v>
      </c>
      <c r="BJ144" s="12" t="str">
        <f t="shared" ca="1" si="24"/>
        <v>NA</v>
      </c>
      <c r="BK144" s="5"/>
      <c r="BL144" s="5"/>
      <c r="BM144" s="12" t="str">
        <f t="shared" ca="1" si="25"/>
        <v>NA</v>
      </c>
      <c r="BN144" s="12" t="str">
        <f t="shared" ca="1" si="26"/>
        <v>NA</v>
      </c>
      <c r="BO144" s="12" t="str">
        <f t="shared" ca="1" si="27"/>
        <v>NA</v>
      </c>
      <c r="BP144" s="5"/>
      <c r="BQ144" s="5"/>
      <c r="BR144" s="5"/>
      <c r="BS144" s="12" t="str">
        <f t="shared" ca="1" si="28"/>
        <v>NA</v>
      </c>
      <c r="BT144" s="12" t="str">
        <f t="shared" ca="1" si="29"/>
        <v>NA</v>
      </c>
      <c r="BU144" s="12" t="str">
        <f t="shared" ca="1" si="30"/>
        <v>NA</v>
      </c>
      <c r="BV144" s="5"/>
      <c r="BW144" s="5"/>
      <c r="BX144" s="12" t="str">
        <f t="shared" ca="1" si="31"/>
        <v>NA</v>
      </c>
      <c r="BY144" s="12" t="str">
        <f t="shared" ca="1" si="32"/>
        <v>NA</v>
      </c>
      <c r="BZ144" s="12" t="str">
        <f t="shared" ca="1" si="33"/>
        <v>NA</v>
      </c>
      <c r="CA144" s="5"/>
    </row>
    <row r="145" spans="1:79" ht="12.75" customHeight="1" x14ac:dyDescent="0.15">
      <c r="A145" s="4">
        <v>2441</v>
      </c>
      <c r="B145" s="5" t="s">
        <v>79</v>
      </c>
      <c r="C145" s="5" t="s">
        <v>79</v>
      </c>
      <c r="D145" s="6" t="s">
        <v>812</v>
      </c>
      <c r="E145" s="7">
        <v>505007</v>
      </c>
      <c r="F145" s="6" t="s">
        <v>813</v>
      </c>
      <c r="G145" s="8"/>
      <c r="H145" s="8"/>
      <c r="I145" s="8"/>
      <c r="J145" s="8"/>
      <c r="K145" s="8"/>
      <c r="L145" s="8" t="s">
        <v>82</v>
      </c>
      <c r="M145" s="7">
        <v>1108</v>
      </c>
      <c r="N145" s="7">
        <v>1146</v>
      </c>
      <c r="O145" s="13">
        <v>38375</v>
      </c>
      <c r="P145" s="10">
        <f t="shared" ca="1" si="0"/>
        <v>0</v>
      </c>
      <c r="Q145" s="5">
        <f t="shared" ca="1" si="1"/>
        <v>0</v>
      </c>
      <c r="R145" s="5">
        <f t="shared" ca="1" si="2"/>
        <v>0</v>
      </c>
      <c r="S145" s="7">
        <f t="shared" ca="1" si="3"/>
        <v>2005</v>
      </c>
      <c r="T145" s="7">
        <f t="shared" ca="1" si="4"/>
        <v>1</v>
      </c>
      <c r="U145" s="7">
        <f t="shared" ca="1" si="5"/>
        <v>23</v>
      </c>
      <c r="V145" s="6" t="s">
        <v>814</v>
      </c>
      <c r="W145" s="14" t="s">
        <v>96</v>
      </c>
      <c r="X145" s="15"/>
      <c r="Y145" s="5">
        <f t="shared" ca="1" si="6"/>
        <v>0</v>
      </c>
      <c r="Z145" s="6"/>
      <c r="AA145" s="12" t="str">
        <f t="shared" ca="1" si="7"/>
        <v>NA</v>
      </c>
      <c r="AB145" s="12" t="str">
        <f t="shared" ca="1" si="8"/>
        <v>NA</v>
      </c>
      <c r="AC145" s="12" t="str">
        <f t="shared" ca="1" si="9"/>
        <v>NA</v>
      </c>
      <c r="AD145" s="6"/>
      <c r="AE145" s="5"/>
      <c r="AF145" s="6"/>
      <c r="AG145" s="11">
        <v>38375</v>
      </c>
      <c r="AH145" s="12">
        <f t="shared" ca="1" si="10"/>
        <v>2005</v>
      </c>
      <c r="AI145" s="12">
        <f t="shared" ca="1" si="11"/>
        <v>1</v>
      </c>
      <c r="AJ145" s="12">
        <f t="shared" ca="1" si="12"/>
        <v>23</v>
      </c>
      <c r="AK145" s="8" t="s">
        <v>815</v>
      </c>
      <c r="AL145" s="8"/>
      <c r="AM145" s="5"/>
      <c r="AN145" s="5"/>
      <c r="AO145" s="5"/>
      <c r="AP145" s="12" t="str">
        <f t="shared" ca="1" si="13"/>
        <v>NA</v>
      </c>
      <c r="AQ145" s="12" t="str">
        <f t="shared" ca="1" si="14"/>
        <v>NA</v>
      </c>
      <c r="AR145" s="12" t="str">
        <f t="shared" ca="1" si="15"/>
        <v>NA</v>
      </c>
      <c r="AS145" s="5"/>
      <c r="AT145" s="5"/>
      <c r="AU145" s="5"/>
      <c r="AV145" s="12" t="str">
        <f t="shared" ca="1" si="16"/>
        <v>NA</v>
      </c>
      <c r="AW145" s="12" t="str">
        <f t="shared" ca="1" si="17"/>
        <v>NA</v>
      </c>
      <c r="AX145" s="12" t="str">
        <f t="shared" ca="1" si="18"/>
        <v>NA</v>
      </c>
      <c r="AY145" s="5"/>
      <c r="AZ145" s="5"/>
      <c r="BA145" s="6"/>
      <c r="BB145" s="12" t="str">
        <f t="shared" ca="1" si="19"/>
        <v>NA</v>
      </c>
      <c r="BC145" s="12" t="str">
        <f t="shared" ca="1" si="20"/>
        <v>NA</v>
      </c>
      <c r="BD145" s="12" t="str">
        <f t="shared" ca="1" si="21"/>
        <v>NA</v>
      </c>
      <c r="BE145" s="5"/>
      <c r="BF145" s="5"/>
      <c r="BG145" s="5"/>
      <c r="BH145" s="12" t="str">
        <f t="shared" ca="1" si="22"/>
        <v>NA</v>
      </c>
      <c r="BI145" s="12" t="str">
        <f t="shared" ca="1" si="23"/>
        <v>NA</v>
      </c>
      <c r="BJ145" s="12" t="str">
        <f t="shared" ca="1" si="24"/>
        <v>NA</v>
      </c>
      <c r="BK145" s="5"/>
      <c r="BL145" s="5"/>
      <c r="BM145" s="12" t="str">
        <f t="shared" ca="1" si="25"/>
        <v>NA</v>
      </c>
      <c r="BN145" s="12" t="str">
        <f t="shared" ca="1" si="26"/>
        <v>NA</v>
      </c>
      <c r="BO145" s="12" t="str">
        <f t="shared" ca="1" si="27"/>
        <v>NA</v>
      </c>
      <c r="BP145" s="5"/>
      <c r="BQ145" s="5"/>
      <c r="BR145" s="5"/>
      <c r="BS145" s="12" t="str">
        <f t="shared" ca="1" si="28"/>
        <v>NA</v>
      </c>
      <c r="BT145" s="12" t="str">
        <f t="shared" ca="1" si="29"/>
        <v>NA</v>
      </c>
      <c r="BU145" s="12" t="str">
        <f t="shared" ca="1" si="30"/>
        <v>NA</v>
      </c>
      <c r="BV145" s="5"/>
      <c r="BW145" s="5"/>
      <c r="BX145" s="12" t="str">
        <f t="shared" ca="1" si="31"/>
        <v>NA</v>
      </c>
      <c r="BY145" s="12" t="str">
        <f t="shared" ca="1" si="32"/>
        <v>NA</v>
      </c>
      <c r="BZ145" s="12" t="str">
        <f t="shared" ca="1" si="33"/>
        <v>NA</v>
      </c>
      <c r="CA145" s="5"/>
    </row>
    <row r="146" spans="1:79" ht="12.75" customHeight="1" x14ac:dyDescent="0.15">
      <c r="A146" s="4">
        <v>2442</v>
      </c>
      <c r="B146" s="5" t="s">
        <v>79</v>
      </c>
      <c r="C146" s="5" t="s">
        <v>79</v>
      </c>
      <c r="D146" s="6" t="s">
        <v>816</v>
      </c>
      <c r="E146" s="7">
        <v>505008</v>
      </c>
      <c r="F146" s="6" t="s">
        <v>817</v>
      </c>
      <c r="G146" s="8"/>
      <c r="H146" s="8"/>
      <c r="I146" s="8"/>
      <c r="J146" s="8"/>
      <c r="K146" s="8"/>
      <c r="L146" s="8" t="s">
        <v>82</v>
      </c>
      <c r="M146" s="7">
        <v>1108</v>
      </c>
      <c r="N146" s="7">
        <v>1146</v>
      </c>
      <c r="O146" s="13">
        <v>38375</v>
      </c>
      <c r="P146" s="10">
        <f t="shared" ca="1" si="0"/>
        <v>0</v>
      </c>
      <c r="Q146" s="5">
        <f t="shared" ca="1" si="1"/>
        <v>0</v>
      </c>
      <c r="R146" s="5">
        <f t="shared" ca="1" si="2"/>
        <v>0</v>
      </c>
      <c r="S146" s="7">
        <f t="shared" ca="1" si="3"/>
        <v>2005</v>
      </c>
      <c r="T146" s="7">
        <f t="shared" ca="1" si="4"/>
        <v>1</v>
      </c>
      <c r="U146" s="7">
        <f t="shared" ca="1" si="5"/>
        <v>23</v>
      </c>
      <c r="V146" s="6" t="s">
        <v>818</v>
      </c>
      <c r="W146" s="14" t="s">
        <v>96</v>
      </c>
      <c r="X146" s="15"/>
      <c r="Y146" s="5">
        <f t="shared" ca="1" si="6"/>
        <v>0</v>
      </c>
      <c r="Z146" s="6"/>
      <c r="AA146" s="12" t="str">
        <f t="shared" ca="1" si="7"/>
        <v>NA</v>
      </c>
      <c r="AB146" s="12" t="str">
        <f t="shared" ca="1" si="8"/>
        <v>NA</v>
      </c>
      <c r="AC146" s="12" t="str">
        <f t="shared" ca="1" si="9"/>
        <v>NA</v>
      </c>
      <c r="AD146" s="6"/>
      <c r="AE146" s="5"/>
      <c r="AF146" s="6"/>
      <c r="AG146" s="11">
        <v>38375</v>
      </c>
      <c r="AH146" s="12">
        <f t="shared" ca="1" si="10"/>
        <v>2005</v>
      </c>
      <c r="AI146" s="12">
        <f t="shared" ca="1" si="11"/>
        <v>1</v>
      </c>
      <c r="AJ146" s="12">
        <f t="shared" ca="1" si="12"/>
        <v>23</v>
      </c>
      <c r="AK146" s="8" t="s">
        <v>819</v>
      </c>
      <c r="AL146" s="8"/>
      <c r="AM146" s="5"/>
      <c r="AN146" s="5"/>
      <c r="AO146" s="5"/>
      <c r="AP146" s="12" t="str">
        <f t="shared" ca="1" si="13"/>
        <v>NA</v>
      </c>
      <c r="AQ146" s="12" t="str">
        <f t="shared" ca="1" si="14"/>
        <v>NA</v>
      </c>
      <c r="AR146" s="12" t="str">
        <f t="shared" ca="1" si="15"/>
        <v>NA</v>
      </c>
      <c r="AS146" s="5"/>
      <c r="AT146" s="5"/>
      <c r="AU146" s="5"/>
      <c r="AV146" s="12" t="str">
        <f t="shared" ca="1" si="16"/>
        <v>NA</v>
      </c>
      <c r="AW146" s="12" t="str">
        <f t="shared" ca="1" si="17"/>
        <v>NA</v>
      </c>
      <c r="AX146" s="12" t="str">
        <f t="shared" ca="1" si="18"/>
        <v>NA</v>
      </c>
      <c r="AY146" s="5"/>
      <c r="AZ146" s="5"/>
      <c r="BA146" s="6"/>
      <c r="BB146" s="12" t="str">
        <f t="shared" ca="1" si="19"/>
        <v>NA</v>
      </c>
      <c r="BC146" s="12" t="str">
        <f t="shared" ca="1" si="20"/>
        <v>NA</v>
      </c>
      <c r="BD146" s="12" t="str">
        <f t="shared" ca="1" si="21"/>
        <v>NA</v>
      </c>
      <c r="BE146" s="5"/>
      <c r="BF146" s="5"/>
      <c r="BG146" s="5"/>
      <c r="BH146" s="12" t="str">
        <f t="shared" ca="1" si="22"/>
        <v>NA</v>
      </c>
      <c r="BI146" s="12" t="str">
        <f t="shared" ca="1" si="23"/>
        <v>NA</v>
      </c>
      <c r="BJ146" s="12" t="str">
        <f t="shared" ca="1" si="24"/>
        <v>NA</v>
      </c>
      <c r="BK146" s="5"/>
      <c r="BL146" s="5"/>
      <c r="BM146" s="12" t="str">
        <f t="shared" ca="1" si="25"/>
        <v>NA</v>
      </c>
      <c r="BN146" s="12" t="str">
        <f t="shared" ca="1" si="26"/>
        <v>NA</v>
      </c>
      <c r="BO146" s="12" t="str">
        <f t="shared" ca="1" si="27"/>
        <v>NA</v>
      </c>
      <c r="BP146" s="5"/>
      <c r="BQ146" s="5"/>
      <c r="BR146" s="5"/>
      <c r="BS146" s="12" t="str">
        <f t="shared" ca="1" si="28"/>
        <v>NA</v>
      </c>
      <c r="BT146" s="12" t="str">
        <f t="shared" ca="1" si="29"/>
        <v>NA</v>
      </c>
      <c r="BU146" s="12" t="str">
        <f t="shared" ca="1" si="30"/>
        <v>NA</v>
      </c>
      <c r="BV146" s="5"/>
      <c r="BW146" s="5"/>
      <c r="BX146" s="12" t="str">
        <f t="shared" ca="1" si="31"/>
        <v>NA</v>
      </c>
      <c r="BY146" s="12" t="str">
        <f t="shared" ca="1" si="32"/>
        <v>NA</v>
      </c>
      <c r="BZ146" s="12" t="str">
        <f t="shared" ca="1" si="33"/>
        <v>NA</v>
      </c>
      <c r="CA146" s="5"/>
    </row>
    <row r="147" spans="1:79" ht="12.75" customHeight="1" x14ac:dyDescent="0.15">
      <c r="A147" s="4">
        <v>2444</v>
      </c>
      <c r="B147" s="5" t="s">
        <v>79</v>
      </c>
      <c r="C147" s="5" t="s">
        <v>79</v>
      </c>
      <c r="D147" s="6" t="s">
        <v>820</v>
      </c>
      <c r="E147" s="6" t="s">
        <v>821</v>
      </c>
      <c r="F147" s="6" t="s">
        <v>822</v>
      </c>
      <c r="G147" s="8"/>
      <c r="H147" s="8"/>
      <c r="I147" s="8"/>
      <c r="J147" s="8"/>
      <c r="K147" s="8"/>
      <c r="L147" s="8" t="s">
        <v>82</v>
      </c>
      <c r="M147" s="7">
        <v>2337</v>
      </c>
      <c r="N147" s="7">
        <v>2341</v>
      </c>
      <c r="O147" s="13">
        <v>38398</v>
      </c>
      <c r="P147" s="10" t="str">
        <f t="shared" ca="1" si="0"/>
        <v>NA</v>
      </c>
      <c r="Q147" s="5" t="str">
        <f t="shared" ca="1" si="1"/>
        <v>NA</v>
      </c>
      <c r="R147" s="5" t="str">
        <f t="shared" ca="1" si="2"/>
        <v>NA</v>
      </c>
      <c r="S147" s="7">
        <f t="shared" ca="1" si="3"/>
        <v>2005</v>
      </c>
      <c r="T147" s="7">
        <f t="shared" ca="1" si="4"/>
        <v>2</v>
      </c>
      <c r="U147" s="7">
        <f t="shared" ca="1" si="5"/>
        <v>15</v>
      </c>
      <c r="V147" s="6" t="s">
        <v>823</v>
      </c>
      <c r="W147" s="14" t="s">
        <v>96</v>
      </c>
      <c r="X147" s="15"/>
      <c r="Y147" s="5">
        <f t="shared" ca="1" si="6"/>
        <v>2</v>
      </c>
      <c r="Z147" s="6"/>
      <c r="AA147" s="12" t="str">
        <f t="shared" ca="1" si="7"/>
        <v>NA</v>
      </c>
      <c r="AB147" s="12" t="str">
        <f t="shared" ca="1" si="8"/>
        <v>NA</v>
      </c>
      <c r="AC147" s="12" t="str">
        <f t="shared" ca="1" si="9"/>
        <v>NA</v>
      </c>
      <c r="AD147" s="6"/>
      <c r="AE147" s="5"/>
      <c r="AF147" s="6"/>
      <c r="AG147" s="8" t="s">
        <v>824</v>
      </c>
      <c r="AH147" s="12" t="str">
        <f t="shared" ca="1" si="10"/>
        <v>NA</v>
      </c>
      <c r="AI147" s="12" t="str">
        <f t="shared" ca="1" si="11"/>
        <v>NA</v>
      </c>
      <c r="AJ147" s="12" t="str">
        <f t="shared" ca="1" si="12"/>
        <v>NA</v>
      </c>
      <c r="AK147" s="8" t="s">
        <v>825</v>
      </c>
      <c r="AL147" s="8"/>
      <c r="AM147" s="11">
        <v>42575</v>
      </c>
      <c r="AN147" s="8" t="s">
        <v>826</v>
      </c>
      <c r="AO147" s="11">
        <v>39602</v>
      </c>
      <c r="AP147" s="12">
        <f t="shared" ca="1" si="13"/>
        <v>2008</v>
      </c>
      <c r="AQ147" s="12">
        <f t="shared" ca="1" si="14"/>
        <v>6</v>
      </c>
      <c r="AR147" s="12">
        <f t="shared" ca="1" si="15"/>
        <v>3</v>
      </c>
      <c r="AS147" s="8" t="s">
        <v>827</v>
      </c>
      <c r="AT147" s="8"/>
      <c r="AU147" s="11">
        <v>40484</v>
      </c>
      <c r="AV147" s="12">
        <f t="shared" ca="1" si="16"/>
        <v>2010</v>
      </c>
      <c r="AW147" s="12">
        <f t="shared" ca="1" si="17"/>
        <v>11</v>
      </c>
      <c r="AX147" s="12">
        <f t="shared" ca="1" si="18"/>
        <v>2</v>
      </c>
      <c r="AY147" s="8" t="s">
        <v>828</v>
      </c>
      <c r="AZ147" s="8"/>
      <c r="BA147" s="6"/>
      <c r="BB147" s="12" t="str">
        <f t="shared" ca="1" si="19"/>
        <v>NA</v>
      </c>
      <c r="BC147" s="12" t="str">
        <f t="shared" ca="1" si="20"/>
        <v>NA</v>
      </c>
      <c r="BD147" s="12" t="str">
        <f t="shared" ca="1" si="21"/>
        <v>NA</v>
      </c>
      <c r="BE147" s="5"/>
      <c r="BF147" s="5"/>
      <c r="BG147" s="5"/>
      <c r="BH147" s="12" t="str">
        <f t="shared" ca="1" si="22"/>
        <v>NA</v>
      </c>
      <c r="BI147" s="12" t="str">
        <f t="shared" ca="1" si="23"/>
        <v>NA</v>
      </c>
      <c r="BJ147" s="12" t="str">
        <f t="shared" ca="1" si="24"/>
        <v>NA</v>
      </c>
      <c r="BK147" s="5"/>
      <c r="BL147" s="5"/>
      <c r="BM147" s="12" t="str">
        <f t="shared" ca="1" si="25"/>
        <v>NA</v>
      </c>
      <c r="BN147" s="12" t="str">
        <f t="shared" ca="1" si="26"/>
        <v>NA</v>
      </c>
      <c r="BO147" s="12" t="str">
        <f t="shared" ca="1" si="27"/>
        <v>NA</v>
      </c>
      <c r="BP147" s="5"/>
      <c r="BQ147" s="5"/>
      <c r="BR147" s="5"/>
      <c r="BS147" s="12" t="str">
        <f t="shared" ca="1" si="28"/>
        <v>NA</v>
      </c>
      <c r="BT147" s="12" t="str">
        <f t="shared" ca="1" si="29"/>
        <v>NA</v>
      </c>
      <c r="BU147" s="12" t="str">
        <f t="shared" ca="1" si="30"/>
        <v>NA</v>
      </c>
      <c r="BV147" s="5"/>
      <c r="BW147" s="5"/>
      <c r="BX147" s="12" t="str">
        <f t="shared" ca="1" si="31"/>
        <v>NA</v>
      </c>
      <c r="BY147" s="12" t="str">
        <f t="shared" ca="1" si="32"/>
        <v>NA</v>
      </c>
      <c r="BZ147" s="12" t="str">
        <f t="shared" ca="1" si="33"/>
        <v>NA</v>
      </c>
      <c r="CA147" s="5"/>
    </row>
    <row r="148" spans="1:79" ht="12.75" customHeight="1" x14ac:dyDescent="0.15">
      <c r="A148" s="4">
        <v>2445</v>
      </c>
      <c r="B148" s="5" t="s">
        <v>79</v>
      </c>
      <c r="C148" s="5" t="s">
        <v>79</v>
      </c>
      <c r="D148" s="6" t="s">
        <v>829</v>
      </c>
      <c r="E148" s="6" t="s">
        <v>830</v>
      </c>
      <c r="F148" s="6" t="s">
        <v>831</v>
      </c>
      <c r="G148" s="8"/>
      <c r="H148" s="8"/>
      <c r="I148" s="8"/>
      <c r="J148" s="8"/>
      <c r="K148" s="8"/>
      <c r="L148" s="8" t="s">
        <v>82</v>
      </c>
      <c r="M148" s="7">
        <v>1125</v>
      </c>
      <c r="N148" s="7">
        <v>1124</v>
      </c>
      <c r="O148" s="13">
        <v>38441</v>
      </c>
      <c r="P148" s="10">
        <f t="shared" ca="1" si="0"/>
        <v>2.7777777777777779E-3</v>
      </c>
      <c r="Q148" s="5">
        <f t="shared" ca="1" si="1"/>
        <v>0</v>
      </c>
      <c r="R148" s="5">
        <f t="shared" ca="1" si="2"/>
        <v>2</v>
      </c>
      <c r="S148" s="7">
        <f t="shared" ca="1" si="3"/>
        <v>2005</v>
      </c>
      <c r="T148" s="7">
        <f t="shared" ca="1" si="4"/>
        <v>3</v>
      </c>
      <c r="U148" s="7">
        <f t="shared" ca="1" si="5"/>
        <v>30</v>
      </c>
      <c r="V148" s="6" t="s">
        <v>832</v>
      </c>
      <c r="W148" s="14" t="s">
        <v>96</v>
      </c>
      <c r="X148" s="15"/>
      <c r="Y148" s="5">
        <f t="shared" ca="1" si="6"/>
        <v>0</v>
      </c>
      <c r="Z148" s="6"/>
      <c r="AA148" s="12" t="str">
        <f t="shared" ca="1" si="7"/>
        <v>NA</v>
      </c>
      <c r="AB148" s="12" t="str">
        <f t="shared" ca="1" si="8"/>
        <v>NA</v>
      </c>
      <c r="AC148" s="12" t="str">
        <f t="shared" ca="1" si="9"/>
        <v>NA</v>
      </c>
      <c r="AD148" s="6"/>
      <c r="AE148" s="5"/>
      <c r="AF148" s="6"/>
      <c r="AG148" s="11">
        <v>38443</v>
      </c>
      <c r="AH148" s="12">
        <f t="shared" ca="1" si="10"/>
        <v>2005</v>
      </c>
      <c r="AI148" s="12">
        <f t="shared" ca="1" si="11"/>
        <v>4</v>
      </c>
      <c r="AJ148" s="12">
        <f t="shared" ca="1" si="12"/>
        <v>1</v>
      </c>
      <c r="AK148" s="8" t="s">
        <v>833</v>
      </c>
      <c r="AL148" s="8"/>
      <c r="AM148" s="5"/>
      <c r="AN148" s="5"/>
      <c r="AO148" s="5"/>
      <c r="AP148" s="12" t="str">
        <f t="shared" ca="1" si="13"/>
        <v>NA</v>
      </c>
      <c r="AQ148" s="12" t="str">
        <f t="shared" ca="1" si="14"/>
        <v>NA</v>
      </c>
      <c r="AR148" s="12" t="str">
        <f t="shared" ca="1" si="15"/>
        <v>NA</v>
      </c>
      <c r="AS148" s="5"/>
      <c r="AT148" s="5"/>
      <c r="AU148" s="5"/>
      <c r="AV148" s="12" t="str">
        <f t="shared" ca="1" si="16"/>
        <v>NA</v>
      </c>
      <c r="AW148" s="12" t="str">
        <f t="shared" ca="1" si="17"/>
        <v>NA</v>
      </c>
      <c r="AX148" s="12" t="str">
        <f t="shared" ca="1" si="18"/>
        <v>NA</v>
      </c>
      <c r="AY148" s="5"/>
      <c r="AZ148" s="5"/>
      <c r="BA148" s="6"/>
      <c r="BB148" s="12" t="str">
        <f t="shared" ca="1" si="19"/>
        <v>NA</v>
      </c>
      <c r="BC148" s="12" t="str">
        <f t="shared" ca="1" si="20"/>
        <v>NA</v>
      </c>
      <c r="BD148" s="12" t="str">
        <f t="shared" ca="1" si="21"/>
        <v>NA</v>
      </c>
      <c r="BE148" s="5"/>
      <c r="BF148" s="5"/>
      <c r="BG148" s="5"/>
      <c r="BH148" s="12" t="str">
        <f t="shared" ca="1" si="22"/>
        <v>NA</v>
      </c>
      <c r="BI148" s="12" t="str">
        <f t="shared" ca="1" si="23"/>
        <v>NA</v>
      </c>
      <c r="BJ148" s="12" t="str">
        <f t="shared" ca="1" si="24"/>
        <v>NA</v>
      </c>
      <c r="BK148" s="5"/>
      <c r="BL148" s="5"/>
      <c r="BM148" s="12" t="str">
        <f t="shared" ca="1" si="25"/>
        <v>NA</v>
      </c>
      <c r="BN148" s="12" t="str">
        <f t="shared" ca="1" si="26"/>
        <v>NA</v>
      </c>
      <c r="BO148" s="12" t="str">
        <f t="shared" ca="1" si="27"/>
        <v>NA</v>
      </c>
      <c r="BP148" s="5"/>
      <c r="BQ148" s="5"/>
      <c r="BR148" s="5"/>
      <c r="BS148" s="12" t="str">
        <f t="shared" ca="1" si="28"/>
        <v>NA</v>
      </c>
      <c r="BT148" s="12" t="str">
        <f t="shared" ca="1" si="29"/>
        <v>NA</v>
      </c>
      <c r="BU148" s="12" t="str">
        <f t="shared" ca="1" si="30"/>
        <v>NA</v>
      </c>
      <c r="BV148" s="5"/>
      <c r="BW148" s="5"/>
      <c r="BX148" s="12" t="str">
        <f t="shared" ca="1" si="31"/>
        <v>NA</v>
      </c>
      <c r="BY148" s="12" t="str">
        <f t="shared" ca="1" si="32"/>
        <v>NA</v>
      </c>
      <c r="BZ148" s="12" t="str">
        <f t="shared" ca="1" si="33"/>
        <v>NA</v>
      </c>
      <c r="CA148" s="5"/>
    </row>
    <row r="149" spans="1:79" ht="12.75" customHeight="1" x14ac:dyDescent="0.15">
      <c r="A149" s="4">
        <v>2446</v>
      </c>
      <c r="B149" s="5" t="s">
        <v>79</v>
      </c>
      <c r="C149" s="5" t="s">
        <v>79</v>
      </c>
      <c r="D149" s="6" t="s">
        <v>834</v>
      </c>
      <c r="E149" s="6" t="s">
        <v>835</v>
      </c>
      <c r="F149" s="6" t="s">
        <v>836</v>
      </c>
      <c r="G149" s="8"/>
      <c r="H149" s="8"/>
      <c r="I149" s="8"/>
      <c r="J149" s="8"/>
      <c r="K149" s="8"/>
      <c r="L149" s="8" t="s">
        <v>82</v>
      </c>
      <c r="M149" s="7">
        <v>1125</v>
      </c>
      <c r="N149" s="7">
        <v>1124</v>
      </c>
      <c r="O149" s="13">
        <v>38443</v>
      </c>
      <c r="P149" s="10">
        <f t="shared" ca="1" si="0"/>
        <v>0</v>
      </c>
      <c r="Q149" s="5">
        <f t="shared" ca="1" si="1"/>
        <v>0</v>
      </c>
      <c r="R149" s="5">
        <f t="shared" ca="1" si="2"/>
        <v>0</v>
      </c>
      <c r="S149" s="7">
        <f t="shared" ca="1" si="3"/>
        <v>2005</v>
      </c>
      <c r="T149" s="7">
        <f t="shared" ca="1" si="4"/>
        <v>4</v>
      </c>
      <c r="U149" s="7">
        <f t="shared" ca="1" si="5"/>
        <v>1</v>
      </c>
      <c r="V149" s="6" t="s">
        <v>837</v>
      </c>
      <c r="W149" s="14" t="s">
        <v>96</v>
      </c>
      <c r="X149" s="15"/>
      <c r="Y149" s="5">
        <f t="shared" ca="1" si="6"/>
        <v>0</v>
      </c>
      <c r="Z149" s="6"/>
      <c r="AA149" s="12" t="str">
        <f t="shared" ca="1" si="7"/>
        <v>NA</v>
      </c>
      <c r="AB149" s="12" t="str">
        <f t="shared" ca="1" si="8"/>
        <v>NA</v>
      </c>
      <c r="AC149" s="12" t="str">
        <f t="shared" ca="1" si="9"/>
        <v>NA</v>
      </c>
      <c r="AD149" s="6"/>
      <c r="AE149" s="5"/>
      <c r="AF149" s="6"/>
      <c r="AG149" s="11">
        <v>38443</v>
      </c>
      <c r="AH149" s="12">
        <f t="shared" ca="1" si="10"/>
        <v>2005</v>
      </c>
      <c r="AI149" s="12">
        <f t="shared" ca="1" si="11"/>
        <v>4</v>
      </c>
      <c r="AJ149" s="12">
        <f t="shared" ca="1" si="12"/>
        <v>1</v>
      </c>
      <c r="AK149" s="8" t="s">
        <v>838</v>
      </c>
      <c r="AL149" s="8"/>
      <c r="AM149" s="5"/>
      <c r="AN149" s="5"/>
      <c r="AO149" s="5"/>
      <c r="AP149" s="12" t="str">
        <f t="shared" ca="1" si="13"/>
        <v>NA</v>
      </c>
      <c r="AQ149" s="12" t="str">
        <f t="shared" ca="1" si="14"/>
        <v>NA</v>
      </c>
      <c r="AR149" s="12" t="str">
        <f t="shared" ca="1" si="15"/>
        <v>NA</v>
      </c>
      <c r="AS149" s="5"/>
      <c r="AT149" s="5"/>
      <c r="AU149" s="5"/>
      <c r="AV149" s="12" t="str">
        <f t="shared" ca="1" si="16"/>
        <v>NA</v>
      </c>
      <c r="AW149" s="12" t="str">
        <f t="shared" ca="1" si="17"/>
        <v>NA</v>
      </c>
      <c r="AX149" s="12" t="str">
        <f t="shared" ca="1" si="18"/>
        <v>NA</v>
      </c>
      <c r="AY149" s="5"/>
      <c r="AZ149" s="5"/>
      <c r="BA149" s="6"/>
      <c r="BB149" s="12" t="str">
        <f t="shared" ca="1" si="19"/>
        <v>NA</v>
      </c>
      <c r="BC149" s="12" t="str">
        <f t="shared" ca="1" si="20"/>
        <v>NA</v>
      </c>
      <c r="BD149" s="12" t="str">
        <f t="shared" ca="1" si="21"/>
        <v>NA</v>
      </c>
      <c r="BE149" s="5"/>
      <c r="BF149" s="5"/>
      <c r="BG149" s="5"/>
      <c r="BH149" s="12" t="str">
        <f t="shared" ca="1" si="22"/>
        <v>NA</v>
      </c>
      <c r="BI149" s="12" t="str">
        <f t="shared" ca="1" si="23"/>
        <v>NA</v>
      </c>
      <c r="BJ149" s="12" t="str">
        <f t="shared" ca="1" si="24"/>
        <v>NA</v>
      </c>
      <c r="BK149" s="5"/>
      <c r="BL149" s="5"/>
      <c r="BM149" s="12" t="str">
        <f t="shared" ca="1" si="25"/>
        <v>NA</v>
      </c>
      <c r="BN149" s="12" t="str">
        <f t="shared" ca="1" si="26"/>
        <v>NA</v>
      </c>
      <c r="BO149" s="12" t="str">
        <f t="shared" ca="1" si="27"/>
        <v>NA</v>
      </c>
      <c r="BP149" s="5"/>
      <c r="BQ149" s="5"/>
      <c r="BR149" s="5"/>
      <c r="BS149" s="12" t="str">
        <f t="shared" ca="1" si="28"/>
        <v>NA</v>
      </c>
      <c r="BT149" s="12" t="str">
        <f t="shared" ca="1" si="29"/>
        <v>NA</v>
      </c>
      <c r="BU149" s="12" t="str">
        <f t="shared" ca="1" si="30"/>
        <v>NA</v>
      </c>
      <c r="BV149" s="5"/>
      <c r="BW149" s="5"/>
      <c r="BX149" s="12" t="str">
        <f t="shared" ca="1" si="31"/>
        <v>NA</v>
      </c>
      <c r="BY149" s="12" t="str">
        <f t="shared" ca="1" si="32"/>
        <v>NA</v>
      </c>
      <c r="BZ149" s="12" t="str">
        <f t="shared" ca="1" si="33"/>
        <v>NA</v>
      </c>
      <c r="CA149" s="5"/>
    </row>
    <row r="150" spans="1:79" ht="12.75" customHeight="1" x14ac:dyDescent="0.15">
      <c r="A150" s="4">
        <v>2447</v>
      </c>
      <c r="B150" s="5" t="s">
        <v>79</v>
      </c>
      <c r="C150" s="5" t="s">
        <v>79</v>
      </c>
      <c r="D150" s="6" t="s">
        <v>839</v>
      </c>
      <c r="E150" s="7">
        <v>107007</v>
      </c>
      <c r="F150" s="6" t="s">
        <v>840</v>
      </c>
      <c r="G150" s="8"/>
      <c r="H150" s="8"/>
      <c r="I150" s="8"/>
      <c r="J150" s="8"/>
      <c r="K150" s="8"/>
      <c r="L150" s="8" t="s">
        <v>82</v>
      </c>
      <c r="M150" s="7">
        <v>2338</v>
      </c>
      <c r="N150" s="7">
        <v>2340</v>
      </c>
      <c r="O150" s="13">
        <v>38451</v>
      </c>
      <c r="P150" s="10">
        <f t="shared" ca="1" si="0"/>
        <v>0</v>
      </c>
      <c r="Q150" s="5">
        <f t="shared" ca="1" si="1"/>
        <v>0</v>
      </c>
      <c r="R150" s="5">
        <f t="shared" ca="1" si="2"/>
        <v>0</v>
      </c>
      <c r="S150" s="7">
        <f t="shared" ca="1" si="3"/>
        <v>2005</v>
      </c>
      <c r="T150" s="7">
        <f t="shared" ca="1" si="4"/>
        <v>4</v>
      </c>
      <c r="U150" s="7">
        <f t="shared" ca="1" si="5"/>
        <v>9</v>
      </c>
      <c r="V150" s="6" t="s">
        <v>841</v>
      </c>
      <c r="W150" s="14" t="s">
        <v>96</v>
      </c>
      <c r="X150" s="15"/>
      <c r="Y150" s="5">
        <f t="shared" ca="1" si="6"/>
        <v>0</v>
      </c>
      <c r="Z150" s="6"/>
      <c r="AA150" s="12" t="str">
        <f t="shared" ca="1" si="7"/>
        <v>NA</v>
      </c>
      <c r="AB150" s="12" t="str">
        <f t="shared" ca="1" si="8"/>
        <v>NA</v>
      </c>
      <c r="AC150" s="12" t="str">
        <f t="shared" ca="1" si="9"/>
        <v>NA</v>
      </c>
      <c r="AD150" s="6"/>
      <c r="AE150" s="5"/>
      <c r="AF150" s="6"/>
      <c r="AG150" s="11">
        <v>38451</v>
      </c>
      <c r="AH150" s="12">
        <f t="shared" ca="1" si="10"/>
        <v>2005</v>
      </c>
      <c r="AI150" s="12">
        <f t="shared" ca="1" si="11"/>
        <v>4</v>
      </c>
      <c r="AJ150" s="12">
        <f t="shared" ca="1" si="12"/>
        <v>9</v>
      </c>
      <c r="AK150" s="8" t="s">
        <v>842</v>
      </c>
      <c r="AL150" s="8"/>
      <c r="AM150" s="5"/>
      <c r="AN150" s="5"/>
      <c r="AO150" s="5"/>
      <c r="AP150" s="12" t="str">
        <f t="shared" ca="1" si="13"/>
        <v>NA</v>
      </c>
      <c r="AQ150" s="12" t="str">
        <f t="shared" ca="1" si="14"/>
        <v>NA</v>
      </c>
      <c r="AR150" s="12" t="str">
        <f t="shared" ca="1" si="15"/>
        <v>NA</v>
      </c>
      <c r="AS150" s="5"/>
      <c r="AT150" s="5"/>
      <c r="AU150" s="5"/>
      <c r="AV150" s="12" t="str">
        <f t="shared" ca="1" si="16"/>
        <v>NA</v>
      </c>
      <c r="AW150" s="12" t="str">
        <f t="shared" ca="1" si="17"/>
        <v>NA</v>
      </c>
      <c r="AX150" s="12" t="str">
        <f t="shared" ca="1" si="18"/>
        <v>NA</v>
      </c>
      <c r="AY150" s="5"/>
      <c r="AZ150" s="5"/>
      <c r="BA150" s="6"/>
      <c r="BB150" s="12" t="str">
        <f t="shared" ca="1" si="19"/>
        <v>NA</v>
      </c>
      <c r="BC150" s="12" t="str">
        <f t="shared" ca="1" si="20"/>
        <v>NA</v>
      </c>
      <c r="BD150" s="12" t="str">
        <f t="shared" ca="1" si="21"/>
        <v>NA</v>
      </c>
      <c r="BE150" s="5"/>
      <c r="BF150" s="5"/>
      <c r="BG150" s="5"/>
      <c r="BH150" s="12" t="str">
        <f t="shared" ca="1" si="22"/>
        <v>NA</v>
      </c>
      <c r="BI150" s="12" t="str">
        <f t="shared" ca="1" si="23"/>
        <v>NA</v>
      </c>
      <c r="BJ150" s="12" t="str">
        <f t="shared" ca="1" si="24"/>
        <v>NA</v>
      </c>
      <c r="BK150" s="5"/>
      <c r="BL150" s="5"/>
      <c r="BM150" s="12" t="str">
        <f t="shared" ca="1" si="25"/>
        <v>NA</v>
      </c>
      <c r="BN150" s="12" t="str">
        <f t="shared" ca="1" si="26"/>
        <v>NA</v>
      </c>
      <c r="BO150" s="12" t="str">
        <f t="shared" ca="1" si="27"/>
        <v>NA</v>
      </c>
      <c r="BP150" s="5"/>
      <c r="BQ150" s="5"/>
      <c r="BR150" s="5"/>
      <c r="BS150" s="12" t="str">
        <f t="shared" ca="1" si="28"/>
        <v>NA</v>
      </c>
      <c r="BT150" s="12" t="str">
        <f t="shared" ca="1" si="29"/>
        <v>NA</v>
      </c>
      <c r="BU150" s="12" t="str">
        <f t="shared" ca="1" si="30"/>
        <v>NA</v>
      </c>
      <c r="BV150" s="5"/>
      <c r="BW150" s="5"/>
      <c r="BX150" s="12" t="str">
        <f t="shared" ca="1" si="31"/>
        <v>NA</v>
      </c>
      <c r="BY150" s="12" t="str">
        <f t="shared" ca="1" si="32"/>
        <v>NA</v>
      </c>
      <c r="BZ150" s="12" t="str">
        <f t="shared" ca="1" si="33"/>
        <v>NA</v>
      </c>
      <c r="CA150" s="5"/>
    </row>
    <row r="151" spans="1:79" ht="12.75" customHeight="1" x14ac:dyDescent="0.15">
      <c r="A151" s="4">
        <v>2448</v>
      </c>
      <c r="B151" s="5" t="s">
        <v>79</v>
      </c>
      <c r="C151" s="5" t="s">
        <v>79</v>
      </c>
      <c r="D151" s="6" t="s">
        <v>843</v>
      </c>
      <c r="E151" s="7">
        <v>107008</v>
      </c>
      <c r="F151" s="6" t="s">
        <v>844</v>
      </c>
      <c r="G151" s="8"/>
      <c r="H151" s="8"/>
      <c r="I151" s="8"/>
      <c r="J151" s="8"/>
      <c r="K151" s="8"/>
      <c r="L151" s="8" t="s">
        <v>82</v>
      </c>
      <c r="M151" s="7">
        <v>2338</v>
      </c>
      <c r="N151" s="7">
        <v>2340</v>
      </c>
      <c r="O151" s="13">
        <v>38451</v>
      </c>
      <c r="P151" s="10">
        <f t="shared" ca="1" si="0"/>
        <v>0</v>
      </c>
      <c r="Q151" s="5">
        <f t="shared" ca="1" si="1"/>
        <v>0</v>
      </c>
      <c r="R151" s="5">
        <f t="shared" ca="1" si="2"/>
        <v>0</v>
      </c>
      <c r="S151" s="7">
        <f t="shared" ca="1" si="3"/>
        <v>2005</v>
      </c>
      <c r="T151" s="7">
        <f t="shared" ca="1" si="4"/>
        <v>4</v>
      </c>
      <c r="U151" s="7">
        <f t="shared" ca="1" si="5"/>
        <v>9</v>
      </c>
      <c r="V151" s="6" t="s">
        <v>845</v>
      </c>
      <c r="W151" s="14" t="s">
        <v>96</v>
      </c>
      <c r="X151" s="15"/>
      <c r="Y151" s="5">
        <f t="shared" ca="1" si="6"/>
        <v>0</v>
      </c>
      <c r="Z151" s="6"/>
      <c r="AA151" s="12" t="str">
        <f t="shared" ca="1" si="7"/>
        <v>NA</v>
      </c>
      <c r="AB151" s="12" t="str">
        <f t="shared" ca="1" si="8"/>
        <v>NA</v>
      </c>
      <c r="AC151" s="12" t="str">
        <f t="shared" ca="1" si="9"/>
        <v>NA</v>
      </c>
      <c r="AD151" s="6"/>
      <c r="AE151" s="5"/>
      <c r="AF151" s="6"/>
      <c r="AG151" s="11">
        <v>38451</v>
      </c>
      <c r="AH151" s="12">
        <f t="shared" ca="1" si="10"/>
        <v>2005</v>
      </c>
      <c r="AI151" s="12">
        <f t="shared" ca="1" si="11"/>
        <v>4</v>
      </c>
      <c r="AJ151" s="12">
        <f t="shared" ca="1" si="12"/>
        <v>9</v>
      </c>
      <c r="AK151" s="8" t="s">
        <v>846</v>
      </c>
      <c r="AL151" s="8"/>
      <c r="AM151" s="5"/>
      <c r="AN151" s="5"/>
      <c r="AO151" s="5"/>
      <c r="AP151" s="12" t="str">
        <f t="shared" ca="1" si="13"/>
        <v>NA</v>
      </c>
      <c r="AQ151" s="12" t="str">
        <f t="shared" ca="1" si="14"/>
        <v>NA</v>
      </c>
      <c r="AR151" s="12" t="str">
        <f t="shared" ca="1" si="15"/>
        <v>NA</v>
      </c>
      <c r="AS151" s="5"/>
      <c r="AT151" s="5"/>
      <c r="AU151" s="5"/>
      <c r="AV151" s="12" t="str">
        <f t="shared" ca="1" si="16"/>
        <v>NA</v>
      </c>
      <c r="AW151" s="12" t="str">
        <f t="shared" ca="1" si="17"/>
        <v>NA</v>
      </c>
      <c r="AX151" s="12" t="str">
        <f t="shared" ca="1" si="18"/>
        <v>NA</v>
      </c>
      <c r="AY151" s="5"/>
      <c r="AZ151" s="5"/>
      <c r="BA151" s="6"/>
      <c r="BB151" s="12" t="str">
        <f t="shared" ca="1" si="19"/>
        <v>NA</v>
      </c>
      <c r="BC151" s="12" t="str">
        <f t="shared" ca="1" si="20"/>
        <v>NA</v>
      </c>
      <c r="BD151" s="12" t="str">
        <f t="shared" ca="1" si="21"/>
        <v>NA</v>
      </c>
      <c r="BE151" s="5"/>
      <c r="BF151" s="5"/>
      <c r="BG151" s="5"/>
      <c r="BH151" s="12" t="str">
        <f t="shared" ca="1" si="22"/>
        <v>NA</v>
      </c>
      <c r="BI151" s="12" t="str">
        <f t="shared" ca="1" si="23"/>
        <v>NA</v>
      </c>
      <c r="BJ151" s="12" t="str">
        <f t="shared" ca="1" si="24"/>
        <v>NA</v>
      </c>
      <c r="BK151" s="5"/>
      <c r="BL151" s="5"/>
      <c r="BM151" s="12" t="str">
        <f t="shared" ca="1" si="25"/>
        <v>NA</v>
      </c>
      <c r="BN151" s="12" t="str">
        <f t="shared" ca="1" si="26"/>
        <v>NA</v>
      </c>
      <c r="BO151" s="12" t="str">
        <f t="shared" ca="1" si="27"/>
        <v>NA</v>
      </c>
      <c r="BP151" s="5"/>
      <c r="BQ151" s="5"/>
      <c r="BR151" s="5"/>
      <c r="BS151" s="12" t="str">
        <f t="shared" ca="1" si="28"/>
        <v>NA</v>
      </c>
      <c r="BT151" s="12" t="str">
        <f t="shared" ca="1" si="29"/>
        <v>NA</v>
      </c>
      <c r="BU151" s="12" t="str">
        <f t="shared" ca="1" si="30"/>
        <v>NA</v>
      </c>
      <c r="BV151" s="5"/>
      <c r="BW151" s="5"/>
      <c r="BX151" s="12" t="str">
        <f t="shared" ca="1" si="31"/>
        <v>NA</v>
      </c>
      <c r="BY151" s="12" t="str">
        <f t="shared" ca="1" si="32"/>
        <v>NA</v>
      </c>
      <c r="BZ151" s="12" t="str">
        <f t="shared" ca="1" si="33"/>
        <v>NA</v>
      </c>
      <c r="CA151" s="5"/>
    </row>
    <row r="152" spans="1:79" ht="12.75" customHeight="1" x14ac:dyDescent="0.15">
      <c r="A152" s="4">
        <v>2449</v>
      </c>
      <c r="B152" s="5" t="s">
        <v>79</v>
      </c>
      <c r="C152" s="5" t="s">
        <v>79</v>
      </c>
      <c r="D152" s="6" t="s">
        <v>847</v>
      </c>
      <c r="E152" s="7">
        <v>200739</v>
      </c>
      <c r="F152" s="6" t="s">
        <v>848</v>
      </c>
      <c r="G152" s="8"/>
      <c r="H152" s="8"/>
      <c r="I152" s="8"/>
      <c r="J152" s="8"/>
      <c r="K152" s="8"/>
      <c r="L152" s="8" t="s">
        <v>82</v>
      </c>
      <c r="M152" s="7">
        <v>1108</v>
      </c>
      <c r="N152" s="7">
        <v>1146</v>
      </c>
      <c r="O152" s="13">
        <v>38612</v>
      </c>
      <c r="P152" s="10">
        <f t="shared" ca="1" si="0"/>
        <v>11.827777777777778</v>
      </c>
      <c r="Q152" s="5">
        <f t="shared" ca="1" si="1"/>
        <v>141</v>
      </c>
      <c r="R152" s="5">
        <f t="shared" ca="1" si="2"/>
        <v>4319</v>
      </c>
      <c r="S152" s="7">
        <f t="shared" ca="1" si="3"/>
        <v>2005</v>
      </c>
      <c r="T152" s="7">
        <f t="shared" ca="1" si="4"/>
        <v>9</v>
      </c>
      <c r="U152" s="7">
        <f t="shared" ca="1" si="5"/>
        <v>17</v>
      </c>
      <c r="V152" s="6" t="s">
        <v>849</v>
      </c>
      <c r="W152" s="14" t="s">
        <v>96</v>
      </c>
      <c r="X152" s="15"/>
      <c r="Y152" s="5">
        <f t="shared" ca="1" si="6"/>
        <v>1</v>
      </c>
      <c r="Z152" s="6"/>
      <c r="AA152" s="12" t="str">
        <f t="shared" ca="1" si="7"/>
        <v>NA</v>
      </c>
      <c r="AB152" s="12" t="str">
        <f t="shared" ca="1" si="8"/>
        <v>NA</v>
      </c>
      <c r="AC152" s="12" t="str">
        <f t="shared" ca="1" si="9"/>
        <v>NA</v>
      </c>
      <c r="AD152" s="6"/>
      <c r="AE152" s="5"/>
      <c r="AF152" s="6"/>
      <c r="AG152" s="11">
        <v>42931</v>
      </c>
      <c r="AH152" s="12">
        <f t="shared" ca="1" si="10"/>
        <v>2017</v>
      </c>
      <c r="AI152" s="12">
        <f t="shared" ca="1" si="11"/>
        <v>7</v>
      </c>
      <c r="AJ152" s="12">
        <f t="shared" ca="1" si="12"/>
        <v>15</v>
      </c>
      <c r="AK152" s="8" t="s">
        <v>850</v>
      </c>
      <c r="AL152" s="8"/>
      <c r="AM152" s="5"/>
      <c r="AN152" s="5"/>
      <c r="AO152" s="11">
        <v>38960</v>
      </c>
      <c r="AP152" s="12">
        <f t="shared" ca="1" si="13"/>
        <v>2006</v>
      </c>
      <c r="AQ152" s="12">
        <f t="shared" ca="1" si="14"/>
        <v>8</v>
      </c>
      <c r="AR152" s="12">
        <f t="shared" ca="1" si="15"/>
        <v>31</v>
      </c>
      <c r="AS152" s="8" t="s">
        <v>851</v>
      </c>
      <c r="AT152" s="8"/>
      <c r="AU152" s="5"/>
      <c r="AV152" s="12" t="str">
        <f t="shared" ca="1" si="16"/>
        <v>NA</v>
      </c>
      <c r="AW152" s="12" t="str">
        <f t="shared" ca="1" si="17"/>
        <v>NA</v>
      </c>
      <c r="AX152" s="12" t="str">
        <f t="shared" ca="1" si="18"/>
        <v>NA</v>
      </c>
      <c r="AY152" s="5"/>
      <c r="AZ152" s="5"/>
      <c r="BA152" s="6"/>
      <c r="BB152" s="12" t="str">
        <f t="shared" ca="1" si="19"/>
        <v>NA</v>
      </c>
      <c r="BC152" s="12" t="str">
        <f t="shared" ca="1" si="20"/>
        <v>NA</v>
      </c>
      <c r="BD152" s="12" t="str">
        <f t="shared" ca="1" si="21"/>
        <v>NA</v>
      </c>
      <c r="BE152" s="5"/>
      <c r="BF152" s="5"/>
      <c r="BG152" s="5"/>
      <c r="BH152" s="12" t="str">
        <f t="shared" ca="1" si="22"/>
        <v>NA</v>
      </c>
      <c r="BI152" s="12" t="str">
        <f t="shared" ca="1" si="23"/>
        <v>NA</v>
      </c>
      <c r="BJ152" s="12" t="str">
        <f t="shared" ca="1" si="24"/>
        <v>NA</v>
      </c>
      <c r="BK152" s="5"/>
      <c r="BL152" s="5"/>
      <c r="BM152" s="12" t="str">
        <f t="shared" ca="1" si="25"/>
        <v>NA</v>
      </c>
      <c r="BN152" s="12" t="str">
        <f t="shared" ca="1" si="26"/>
        <v>NA</v>
      </c>
      <c r="BO152" s="12" t="str">
        <f t="shared" ca="1" si="27"/>
        <v>NA</v>
      </c>
      <c r="BP152" s="5"/>
      <c r="BQ152" s="5"/>
      <c r="BR152" s="5"/>
      <c r="BS152" s="12" t="str">
        <f t="shared" ca="1" si="28"/>
        <v>NA</v>
      </c>
      <c r="BT152" s="12" t="str">
        <f t="shared" ca="1" si="29"/>
        <v>NA</v>
      </c>
      <c r="BU152" s="12" t="str">
        <f t="shared" ca="1" si="30"/>
        <v>NA</v>
      </c>
      <c r="BV152" s="5"/>
      <c r="BW152" s="5"/>
      <c r="BX152" s="12" t="str">
        <f t="shared" ca="1" si="31"/>
        <v>NA</v>
      </c>
      <c r="BY152" s="12" t="str">
        <f t="shared" ca="1" si="32"/>
        <v>NA</v>
      </c>
      <c r="BZ152" s="12" t="str">
        <f t="shared" ca="1" si="33"/>
        <v>NA</v>
      </c>
      <c r="CA152" s="5"/>
    </row>
    <row r="153" spans="1:79" ht="12.75" customHeight="1" x14ac:dyDescent="0.15">
      <c r="A153" s="4">
        <v>2661</v>
      </c>
      <c r="B153" s="5" t="s">
        <v>852</v>
      </c>
      <c r="C153" s="5" t="s">
        <v>852</v>
      </c>
      <c r="D153" s="6" t="s">
        <v>853</v>
      </c>
      <c r="E153" s="6" t="s">
        <v>854</v>
      </c>
      <c r="F153" s="6" t="s">
        <v>855</v>
      </c>
      <c r="G153" s="8" t="s">
        <v>856</v>
      </c>
      <c r="H153" s="6" t="s">
        <v>857</v>
      </c>
      <c r="I153" s="8">
        <v>2682</v>
      </c>
      <c r="J153" s="8"/>
      <c r="K153" s="8" t="s">
        <v>858</v>
      </c>
      <c r="L153" s="8" t="s">
        <v>82</v>
      </c>
      <c r="M153" s="7">
        <v>2639</v>
      </c>
      <c r="N153" s="7">
        <v>2642</v>
      </c>
      <c r="O153" s="13">
        <v>42164</v>
      </c>
      <c r="P153" s="10" t="str">
        <f t="shared" ca="1" si="0"/>
        <v>NA</v>
      </c>
      <c r="Q153" s="5" t="str">
        <f t="shared" ca="1" si="1"/>
        <v>NA</v>
      </c>
      <c r="R153" s="5" t="str">
        <f t="shared" ca="1" si="2"/>
        <v>NA</v>
      </c>
      <c r="S153" s="7">
        <f t="shared" ca="1" si="3"/>
        <v>2015</v>
      </c>
      <c r="T153" s="7">
        <f t="shared" ca="1" si="4"/>
        <v>6</v>
      </c>
      <c r="U153" s="7">
        <f t="shared" ca="1" si="5"/>
        <v>9</v>
      </c>
      <c r="V153" s="6" t="s">
        <v>859</v>
      </c>
      <c r="W153" s="14" t="s">
        <v>96</v>
      </c>
      <c r="X153" s="15"/>
      <c r="Y153" s="5">
        <f t="shared" ca="1" si="6"/>
        <v>2</v>
      </c>
      <c r="Z153" s="6"/>
      <c r="AA153" s="12" t="str">
        <f t="shared" ca="1" si="7"/>
        <v>NA</v>
      </c>
      <c r="AB153" s="12" t="str">
        <f t="shared" ca="1" si="8"/>
        <v>NA</v>
      </c>
      <c r="AC153" s="12" t="str">
        <f t="shared" ca="1" si="9"/>
        <v>NA</v>
      </c>
      <c r="AD153" s="6"/>
      <c r="AE153" s="5"/>
      <c r="AF153" s="6"/>
      <c r="AG153" s="5"/>
      <c r="AH153" s="12" t="str">
        <f t="shared" ca="1" si="10"/>
        <v>NA</v>
      </c>
      <c r="AI153" s="12" t="str">
        <f t="shared" ca="1" si="11"/>
        <v>NA</v>
      </c>
      <c r="AJ153" s="12" t="str">
        <f t="shared" ca="1" si="12"/>
        <v>NA</v>
      </c>
      <c r="AK153" s="5"/>
      <c r="AL153" s="5"/>
      <c r="AM153" s="5"/>
      <c r="AN153" s="5"/>
      <c r="AO153" s="11">
        <v>42550</v>
      </c>
      <c r="AP153" s="12">
        <f t="shared" ca="1" si="13"/>
        <v>2016</v>
      </c>
      <c r="AQ153" s="12">
        <f t="shared" ca="1" si="14"/>
        <v>6</v>
      </c>
      <c r="AR153" s="12">
        <f t="shared" ca="1" si="15"/>
        <v>29</v>
      </c>
      <c r="AS153" s="8" t="s">
        <v>860</v>
      </c>
      <c r="AT153" s="8"/>
      <c r="AU153" s="11">
        <v>42738</v>
      </c>
      <c r="AV153" s="12">
        <f t="shared" ca="1" si="16"/>
        <v>2017</v>
      </c>
      <c r="AW153" s="12">
        <f t="shared" ca="1" si="17"/>
        <v>1</v>
      </c>
      <c r="AX153" s="12">
        <f t="shared" ca="1" si="18"/>
        <v>3</v>
      </c>
      <c r="AY153" s="8" t="s">
        <v>861</v>
      </c>
      <c r="AZ153" s="8"/>
      <c r="BA153" s="18"/>
      <c r="BB153" s="12" t="str">
        <f t="shared" ca="1" si="19"/>
        <v>NA</v>
      </c>
      <c r="BC153" s="12" t="str">
        <f t="shared" ca="1" si="20"/>
        <v>NA</v>
      </c>
      <c r="BD153" s="12" t="str">
        <f t="shared" ca="1" si="21"/>
        <v>NA</v>
      </c>
      <c r="BE153" s="5"/>
      <c r="BF153" s="5"/>
      <c r="BG153" s="5"/>
      <c r="BH153" s="12" t="str">
        <f t="shared" ca="1" si="22"/>
        <v>NA</v>
      </c>
      <c r="BI153" s="12" t="str">
        <f t="shared" ca="1" si="23"/>
        <v>NA</v>
      </c>
      <c r="BJ153" s="12" t="str">
        <f t="shared" ca="1" si="24"/>
        <v>NA</v>
      </c>
      <c r="BK153" s="5"/>
      <c r="BL153" s="5"/>
      <c r="BM153" s="12" t="str">
        <f t="shared" ca="1" si="25"/>
        <v>NA</v>
      </c>
      <c r="BN153" s="12" t="str">
        <f t="shared" ca="1" si="26"/>
        <v>NA</v>
      </c>
      <c r="BO153" s="12" t="str">
        <f t="shared" ca="1" si="27"/>
        <v>NA</v>
      </c>
      <c r="BP153" s="5"/>
      <c r="BQ153" s="5"/>
      <c r="BR153" s="5"/>
      <c r="BS153" s="12" t="str">
        <f t="shared" ca="1" si="28"/>
        <v>NA</v>
      </c>
      <c r="BT153" s="12" t="str">
        <f t="shared" ca="1" si="29"/>
        <v>NA</v>
      </c>
      <c r="BU153" s="12" t="str">
        <f t="shared" ca="1" si="30"/>
        <v>NA</v>
      </c>
      <c r="BV153" s="5"/>
      <c r="BW153" s="5"/>
      <c r="BX153" s="12" t="str">
        <f t="shared" ca="1" si="31"/>
        <v>NA</v>
      </c>
      <c r="BY153" s="12" t="str">
        <f t="shared" ca="1" si="32"/>
        <v>NA</v>
      </c>
      <c r="BZ153" s="12" t="str">
        <f t="shared" ca="1" si="33"/>
        <v>NA</v>
      </c>
      <c r="CA153" s="5"/>
    </row>
    <row r="154" spans="1:79" ht="12.75" customHeight="1" x14ac:dyDescent="0.15">
      <c r="A154" s="4">
        <v>2450</v>
      </c>
      <c r="B154" s="5" t="s">
        <v>79</v>
      </c>
      <c r="C154" s="5" t="s">
        <v>79</v>
      </c>
      <c r="D154" s="6" t="s">
        <v>862</v>
      </c>
      <c r="E154" s="7">
        <v>202198</v>
      </c>
      <c r="F154" s="6" t="s">
        <v>863</v>
      </c>
      <c r="G154" s="8"/>
      <c r="H154" s="8"/>
      <c r="I154" s="8"/>
      <c r="J154" s="8"/>
      <c r="K154" s="8"/>
      <c r="L154" s="8" t="s">
        <v>82</v>
      </c>
      <c r="M154" s="7">
        <v>1108</v>
      </c>
      <c r="N154" s="7">
        <v>1146</v>
      </c>
      <c r="O154" s="13">
        <v>38612</v>
      </c>
      <c r="P154" s="10" t="str">
        <f t="shared" ca="1" si="0"/>
        <v>NA</v>
      </c>
      <c r="Q154" s="5" t="str">
        <f t="shared" ca="1" si="1"/>
        <v>NA</v>
      </c>
      <c r="R154" s="5" t="str">
        <f t="shared" ca="1" si="2"/>
        <v>NA</v>
      </c>
      <c r="S154" s="7">
        <f t="shared" ca="1" si="3"/>
        <v>2005</v>
      </c>
      <c r="T154" s="7">
        <f t="shared" ca="1" si="4"/>
        <v>9</v>
      </c>
      <c r="U154" s="7">
        <f t="shared" ca="1" si="5"/>
        <v>17</v>
      </c>
      <c r="V154" s="6" t="s">
        <v>864</v>
      </c>
      <c r="W154" s="14" t="s">
        <v>96</v>
      </c>
      <c r="X154" s="15"/>
      <c r="Y154" s="5">
        <f t="shared" ca="1" si="6"/>
        <v>3</v>
      </c>
      <c r="Z154" s="6"/>
      <c r="AA154" s="12" t="str">
        <f t="shared" ca="1" si="7"/>
        <v>NA</v>
      </c>
      <c r="AB154" s="12" t="str">
        <f t="shared" ca="1" si="8"/>
        <v>NA</v>
      </c>
      <c r="AC154" s="12" t="str">
        <f t="shared" ca="1" si="9"/>
        <v>NA</v>
      </c>
      <c r="AD154" s="6"/>
      <c r="AE154" s="5"/>
      <c r="AF154" s="6"/>
      <c r="AG154" s="5"/>
      <c r="AH154" s="12" t="str">
        <f t="shared" ca="1" si="10"/>
        <v>NA</v>
      </c>
      <c r="AI154" s="12" t="str">
        <f t="shared" ca="1" si="11"/>
        <v>NA</v>
      </c>
      <c r="AJ154" s="12" t="str">
        <f t="shared" ca="1" si="12"/>
        <v>NA</v>
      </c>
      <c r="AK154" s="5"/>
      <c r="AL154" s="5"/>
      <c r="AM154" s="5"/>
      <c r="AN154" s="5"/>
      <c r="AO154" s="11">
        <v>39777</v>
      </c>
      <c r="AP154" s="12">
        <f t="shared" ca="1" si="13"/>
        <v>2008</v>
      </c>
      <c r="AQ154" s="12">
        <f t="shared" ca="1" si="14"/>
        <v>11</v>
      </c>
      <c r="AR154" s="12">
        <f t="shared" ca="1" si="15"/>
        <v>25</v>
      </c>
      <c r="AS154" s="8" t="s">
        <v>865</v>
      </c>
      <c r="AT154" s="8"/>
      <c r="AU154" s="11">
        <v>40823</v>
      </c>
      <c r="AV154" s="12">
        <f t="shared" ca="1" si="16"/>
        <v>2011</v>
      </c>
      <c r="AW154" s="12">
        <f t="shared" ca="1" si="17"/>
        <v>10</v>
      </c>
      <c r="AX154" s="12">
        <f t="shared" ca="1" si="18"/>
        <v>7</v>
      </c>
      <c r="AY154" s="8" t="s">
        <v>866</v>
      </c>
      <c r="AZ154" s="8"/>
      <c r="BA154" s="11">
        <v>44119</v>
      </c>
      <c r="BB154" s="12">
        <f t="shared" ca="1" si="19"/>
        <v>2020</v>
      </c>
      <c r="BC154" s="12">
        <f t="shared" ca="1" si="20"/>
        <v>10</v>
      </c>
      <c r="BD154" s="12">
        <f t="shared" ca="1" si="21"/>
        <v>15</v>
      </c>
      <c r="BE154" s="8" t="s">
        <v>867</v>
      </c>
      <c r="BF154" s="8"/>
      <c r="BG154" s="5"/>
      <c r="BH154" s="12" t="str">
        <f t="shared" ca="1" si="22"/>
        <v>NA</v>
      </c>
      <c r="BI154" s="12" t="str">
        <f t="shared" ca="1" si="23"/>
        <v>NA</v>
      </c>
      <c r="BJ154" s="12" t="str">
        <f t="shared" ca="1" si="24"/>
        <v>NA</v>
      </c>
      <c r="BK154" s="5"/>
      <c r="BL154" s="5"/>
      <c r="BM154" s="12" t="str">
        <f t="shared" ca="1" si="25"/>
        <v>NA</v>
      </c>
      <c r="BN154" s="12" t="str">
        <f t="shared" ca="1" si="26"/>
        <v>NA</v>
      </c>
      <c r="BO154" s="12" t="str">
        <f t="shared" ca="1" si="27"/>
        <v>NA</v>
      </c>
      <c r="BP154" s="5"/>
      <c r="BQ154" s="5"/>
      <c r="BR154" s="5"/>
      <c r="BS154" s="12" t="str">
        <f t="shared" ca="1" si="28"/>
        <v>NA</v>
      </c>
      <c r="BT154" s="12" t="str">
        <f t="shared" ca="1" si="29"/>
        <v>NA</v>
      </c>
      <c r="BU154" s="12" t="str">
        <f t="shared" ca="1" si="30"/>
        <v>NA</v>
      </c>
      <c r="BV154" s="5"/>
      <c r="BW154" s="5"/>
      <c r="BX154" s="12" t="str">
        <f t="shared" ca="1" si="31"/>
        <v>NA</v>
      </c>
      <c r="BY154" s="12" t="str">
        <f t="shared" ca="1" si="32"/>
        <v>NA</v>
      </c>
      <c r="BZ154" s="12" t="str">
        <f t="shared" ca="1" si="33"/>
        <v>NA</v>
      </c>
      <c r="CA154" s="5"/>
    </row>
    <row r="155" spans="1:79" ht="12.75" customHeight="1" x14ac:dyDescent="0.15">
      <c r="A155" s="4">
        <v>2451</v>
      </c>
      <c r="B155" s="5" t="s">
        <v>79</v>
      </c>
      <c r="C155" s="5" t="s">
        <v>79</v>
      </c>
      <c r="D155" s="6" t="s">
        <v>868</v>
      </c>
      <c r="E155" s="6" t="s">
        <v>869</v>
      </c>
      <c r="F155" s="6" t="s">
        <v>870</v>
      </c>
      <c r="G155" s="8"/>
      <c r="H155" s="8"/>
      <c r="I155" s="8"/>
      <c r="J155" s="8"/>
      <c r="K155" s="8"/>
      <c r="L155" s="8" t="s">
        <v>82</v>
      </c>
      <c r="M155" s="7">
        <v>1103</v>
      </c>
      <c r="N155" s="7">
        <v>1097</v>
      </c>
      <c r="O155" s="13">
        <v>38262</v>
      </c>
      <c r="P155" s="10">
        <f t="shared" ca="1" si="0"/>
        <v>11.341666666666667</v>
      </c>
      <c r="Q155" s="5">
        <f t="shared" ca="1" si="1"/>
        <v>136</v>
      </c>
      <c r="R155" s="5">
        <f t="shared" ca="1" si="2"/>
        <v>4143</v>
      </c>
      <c r="S155" s="7">
        <f t="shared" ca="1" si="3"/>
        <v>2004</v>
      </c>
      <c r="T155" s="7">
        <f t="shared" ca="1" si="4"/>
        <v>10</v>
      </c>
      <c r="U155" s="7">
        <f t="shared" ca="1" si="5"/>
        <v>2</v>
      </c>
      <c r="V155" s="6" t="s">
        <v>871</v>
      </c>
      <c r="W155" s="14" t="s">
        <v>96</v>
      </c>
      <c r="X155" s="15"/>
      <c r="Y155" s="5">
        <f t="shared" ca="1" si="6"/>
        <v>2</v>
      </c>
      <c r="Z155" s="6"/>
      <c r="AA155" s="12" t="str">
        <f t="shared" ca="1" si="7"/>
        <v>NA</v>
      </c>
      <c r="AB155" s="12" t="str">
        <f t="shared" ca="1" si="8"/>
        <v>NA</v>
      </c>
      <c r="AC155" s="12" t="str">
        <f t="shared" ca="1" si="9"/>
        <v>NA</v>
      </c>
      <c r="AD155" s="6"/>
      <c r="AE155" s="5"/>
      <c r="AF155" s="6"/>
      <c r="AG155" s="11">
        <v>42405</v>
      </c>
      <c r="AH155" s="12">
        <f t="shared" ca="1" si="10"/>
        <v>2016</v>
      </c>
      <c r="AI155" s="12">
        <f t="shared" ca="1" si="11"/>
        <v>2</v>
      </c>
      <c r="AJ155" s="12">
        <f t="shared" ca="1" si="12"/>
        <v>5</v>
      </c>
      <c r="AK155" s="8" t="s">
        <v>872</v>
      </c>
      <c r="AL155" s="8"/>
      <c r="AM155" s="5"/>
      <c r="AN155" s="5"/>
      <c r="AO155" s="11">
        <v>39723</v>
      </c>
      <c r="AP155" s="12">
        <f t="shared" ca="1" si="13"/>
        <v>2008</v>
      </c>
      <c r="AQ155" s="12">
        <f t="shared" ca="1" si="14"/>
        <v>10</v>
      </c>
      <c r="AR155" s="12">
        <f t="shared" ca="1" si="15"/>
        <v>2</v>
      </c>
      <c r="AS155" s="8" t="s">
        <v>873</v>
      </c>
      <c r="AT155" s="8"/>
      <c r="AU155" s="11">
        <v>41593</v>
      </c>
      <c r="AV155" s="12">
        <f t="shared" ca="1" si="16"/>
        <v>2013</v>
      </c>
      <c r="AW155" s="12">
        <f t="shared" ca="1" si="17"/>
        <v>11</v>
      </c>
      <c r="AX155" s="12">
        <f t="shared" ca="1" si="18"/>
        <v>15</v>
      </c>
      <c r="AY155" s="8" t="s">
        <v>874</v>
      </c>
      <c r="AZ155" s="8"/>
      <c r="BA155" s="6"/>
      <c r="BB155" s="12" t="str">
        <f t="shared" ca="1" si="19"/>
        <v>NA</v>
      </c>
      <c r="BC155" s="12" t="str">
        <f t="shared" ca="1" si="20"/>
        <v>NA</v>
      </c>
      <c r="BD155" s="12" t="str">
        <f t="shared" ca="1" si="21"/>
        <v>NA</v>
      </c>
      <c r="BE155" s="5"/>
      <c r="BF155" s="5"/>
      <c r="BG155" s="5"/>
      <c r="BH155" s="12" t="str">
        <f t="shared" ca="1" si="22"/>
        <v>NA</v>
      </c>
      <c r="BI155" s="12" t="str">
        <f t="shared" ca="1" si="23"/>
        <v>NA</v>
      </c>
      <c r="BJ155" s="12" t="str">
        <f t="shared" ca="1" si="24"/>
        <v>NA</v>
      </c>
      <c r="BK155" s="5"/>
      <c r="BL155" s="5"/>
      <c r="BM155" s="12" t="str">
        <f t="shared" ca="1" si="25"/>
        <v>NA</v>
      </c>
      <c r="BN155" s="12" t="str">
        <f t="shared" ca="1" si="26"/>
        <v>NA</v>
      </c>
      <c r="BO155" s="12" t="str">
        <f t="shared" ca="1" si="27"/>
        <v>NA</v>
      </c>
      <c r="BP155" s="5"/>
      <c r="BQ155" s="5"/>
      <c r="BR155" s="5"/>
      <c r="BS155" s="12" t="str">
        <f t="shared" ca="1" si="28"/>
        <v>NA</v>
      </c>
      <c r="BT155" s="12" t="str">
        <f t="shared" ca="1" si="29"/>
        <v>NA</v>
      </c>
      <c r="BU155" s="12" t="str">
        <f t="shared" ca="1" si="30"/>
        <v>NA</v>
      </c>
      <c r="BV155" s="5"/>
      <c r="BW155" s="5"/>
      <c r="BX155" s="12" t="str">
        <f t="shared" ca="1" si="31"/>
        <v>NA</v>
      </c>
      <c r="BY155" s="12" t="str">
        <f t="shared" ca="1" si="32"/>
        <v>NA</v>
      </c>
      <c r="BZ155" s="12" t="str">
        <f t="shared" ca="1" si="33"/>
        <v>NA</v>
      </c>
      <c r="CA155" s="5"/>
    </row>
    <row r="156" spans="1:79" ht="12.75" customHeight="1" x14ac:dyDescent="0.15">
      <c r="A156" s="4">
        <v>2452</v>
      </c>
      <c r="B156" s="5" t="s">
        <v>79</v>
      </c>
      <c r="C156" s="5" t="s">
        <v>79</v>
      </c>
      <c r="D156" s="6" t="s">
        <v>875</v>
      </c>
      <c r="E156" s="18"/>
      <c r="F156" s="6" t="s">
        <v>876</v>
      </c>
      <c r="G156" s="8"/>
      <c r="H156" s="8"/>
      <c r="I156" s="8"/>
      <c r="J156" s="8"/>
      <c r="K156" s="8"/>
      <c r="L156" s="8" t="s">
        <v>82</v>
      </c>
      <c r="M156" s="7">
        <v>1138</v>
      </c>
      <c r="N156" s="7">
        <v>2413</v>
      </c>
      <c r="O156" s="13">
        <v>38710</v>
      </c>
      <c r="P156" s="10">
        <f t="shared" ca="1" si="0"/>
        <v>0</v>
      </c>
      <c r="Q156" s="5">
        <f t="shared" ca="1" si="1"/>
        <v>0</v>
      </c>
      <c r="R156" s="5">
        <f t="shared" ca="1" si="2"/>
        <v>0</v>
      </c>
      <c r="S156" s="7">
        <f t="shared" ca="1" si="3"/>
        <v>2005</v>
      </c>
      <c r="T156" s="7">
        <f t="shared" ca="1" si="4"/>
        <v>12</v>
      </c>
      <c r="U156" s="7">
        <f t="shared" ca="1" si="5"/>
        <v>24</v>
      </c>
      <c r="V156" s="6" t="s">
        <v>877</v>
      </c>
      <c r="W156" s="14" t="s">
        <v>96</v>
      </c>
      <c r="X156" s="15"/>
      <c r="Y156" s="5">
        <f t="shared" ca="1" si="6"/>
        <v>1</v>
      </c>
      <c r="Z156" s="6"/>
      <c r="AA156" s="12" t="str">
        <f t="shared" ca="1" si="7"/>
        <v>NA</v>
      </c>
      <c r="AB156" s="12" t="str">
        <f t="shared" ca="1" si="8"/>
        <v>NA</v>
      </c>
      <c r="AC156" s="12" t="str">
        <f t="shared" ca="1" si="9"/>
        <v>NA</v>
      </c>
      <c r="AD156" s="6"/>
      <c r="AE156" s="5"/>
      <c r="AF156" s="6"/>
      <c r="AG156" s="11">
        <v>38710</v>
      </c>
      <c r="AH156" s="12">
        <f t="shared" ca="1" si="10"/>
        <v>2005</v>
      </c>
      <c r="AI156" s="12">
        <f t="shared" ca="1" si="11"/>
        <v>12</v>
      </c>
      <c r="AJ156" s="12">
        <f t="shared" ca="1" si="12"/>
        <v>24</v>
      </c>
      <c r="AK156" s="8" t="s">
        <v>878</v>
      </c>
      <c r="AL156" s="8"/>
      <c r="AM156" s="5"/>
      <c r="AN156" s="5"/>
      <c r="AO156" s="11">
        <v>38223</v>
      </c>
      <c r="AP156" s="12">
        <f t="shared" ca="1" si="13"/>
        <v>2004</v>
      </c>
      <c r="AQ156" s="12">
        <f t="shared" ca="1" si="14"/>
        <v>8</v>
      </c>
      <c r="AR156" s="12">
        <f t="shared" ca="1" si="15"/>
        <v>24</v>
      </c>
      <c r="AS156" s="8" t="s">
        <v>879</v>
      </c>
      <c r="AT156" s="8"/>
      <c r="AU156" s="5"/>
      <c r="AV156" s="12" t="str">
        <f t="shared" ca="1" si="16"/>
        <v>NA</v>
      </c>
      <c r="AW156" s="12" t="str">
        <f t="shared" ca="1" si="17"/>
        <v>NA</v>
      </c>
      <c r="AX156" s="12" t="str">
        <f t="shared" ca="1" si="18"/>
        <v>NA</v>
      </c>
      <c r="AY156" s="5"/>
      <c r="AZ156" s="5"/>
      <c r="BA156" s="6"/>
      <c r="BB156" s="12" t="str">
        <f t="shared" ca="1" si="19"/>
        <v>NA</v>
      </c>
      <c r="BC156" s="12" t="str">
        <f t="shared" ca="1" si="20"/>
        <v>NA</v>
      </c>
      <c r="BD156" s="12" t="str">
        <f t="shared" ca="1" si="21"/>
        <v>NA</v>
      </c>
      <c r="BE156" s="5"/>
      <c r="BF156" s="5"/>
      <c r="BG156" s="5"/>
      <c r="BH156" s="12" t="str">
        <f t="shared" ca="1" si="22"/>
        <v>NA</v>
      </c>
      <c r="BI156" s="12" t="str">
        <f t="shared" ca="1" si="23"/>
        <v>NA</v>
      </c>
      <c r="BJ156" s="12" t="str">
        <f t="shared" ca="1" si="24"/>
        <v>NA</v>
      </c>
      <c r="BK156" s="5"/>
      <c r="BL156" s="5"/>
      <c r="BM156" s="12" t="str">
        <f t="shared" ca="1" si="25"/>
        <v>NA</v>
      </c>
      <c r="BN156" s="12" t="str">
        <f t="shared" ca="1" si="26"/>
        <v>NA</v>
      </c>
      <c r="BO156" s="12" t="str">
        <f t="shared" ca="1" si="27"/>
        <v>NA</v>
      </c>
      <c r="BP156" s="5"/>
      <c r="BQ156" s="5"/>
      <c r="BR156" s="5"/>
      <c r="BS156" s="12" t="str">
        <f t="shared" ca="1" si="28"/>
        <v>NA</v>
      </c>
      <c r="BT156" s="12" t="str">
        <f t="shared" ca="1" si="29"/>
        <v>NA</v>
      </c>
      <c r="BU156" s="12" t="str">
        <f t="shared" ca="1" si="30"/>
        <v>NA</v>
      </c>
      <c r="BV156" s="5"/>
      <c r="BW156" s="5"/>
      <c r="BX156" s="12" t="str">
        <f t="shared" ca="1" si="31"/>
        <v>NA</v>
      </c>
      <c r="BY156" s="12" t="str">
        <f t="shared" ca="1" si="32"/>
        <v>NA</v>
      </c>
      <c r="BZ156" s="12" t="str">
        <f t="shared" ca="1" si="33"/>
        <v>NA</v>
      </c>
      <c r="CA156" s="5"/>
    </row>
    <row r="157" spans="1:79" ht="12.75" customHeight="1" x14ac:dyDescent="0.15">
      <c r="A157" s="4">
        <v>2490</v>
      </c>
      <c r="B157" s="5" t="s">
        <v>79</v>
      </c>
      <c r="C157" s="5" t="s">
        <v>79</v>
      </c>
      <c r="D157" s="6" t="s">
        <v>880</v>
      </c>
      <c r="E157" s="6" t="s">
        <v>881</v>
      </c>
      <c r="F157" s="6" t="s">
        <v>882</v>
      </c>
      <c r="G157" s="8"/>
      <c r="H157" s="8"/>
      <c r="I157" s="8"/>
      <c r="J157" s="8"/>
      <c r="K157" s="8"/>
      <c r="L157" s="8" t="s">
        <v>82</v>
      </c>
      <c r="M157" s="7">
        <v>1138</v>
      </c>
      <c r="N157" s="7">
        <v>2413</v>
      </c>
      <c r="O157" s="13">
        <v>38219</v>
      </c>
      <c r="P157" s="10" t="str">
        <f t="shared" ca="1" si="0"/>
        <v>NA</v>
      </c>
      <c r="Q157" s="5" t="str">
        <f t="shared" ca="1" si="1"/>
        <v>NA</v>
      </c>
      <c r="R157" s="5" t="str">
        <f t="shared" ca="1" si="2"/>
        <v>NA</v>
      </c>
      <c r="S157" s="7">
        <f t="shared" ca="1" si="3"/>
        <v>2004</v>
      </c>
      <c r="T157" s="7">
        <f t="shared" ca="1" si="4"/>
        <v>8</v>
      </c>
      <c r="U157" s="7">
        <f t="shared" ca="1" si="5"/>
        <v>20</v>
      </c>
      <c r="V157" s="6" t="s">
        <v>883</v>
      </c>
      <c r="W157" s="14" t="s">
        <v>96</v>
      </c>
      <c r="X157" s="15"/>
      <c r="Y157" s="5">
        <f t="shared" ca="1" si="6"/>
        <v>0</v>
      </c>
      <c r="Z157" s="6"/>
      <c r="AA157" s="12" t="str">
        <f t="shared" ca="1" si="7"/>
        <v>NA</v>
      </c>
      <c r="AB157" s="12" t="str">
        <f t="shared" ca="1" si="8"/>
        <v>NA</v>
      </c>
      <c r="AC157" s="12" t="str">
        <f t="shared" ca="1" si="9"/>
        <v>NA</v>
      </c>
      <c r="AD157" s="6"/>
      <c r="AE157" s="5"/>
      <c r="AF157" s="6"/>
      <c r="AG157" s="5"/>
      <c r="AH157" s="12" t="str">
        <f t="shared" ca="1" si="10"/>
        <v>NA</v>
      </c>
      <c r="AI157" s="12" t="str">
        <f t="shared" ca="1" si="11"/>
        <v>NA</v>
      </c>
      <c r="AJ157" s="12" t="str">
        <f t="shared" ca="1" si="12"/>
        <v>NA</v>
      </c>
      <c r="AK157" s="5"/>
      <c r="AL157" s="5"/>
      <c r="AM157" s="5"/>
      <c r="AN157" s="5"/>
      <c r="AO157" s="5"/>
      <c r="AP157" s="12" t="str">
        <f t="shared" ca="1" si="13"/>
        <v>NA</v>
      </c>
      <c r="AQ157" s="12" t="str">
        <f t="shared" ca="1" si="14"/>
        <v>NA</v>
      </c>
      <c r="AR157" s="12" t="str">
        <f t="shared" ca="1" si="15"/>
        <v>NA</v>
      </c>
      <c r="AS157" s="5"/>
      <c r="AT157" s="5"/>
      <c r="AU157" s="5"/>
      <c r="AV157" s="12" t="str">
        <f t="shared" ca="1" si="16"/>
        <v>NA</v>
      </c>
      <c r="AW157" s="12" t="str">
        <f t="shared" ca="1" si="17"/>
        <v>NA</v>
      </c>
      <c r="AX157" s="12" t="str">
        <f t="shared" ca="1" si="18"/>
        <v>NA</v>
      </c>
      <c r="AY157" s="5"/>
      <c r="AZ157" s="5"/>
      <c r="BA157" s="6"/>
      <c r="BB157" s="12" t="str">
        <f t="shared" ca="1" si="19"/>
        <v>NA</v>
      </c>
      <c r="BC157" s="12" t="str">
        <f t="shared" ca="1" si="20"/>
        <v>NA</v>
      </c>
      <c r="BD157" s="12" t="str">
        <f t="shared" ca="1" si="21"/>
        <v>NA</v>
      </c>
      <c r="BE157" s="5"/>
      <c r="BF157" s="5"/>
      <c r="BG157" s="5"/>
      <c r="BH157" s="12" t="str">
        <f t="shared" ca="1" si="22"/>
        <v>NA</v>
      </c>
      <c r="BI157" s="12" t="str">
        <f t="shared" ca="1" si="23"/>
        <v>NA</v>
      </c>
      <c r="BJ157" s="12" t="str">
        <f t="shared" ca="1" si="24"/>
        <v>NA</v>
      </c>
      <c r="BK157" s="5"/>
      <c r="BL157" s="5"/>
      <c r="BM157" s="12" t="str">
        <f t="shared" ca="1" si="25"/>
        <v>NA</v>
      </c>
      <c r="BN157" s="12" t="str">
        <f t="shared" ca="1" si="26"/>
        <v>NA</v>
      </c>
      <c r="BO157" s="12" t="str">
        <f t="shared" ca="1" si="27"/>
        <v>NA</v>
      </c>
      <c r="BP157" s="5"/>
      <c r="BQ157" s="5"/>
      <c r="BR157" s="5"/>
      <c r="BS157" s="12" t="str">
        <f t="shared" ca="1" si="28"/>
        <v>NA</v>
      </c>
      <c r="BT157" s="12" t="str">
        <f t="shared" ca="1" si="29"/>
        <v>NA</v>
      </c>
      <c r="BU157" s="12" t="str">
        <f t="shared" ca="1" si="30"/>
        <v>NA</v>
      </c>
      <c r="BV157" s="5"/>
      <c r="BW157" s="5"/>
      <c r="BX157" s="12" t="str">
        <f t="shared" ca="1" si="31"/>
        <v>NA</v>
      </c>
      <c r="BY157" s="12" t="str">
        <f t="shared" ca="1" si="32"/>
        <v>NA</v>
      </c>
      <c r="BZ157" s="12" t="str">
        <f t="shared" ca="1" si="33"/>
        <v>NA</v>
      </c>
      <c r="CA157" s="5"/>
    </row>
    <row r="158" spans="1:79" ht="12.75" customHeight="1" x14ac:dyDescent="0.15">
      <c r="A158" s="4">
        <v>2493</v>
      </c>
      <c r="B158" s="5" t="s">
        <v>79</v>
      </c>
      <c r="C158" s="5" t="s">
        <v>79</v>
      </c>
      <c r="D158" s="6" t="s">
        <v>884</v>
      </c>
      <c r="E158" s="6" t="s">
        <v>885</v>
      </c>
      <c r="F158" s="6" t="s">
        <v>886</v>
      </c>
      <c r="G158" s="8"/>
      <c r="H158" s="8"/>
      <c r="I158" s="8"/>
      <c r="J158" s="8"/>
      <c r="K158" s="8"/>
      <c r="L158" s="8" t="s">
        <v>82</v>
      </c>
      <c r="M158" s="7">
        <v>2337</v>
      </c>
      <c r="N158" s="7">
        <v>2341</v>
      </c>
      <c r="O158" s="13">
        <v>38398</v>
      </c>
      <c r="P158" s="10" t="str">
        <f t="shared" ca="1" si="0"/>
        <v>NA</v>
      </c>
      <c r="Q158" s="5" t="str">
        <f t="shared" ca="1" si="1"/>
        <v>NA</v>
      </c>
      <c r="R158" s="5" t="str">
        <f t="shared" ca="1" si="2"/>
        <v>NA</v>
      </c>
      <c r="S158" s="7">
        <f t="shared" ca="1" si="3"/>
        <v>2005</v>
      </c>
      <c r="T158" s="7">
        <f t="shared" ca="1" si="4"/>
        <v>2</v>
      </c>
      <c r="U158" s="7">
        <f t="shared" ca="1" si="5"/>
        <v>15</v>
      </c>
      <c r="V158" s="6" t="s">
        <v>887</v>
      </c>
      <c r="W158" s="14" t="s">
        <v>96</v>
      </c>
      <c r="X158" s="15"/>
      <c r="Y158" s="5">
        <f t="shared" ca="1" si="6"/>
        <v>2</v>
      </c>
      <c r="Z158" s="6"/>
      <c r="AA158" s="12" t="str">
        <f t="shared" ca="1" si="7"/>
        <v>NA</v>
      </c>
      <c r="AB158" s="12" t="str">
        <f t="shared" ca="1" si="8"/>
        <v>NA</v>
      </c>
      <c r="AC158" s="12" t="str">
        <f t="shared" ca="1" si="9"/>
        <v>NA</v>
      </c>
      <c r="AD158" s="6"/>
      <c r="AE158" s="5"/>
      <c r="AF158" s="6"/>
      <c r="AG158" s="8" t="s">
        <v>888</v>
      </c>
      <c r="AH158" s="12" t="str">
        <f t="shared" ca="1" si="10"/>
        <v>NA</v>
      </c>
      <c r="AI158" s="12" t="str">
        <f t="shared" ca="1" si="11"/>
        <v>NA</v>
      </c>
      <c r="AJ158" s="12" t="str">
        <f t="shared" ca="1" si="12"/>
        <v>NA</v>
      </c>
      <c r="AK158" s="8" t="s">
        <v>889</v>
      </c>
      <c r="AL158" s="8"/>
      <c r="AM158" s="11">
        <v>42575</v>
      </c>
      <c r="AN158" s="8" t="s">
        <v>890</v>
      </c>
      <c r="AO158" s="11">
        <v>39602</v>
      </c>
      <c r="AP158" s="12">
        <f t="shared" ca="1" si="13"/>
        <v>2008</v>
      </c>
      <c r="AQ158" s="12">
        <f t="shared" ca="1" si="14"/>
        <v>6</v>
      </c>
      <c r="AR158" s="12">
        <f t="shared" ca="1" si="15"/>
        <v>3</v>
      </c>
      <c r="AS158" s="8" t="s">
        <v>891</v>
      </c>
      <c r="AT158" s="8"/>
      <c r="AU158" s="11">
        <v>40484</v>
      </c>
      <c r="AV158" s="12">
        <f t="shared" ca="1" si="16"/>
        <v>2010</v>
      </c>
      <c r="AW158" s="12">
        <f t="shared" ca="1" si="17"/>
        <v>11</v>
      </c>
      <c r="AX158" s="12">
        <f t="shared" ca="1" si="18"/>
        <v>2</v>
      </c>
      <c r="AY158" s="8" t="s">
        <v>892</v>
      </c>
      <c r="AZ158" s="8"/>
      <c r="BA158" s="6"/>
      <c r="BB158" s="12" t="str">
        <f t="shared" ca="1" si="19"/>
        <v>NA</v>
      </c>
      <c r="BC158" s="12" t="str">
        <f t="shared" ca="1" si="20"/>
        <v>NA</v>
      </c>
      <c r="BD158" s="12" t="str">
        <f t="shared" ca="1" si="21"/>
        <v>NA</v>
      </c>
      <c r="BE158" s="5"/>
      <c r="BF158" s="5"/>
      <c r="BG158" s="5"/>
      <c r="BH158" s="12" t="str">
        <f t="shared" ca="1" si="22"/>
        <v>NA</v>
      </c>
      <c r="BI158" s="12" t="str">
        <f t="shared" ca="1" si="23"/>
        <v>NA</v>
      </c>
      <c r="BJ158" s="12" t="str">
        <f t="shared" ca="1" si="24"/>
        <v>NA</v>
      </c>
      <c r="BK158" s="5"/>
      <c r="BL158" s="5"/>
      <c r="BM158" s="12" t="str">
        <f t="shared" ca="1" si="25"/>
        <v>NA</v>
      </c>
      <c r="BN158" s="12" t="str">
        <f t="shared" ca="1" si="26"/>
        <v>NA</v>
      </c>
      <c r="BO158" s="12" t="str">
        <f t="shared" ca="1" si="27"/>
        <v>NA</v>
      </c>
      <c r="BP158" s="5"/>
      <c r="BQ158" s="5"/>
      <c r="BR158" s="5"/>
      <c r="BS158" s="12" t="str">
        <f t="shared" ca="1" si="28"/>
        <v>NA</v>
      </c>
      <c r="BT158" s="12" t="str">
        <f t="shared" ca="1" si="29"/>
        <v>NA</v>
      </c>
      <c r="BU158" s="12" t="str">
        <f t="shared" ca="1" si="30"/>
        <v>NA</v>
      </c>
      <c r="BV158" s="5"/>
      <c r="BW158" s="5"/>
      <c r="BX158" s="12" t="str">
        <f t="shared" ca="1" si="31"/>
        <v>NA</v>
      </c>
      <c r="BY158" s="12" t="str">
        <f t="shared" ca="1" si="32"/>
        <v>NA</v>
      </c>
      <c r="BZ158" s="12" t="str">
        <f t="shared" ca="1" si="33"/>
        <v>NA</v>
      </c>
      <c r="CA158" s="5"/>
    </row>
    <row r="159" spans="1:79" ht="12.75" customHeight="1" x14ac:dyDescent="0.15">
      <c r="A159" s="4">
        <v>2495</v>
      </c>
      <c r="B159" s="5" t="s">
        <v>79</v>
      </c>
      <c r="C159" s="5" t="s">
        <v>79</v>
      </c>
      <c r="D159" s="6" t="s">
        <v>893</v>
      </c>
      <c r="E159" s="18"/>
      <c r="F159" s="6" t="s">
        <v>894</v>
      </c>
      <c r="G159" s="8"/>
      <c r="H159" s="8"/>
      <c r="I159" s="8"/>
      <c r="J159" s="8"/>
      <c r="K159" s="8"/>
      <c r="L159" s="8" t="s">
        <v>82</v>
      </c>
      <c r="M159" s="7">
        <v>1121</v>
      </c>
      <c r="N159" s="7">
        <v>1145</v>
      </c>
      <c r="O159" s="13">
        <v>38800</v>
      </c>
      <c r="P159" s="10">
        <f t="shared" ca="1" si="0"/>
        <v>0</v>
      </c>
      <c r="Q159" s="5">
        <f t="shared" ca="1" si="1"/>
        <v>0</v>
      </c>
      <c r="R159" s="5">
        <f t="shared" ca="1" si="2"/>
        <v>0</v>
      </c>
      <c r="S159" s="7">
        <f t="shared" ca="1" si="3"/>
        <v>2006</v>
      </c>
      <c r="T159" s="7">
        <f t="shared" ca="1" si="4"/>
        <v>3</v>
      </c>
      <c r="U159" s="7">
        <f t="shared" ca="1" si="5"/>
        <v>24</v>
      </c>
      <c r="V159" s="6" t="s">
        <v>895</v>
      </c>
      <c r="W159" s="14" t="s">
        <v>96</v>
      </c>
      <c r="X159" s="15"/>
      <c r="Y159" s="5">
        <f t="shared" ca="1" si="6"/>
        <v>0</v>
      </c>
      <c r="Z159" s="6"/>
      <c r="AA159" s="12" t="str">
        <f t="shared" ca="1" si="7"/>
        <v>NA</v>
      </c>
      <c r="AB159" s="12" t="str">
        <f t="shared" ca="1" si="8"/>
        <v>NA</v>
      </c>
      <c r="AC159" s="12" t="str">
        <f t="shared" ca="1" si="9"/>
        <v>NA</v>
      </c>
      <c r="AD159" s="6"/>
      <c r="AE159" s="5"/>
      <c r="AF159" s="6"/>
      <c r="AG159" s="11">
        <v>38800</v>
      </c>
      <c r="AH159" s="12">
        <f t="shared" ca="1" si="10"/>
        <v>2006</v>
      </c>
      <c r="AI159" s="12">
        <f t="shared" ca="1" si="11"/>
        <v>3</v>
      </c>
      <c r="AJ159" s="12">
        <f t="shared" ca="1" si="12"/>
        <v>24</v>
      </c>
      <c r="AK159" s="8" t="s">
        <v>896</v>
      </c>
      <c r="AL159" s="8"/>
      <c r="AM159" s="5"/>
      <c r="AN159" s="5"/>
      <c r="AO159" s="5"/>
      <c r="AP159" s="12" t="str">
        <f t="shared" ca="1" si="13"/>
        <v>NA</v>
      </c>
      <c r="AQ159" s="12" t="str">
        <f t="shared" ca="1" si="14"/>
        <v>NA</v>
      </c>
      <c r="AR159" s="12" t="str">
        <f t="shared" ca="1" si="15"/>
        <v>NA</v>
      </c>
      <c r="AS159" s="5"/>
      <c r="AT159" s="5"/>
      <c r="AU159" s="5"/>
      <c r="AV159" s="12" t="str">
        <f t="shared" ca="1" si="16"/>
        <v>NA</v>
      </c>
      <c r="AW159" s="12" t="str">
        <f t="shared" ca="1" si="17"/>
        <v>NA</v>
      </c>
      <c r="AX159" s="12" t="str">
        <f t="shared" ca="1" si="18"/>
        <v>NA</v>
      </c>
      <c r="AY159" s="5"/>
      <c r="AZ159" s="5"/>
      <c r="BA159" s="6"/>
      <c r="BB159" s="12" t="str">
        <f t="shared" ca="1" si="19"/>
        <v>NA</v>
      </c>
      <c r="BC159" s="12" t="str">
        <f t="shared" ca="1" si="20"/>
        <v>NA</v>
      </c>
      <c r="BD159" s="12" t="str">
        <f t="shared" ca="1" si="21"/>
        <v>NA</v>
      </c>
      <c r="BE159" s="5"/>
      <c r="BF159" s="5"/>
      <c r="BG159" s="5"/>
      <c r="BH159" s="12" t="str">
        <f t="shared" ca="1" si="22"/>
        <v>NA</v>
      </c>
      <c r="BI159" s="12" t="str">
        <f t="shared" ca="1" si="23"/>
        <v>NA</v>
      </c>
      <c r="BJ159" s="12" t="str">
        <f t="shared" ca="1" si="24"/>
        <v>NA</v>
      </c>
      <c r="BK159" s="5"/>
      <c r="BL159" s="5"/>
      <c r="BM159" s="12" t="str">
        <f t="shared" ca="1" si="25"/>
        <v>NA</v>
      </c>
      <c r="BN159" s="12" t="str">
        <f t="shared" ca="1" si="26"/>
        <v>NA</v>
      </c>
      <c r="BO159" s="12" t="str">
        <f t="shared" ca="1" si="27"/>
        <v>NA</v>
      </c>
      <c r="BP159" s="5"/>
      <c r="BQ159" s="5"/>
      <c r="BR159" s="5"/>
      <c r="BS159" s="12" t="str">
        <f t="shared" ca="1" si="28"/>
        <v>NA</v>
      </c>
      <c r="BT159" s="12" t="str">
        <f t="shared" ca="1" si="29"/>
        <v>NA</v>
      </c>
      <c r="BU159" s="12" t="str">
        <f t="shared" ca="1" si="30"/>
        <v>NA</v>
      </c>
      <c r="BV159" s="5"/>
      <c r="BW159" s="5"/>
      <c r="BX159" s="12" t="str">
        <f t="shared" ca="1" si="31"/>
        <v>NA</v>
      </c>
      <c r="BY159" s="12" t="str">
        <f t="shared" ca="1" si="32"/>
        <v>NA</v>
      </c>
      <c r="BZ159" s="12" t="str">
        <f t="shared" ca="1" si="33"/>
        <v>NA</v>
      </c>
      <c r="CA159" s="5"/>
    </row>
    <row r="160" spans="1:79" ht="12.75" customHeight="1" x14ac:dyDescent="0.15">
      <c r="A160" s="4">
        <v>2496</v>
      </c>
      <c r="B160" s="5" t="s">
        <v>79</v>
      </c>
      <c r="C160" s="5" t="s">
        <v>79</v>
      </c>
      <c r="D160" s="6" t="s">
        <v>897</v>
      </c>
      <c r="E160" s="7">
        <v>7245</v>
      </c>
      <c r="F160" s="6" t="s">
        <v>898</v>
      </c>
      <c r="G160" s="8"/>
      <c r="H160" s="8"/>
      <c r="I160" s="8"/>
      <c r="J160" s="8"/>
      <c r="K160" s="8"/>
      <c r="L160" s="8" t="s">
        <v>82</v>
      </c>
      <c r="M160" s="7">
        <v>1121</v>
      </c>
      <c r="N160" s="7">
        <v>1145</v>
      </c>
      <c r="O160" s="13">
        <v>38800</v>
      </c>
      <c r="P160" s="10">
        <f t="shared" ca="1" si="0"/>
        <v>11.202777777777778</v>
      </c>
      <c r="Q160" s="5">
        <f t="shared" ca="1" si="1"/>
        <v>134</v>
      </c>
      <c r="R160" s="5">
        <f t="shared" ca="1" si="2"/>
        <v>4093</v>
      </c>
      <c r="S160" s="7">
        <f t="shared" ca="1" si="3"/>
        <v>2006</v>
      </c>
      <c r="T160" s="7">
        <f t="shared" ca="1" si="4"/>
        <v>3</v>
      </c>
      <c r="U160" s="7">
        <f t="shared" ca="1" si="5"/>
        <v>24</v>
      </c>
      <c r="V160" s="6" t="s">
        <v>899</v>
      </c>
      <c r="W160" s="14" t="s">
        <v>96</v>
      </c>
      <c r="X160" s="15"/>
      <c r="Y160" s="5">
        <f t="shared" ca="1" si="6"/>
        <v>3</v>
      </c>
      <c r="Z160" s="6"/>
      <c r="AA160" s="12" t="str">
        <f t="shared" ca="1" si="7"/>
        <v>NA</v>
      </c>
      <c r="AB160" s="12" t="str">
        <f t="shared" ca="1" si="8"/>
        <v>NA</v>
      </c>
      <c r="AC160" s="12" t="str">
        <f t="shared" ca="1" si="9"/>
        <v>NA</v>
      </c>
      <c r="AD160" s="6"/>
      <c r="AE160" s="5"/>
      <c r="AF160" s="6"/>
      <c r="AG160" s="11">
        <v>42893</v>
      </c>
      <c r="AH160" s="12">
        <f t="shared" ca="1" si="10"/>
        <v>2017</v>
      </c>
      <c r="AI160" s="12">
        <f t="shared" ca="1" si="11"/>
        <v>6</v>
      </c>
      <c r="AJ160" s="12">
        <f t="shared" ca="1" si="12"/>
        <v>7</v>
      </c>
      <c r="AK160" s="8" t="s">
        <v>900</v>
      </c>
      <c r="AL160" s="8"/>
      <c r="AM160" s="5"/>
      <c r="AN160" s="5"/>
      <c r="AO160" s="11">
        <v>39708</v>
      </c>
      <c r="AP160" s="12">
        <f t="shared" ca="1" si="13"/>
        <v>2008</v>
      </c>
      <c r="AQ160" s="12">
        <f t="shared" ca="1" si="14"/>
        <v>9</v>
      </c>
      <c r="AR160" s="12">
        <f t="shared" ca="1" si="15"/>
        <v>17</v>
      </c>
      <c r="AS160" s="8" t="s">
        <v>901</v>
      </c>
      <c r="AT160" s="8"/>
      <c r="AU160" s="11">
        <v>39799</v>
      </c>
      <c r="AV160" s="12">
        <f t="shared" ca="1" si="16"/>
        <v>2008</v>
      </c>
      <c r="AW160" s="12">
        <f t="shared" ca="1" si="17"/>
        <v>12</v>
      </c>
      <c r="AX160" s="12">
        <f t="shared" ca="1" si="18"/>
        <v>17</v>
      </c>
      <c r="AY160" s="8" t="s">
        <v>902</v>
      </c>
      <c r="AZ160" s="8"/>
      <c r="BA160" s="11">
        <v>42479</v>
      </c>
      <c r="BB160" s="12">
        <f t="shared" ca="1" si="19"/>
        <v>2016</v>
      </c>
      <c r="BC160" s="12">
        <f t="shared" ca="1" si="20"/>
        <v>4</v>
      </c>
      <c r="BD160" s="12">
        <f t="shared" ca="1" si="21"/>
        <v>19</v>
      </c>
      <c r="BE160" s="8" t="s">
        <v>903</v>
      </c>
      <c r="BF160" s="8"/>
      <c r="BG160" s="5"/>
      <c r="BH160" s="12" t="str">
        <f t="shared" ca="1" si="22"/>
        <v>NA</v>
      </c>
      <c r="BI160" s="12" t="str">
        <f t="shared" ca="1" si="23"/>
        <v>NA</v>
      </c>
      <c r="BJ160" s="12" t="str">
        <f t="shared" ca="1" si="24"/>
        <v>NA</v>
      </c>
      <c r="BK160" s="5"/>
      <c r="BL160" s="5"/>
      <c r="BM160" s="12" t="str">
        <f t="shared" ca="1" si="25"/>
        <v>NA</v>
      </c>
      <c r="BN160" s="12" t="str">
        <f t="shared" ca="1" si="26"/>
        <v>NA</v>
      </c>
      <c r="BO160" s="12" t="str">
        <f t="shared" ca="1" si="27"/>
        <v>NA</v>
      </c>
      <c r="BP160" s="5"/>
      <c r="BQ160" s="5"/>
      <c r="BR160" s="5"/>
      <c r="BS160" s="12" t="str">
        <f t="shared" ca="1" si="28"/>
        <v>NA</v>
      </c>
      <c r="BT160" s="12" t="str">
        <f t="shared" ca="1" si="29"/>
        <v>NA</v>
      </c>
      <c r="BU160" s="12" t="str">
        <f t="shared" ca="1" si="30"/>
        <v>NA</v>
      </c>
      <c r="BV160" s="5"/>
      <c r="BW160" s="5"/>
      <c r="BX160" s="12" t="str">
        <f t="shared" ca="1" si="31"/>
        <v>NA</v>
      </c>
      <c r="BY160" s="12" t="str">
        <f t="shared" ca="1" si="32"/>
        <v>NA</v>
      </c>
      <c r="BZ160" s="12" t="str">
        <f t="shared" ca="1" si="33"/>
        <v>NA</v>
      </c>
      <c r="CA160" s="5"/>
    </row>
    <row r="161" spans="1:79" ht="12.75" customHeight="1" x14ac:dyDescent="0.15">
      <c r="A161" s="4">
        <v>2498</v>
      </c>
      <c r="B161" s="5" t="s">
        <v>79</v>
      </c>
      <c r="C161" s="5" t="s">
        <v>79</v>
      </c>
      <c r="D161" s="6" t="s">
        <v>904</v>
      </c>
      <c r="E161" s="7">
        <v>2928</v>
      </c>
      <c r="F161" s="6" t="s">
        <v>905</v>
      </c>
      <c r="G161" s="8"/>
      <c r="H161" s="8"/>
      <c r="I161" s="8"/>
      <c r="J161" s="8"/>
      <c r="K161" s="8"/>
      <c r="L161" s="8" t="s">
        <v>82</v>
      </c>
      <c r="M161" s="7">
        <v>2406</v>
      </c>
      <c r="N161" s="7">
        <v>2424</v>
      </c>
      <c r="O161" s="13">
        <v>38869</v>
      </c>
      <c r="P161" s="10">
        <f t="shared" ca="1" si="0"/>
        <v>9.0444444444444443</v>
      </c>
      <c r="Q161" s="5">
        <f t="shared" ca="1" si="1"/>
        <v>108</v>
      </c>
      <c r="R161" s="5">
        <f t="shared" ca="1" si="2"/>
        <v>3303</v>
      </c>
      <c r="S161" s="7">
        <f t="shared" ca="1" si="3"/>
        <v>2006</v>
      </c>
      <c r="T161" s="7">
        <f t="shared" ca="1" si="4"/>
        <v>6</v>
      </c>
      <c r="U161" s="7">
        <f t="shared" ca="1" si="5"/>
        <v>1</v>
      </c>
      <c r="V161" s="6" t="s">
        <v>906</v>
      </c>
      <c r="W161" s="14" t="s">
        <v>96</v>
      </c>
      <c r="X161" s="15"/>
      <c r="Y161" s="5">
        <f t="shared" ca="1" si="6"/>
        <v>0</v>
      </c>
      <c r="Z161" s="6"/>
      <c r="AA161" s="12" t="str">
        <f t="shared" ca="1" si="7"/>
        <v>NA</v>
      </c>
      <c r="AB161" s="12" t="str">
        <f t="shared" ca="1" si="8"/>
        <v>NA</v>
      </c>
      <c r="AC161" s="12" t="str">
        <f t="shared" ca="1" si="9"/>
        <v>NA</v>
      </c>
      <c r="AD161" s="6"/>
      <c r="AE161" s="5"/>
      <c r="AF161" s="6"/>
      <c r="AG161" s="11">
        <v>42172</v>
      </c>
      <c r="AH161" s="12">
        <f t="shared" ca="1" si="10"/>
        <v>2015</v>
      </c>
      <c r="AI161" s="12">
        <f t="shared" ca="1" si="11"/>
        <v>6</v>
      </c>
      <c r="AJ161" s="12">
        <f t="shared" ca="1" si="12"/>
        <v>17</v>
      </c>
      <c r="AK161" s="8" t="s">
        <v>907</v>
      </c>
      <c r="AL161" s="8"/>
      <c r="AM161" s="5"/>
      <c r="AN161" s="5"/>
      <c r="AO161" s="5"/>
      <c r="AP161" s="12" t="str">
        <f t="shared" ca="1" si="13"/>
        <v>NA</v>
      </c>
      <c r="AQ161" s="12" t="str">
        <f t="shared" ca="1" si="14"/>
        <v>NA</v>
      </c>
      <c r="AR161" s="12" t="str">
        <f t="shared" ca="1" si="15"/>
        <v>NA</v>
      </c>
      <c r="AS161" s="5"/>
      <c r="AT161" s="5"/>
      <c r="AU161" s="5"/>
      <c r="AV161" s="12" t="str">
        <f t="shared" ca="1" si="16"/>
        <v>NA</v>
      </c>
      <c r="AW161" s="12" t="str">
        <f t="shared" ca="1" si="17"/>
        <v>NA</v>
      </c>
      <c r="AX161" s="12" t="str">
        <f t="shared" ca="1" si="18"/>
        <v>NA</v>
      </c>
      <c r="AY161" s="5"/>
      <c r="AZ161" s="5"/>
      <c r="BA161" s="6"/>
      <c r="BB161" s="12" t="str">
        <f t="shared" ca="1" si="19"/>
        <v>NA</v>
      </c>
      <c r="BC161" s="12" t="str">
        <f t="shared" ca="1" si="20"/>
        <v>NA</v>
      </c>
      <c r="BD161" s="12" t="str">
        <f t="shared" ca="1" si="21"/>
        <v>NA</v>
      </c>
      <c r="BE161" s="5"/>
      <c r="BF161" s="5"/>
      <c r="BG161" s="5"/>
      <c r="BH161" s="12" t="str">
        <f t="shared" ca="1" si="22"/>
        <v>NA</v>
      </c>
      <c r="BI161" s="12" t="str">
        <f t="shared" ca="1" si="23"/>
        <v>NA</v>
      </c>
      <c r="BJ161" s="12" t="str">
        <f t="shared" ca="1" si="24"/>
        <v>NA</v>
      </c>
      <c r="BK161" s="5"/>
      <c r="BL161" s="5"/>
      <c r="BM161" s="12" t="str">
        <f t="shared" ca="1" si="25"/>
        <v>NA</v>
      </c>
      <c r="BN161" s="12" t="str">
        <f t="shared" ca="1" si="26"/>
        <v>NA</v>
      </c>
      <c r="BO161" s="12" t="str">
        <f t="shared" ca="1" si="27"/>
        <v>NA</v>
      </c>
      <c r="BP161" s="5"/>
      <c r="BQ161" s="5"/>
      <c r="BR161" s="5"/>
      <c r="BS161" s="12" t="str">
        <f t="shared" ca="1" si="28"/>
        <v>NA</v>
      </c>
      <c r="BT161" s="12" t="str">
        <f t="shared" ca="1" si="29"/>
        <v>NA</v>
      </c>
      <c r="BU161" s="12" t="str">
        <f t="shared" ca="1" si="30"/>
        <v>NA</v>
      </c>
      <c r="BV161" s="5"/>
      <c r="BW161" s="5"/>
      <c r="BX161" s="12" t="str">
        <f t="shared" ca="1" si="31"/>
        <v>NA</v>
      </c>
      <c r="BY161" s="12" t="str">
        <f t="shared" ca="1" si="32"/>
        <v>NA</v>
      </c>
      <c r="BZ161" s="12" t="str">
        <f t="shared" ca="1" si="33"/>
        <v>NA</v>
      </c>
      <c r="CA161" s="5"/>
    </row>
    <row r="162" spans="1:79" ht="12.75" customHeight="1" x14ac:dyDescent="0.15">
      <c r="A162" s="4">
        <v>2499</v>
      </c>
      <c r="B162" s="5" t="s">
        <v>79</v>
      </c>
      <c r="C162" s="5" t="s">
        <v>79</v>
      </c>
      <c r="D162" s="6" t="s">
        <v>908</v>
      </c>
      <c r="E162" s="7">
        <v>18741</v>
      </c>
      <c r="F162" s="6" t="s">
        <v>909</v>
      </c>
      <c r="G162" s="8"/>
      <c r="H162" s="8"/>
      <c r="I162" s="8"/>
      <c r="J162" s="8"/>
      <c r="K162" s="8"/>
      <c r="L162" s="8" t="s">
        <v>82</v>
      </c>
      <c r="M162" s="7">
        <v>2406</v>
      </c>
      <c r="N162" s="7">
        <v>2424</v>
      </c>
      <c r="O162" s="13">
        <v>38869</v>
      </c>
      <c r="P162" s="10">
        <f t="shared" ca="1" si="0"/>
        <v>10.758333333333333</v>
      </c>
      <c r="Q162" s="5">
        <f t="shared" ca="1" si="1"/>
        <v>129</v>
      </c>
      <c r="R162" s="5">
        <f t="shared" ca="1" si="2"/>
        <v>3929</v>
      </c>
      <c r="S162" s="7">
        <f t="shared" ca="1" si="3"/>
        <v>2006</v>
      </c>
      <c r="T162" s="7">
        <f t="shared" ca="1" si="4"/>
        <v>6</v>
      </c>
      <c r="U162" s="7">
        <f t="shared" ca="1" si="5"/>
        <v>1</v>
      </c>
      <c r="V162" s="6" t="s">
        <v>910</v>
      </c>
      <c r="W162" s="14" t="s">
        <v>96</v>
      </c>
      <c r="X162" s="15"/>
      <c r="Y162" s="5">
        <f t="shared" ca="1" si="6"/>
        <v>1</v>
      </c>
      <c r="Z162" s="6"/>
      <c r="AA162" s="12" t="str">
        <f t="shared" ca="1" si="7"/>
        <v>NA</v>
      </c>
      <c r="AB162" s="12" t="str">
        <f t="shared" ca="1" si="8"/>
        <v>NA</v>
      </c>
      <c r="AC162" s="12" t="str">
        <f t="shared" ca="1" si="9"/>
        <v>NA</v>
      </c>
      <c r="AD162" s="6"/>
      <c r="AE162" s="5"/>
      <c r="AF162" s="6"/>
      <c r="AG162" s="11">
        <v>42798</v>
      </c>
      <c r="AH162" s="12">
        <f t="shared" ca="1" si="10"/>
        <v>2017</v>
      </c>
      <c r="AI162" s="12">
        <f t="shared" ca="1" si="11"/>
        <v>3</v>
      </c>
      <c r="AJ162" s="12">
        <f t="shared" ca="1" si="12"/>
        <v>4</v>
      </c>
      <c r="AK162" s="8" t="s">
        <v>911</v>
      </c>
      <c r="AL162" s="8"/>
      <c r="AM162" s="5"/>
      <c r="AN162" s="5"/>
      <c r="AO162" s="11">
        <v>39723</v>
      </c>
      <c r="AP162" s="12">
        <f t="shared" ca="1" si="13"/>
        <v>2008</v>
      </c>
      <c r="AQ162" s="12">
        <f t="shared" ca="1" si="14"/>
        <v>10</v>
      </c>
      <c r="AR162" s="12">
        <f t="shared" ca="1" si="15"/>
        <v>2</v>
      </c>
      <c r="AS162" s="8" t="s">
        <v>912</v>
      </c>
      <c r="AT162" s="8"/>
      <c r="AU162" s="5"/>
      <c r="AV162" s="12" t="str">
        <f t="shared" ca="1" si="16"/>
        <v>NA</v>
      </c>
      <c r="AW162" s="12" t="str">
        <f t="shared" ca="1" si="17"/>
        <v>NA</v>
      </c>
      <c r="AX162" s="12" t="str">
        <f t="shared" ca="1" si="18"/>
        <v>NA</v>
      </c>
      <c r="AY162" s="5"/>
      <c r="AZ162" s="5"/>
      <c r="BA162" s="6"/>
      <c r="BB162" s="12" t="str">
        <f t="shared" ca="1" si="19"/>
        <v>NA</v>
      </c>
      <c r="BC162" s="12" t="str">
        <f t="shared" ca="1" si="20"/>
        <v>NA</v>
      </c>
      <c r="BD162" s="12" t="str">
        <f t="shared" ca="1" si="21"/>
        <v>NA</v>
      </c>
      <c r="BE162" s="5"/>
      <c r="BF162" s="5"/>
      <c r="BG162" s="5"/>
      <c r="BH162" s="12" t="str">
        <f t="shared" ca="1" si="22"/>
        <v>NA</v>
      </c>
      <c r="BI162" s="12" t="str">
        <f t="shared" ca="1" si="23"/>
        <v>NA</v>
      </c>
      <c r="BJ162" s="12" t="str">
        <f t="shared" ca="1" si="24"/>
        <v>NA</v>
      </c>
      <c r="BK162" s="5"/>
      <c r="BL162" s="5"/>
      <c r="BM162" s="12" t="str">
        <f t="shared" ca="1" si="25"/>
        <v>NA</v>
      </c>
      <c r="BN162" s="12" t="str">
        <f t="shared" ca="1" si="26"/>
        <v>NA</v>
      </c>
      <c r="BO162" s="12" t="str">
        <f t="shared" ca="1" si="27"/>
        <v>NA</v>
      </c>
      <c r="BP162" s="5"/>
      <c r="BQ162" s="5"/>
      <c r="BR162" s="5"/>
      <c r="BS162" s="12" t="str">
        <f t="shared" ca="1" si="28"/>
        <v>NA</v>
      </c>
      <c r="BT162" s="12" t="str">
        <f t="shared" ca="1" si="29"/>
        <v>NA</v>
      </c>
      <c r="BU162" s="12" t="str">
        <f t="shared" ca="1" si="30"/>
        <v>NA</v>
      </c>
      <c r="BV162" s="5"/>
      <c r="BW162" s="5"/>
      <c r="BX162" s="12" t="str">
        <f t="shared" ca="1" si="31"/>
        <v>NA</v>
      </c>
      <c r="BY162" s="12" t="str">
        <f t="shared" ca="1" si="32"/>
        <v>NA</v>
      </c>
      <c r="BZ162" s="12" t="str">
        <f t="shared" ca="1" si="33"/>
        <v>NA</v>
      </c>
      <c r="CA162" s="5"/>
    </row>
    <row r="163" spans="1:79" ht="12.75" customHeight="1" x14ac:dyDescent="0.15">
      <c r="A163" s="4">
        <v>2500</v>
      </c>
      <c r="B163" s="5" t="s">
        <v>79</v>
      </c>
      <c r="C163" s="5" t="s">
        <v>79</v>
      </c>
      <c r="D163" s="6" t="s">
        <v>913</v>
      </c>
      <c r="E163" s="7">
        <v>18427</v>
      </c>
      <c r="F163" s="6" t="s">
        <v>914</v>
      </c>
      <c r="G163" s="8"/>
      <c r="H163" s="8"/>
      <c r="I163" s="8"/>
      <c r="J163" s="8"/>
      <c r="K163" s="8"/>
      <c r="L163" s="8" t="s">
        <v>82</v>
      </c>
      <c r="M163" s="7">
        <v>2409</v>
      </c>
      <c r="N163" s="7">
        <v>1135</v>
      </c>
      <c r="O163" s="13">
        <v>38886</v>
      </c>
      <c r="P163" s="10">
        <f t="shared" ca="1" si="0"/>
        <v>7.5</v>
      </c>
      <c r="Q163" s="5">
        <f t="shared" ca="1" si="1"/>
        <v>90</v>
      </c>
      <c r="R163" s="5">
        <f t="shared" ca="1" si="2"/>
        <v>2740</v>
      </c>
      <c r="S163" s="7">
        <f t="shared" ca="1" si="3"/>
        <v>2006</v>
      </c>
      <c r="T163" s="7">
        <f t="shared" ca="1" si="4"/>
        <v>6</v>
      </c>
      <c r="U163" s="7">
        <f t="shared" ca="1" si="5"/>
        <v>18</v>
      </c>
      <c r="V163" s="6" t="s">
        <v>915</v>
      </c>
      <c r="W163" s="14" t="s">
        <v>96</v>
      </c>
      <c r="X163" s="15"/>
      <c r="Y163" s="5">
        <f t="shared" ca="1" si="6"/>
        <v>1</v>
      </c>
      <c r="Z163" s="6"/>
      <c r="AA163" s="12" t="str">
        <f t="shared" ca="1" si="7"/>
        <v>NA</v>
      </c>
      <c r="AB163" s="12" t="str">
        <f t="shared" ca="1" si="8"/>
        <v>NA</v>
      </c>
      <c r="AC163" s="12" t="str">
        <f t="shared" ca="1" si="9"/>
        <v>NA</v>
      </c>
      <c r="AD163" s="6"/>
      <c r="AE163" s="5"/>
      <c r="AF163" s="6"/>
      <c r="AG163" s="11">
        <v>41626</v>
      </c>
      <c r="AH163" s="12">
        <f t="shared" ca="1" si="10"/>
        <v>2013</v>
      </c>
      <c r="AI163" s="12">
        <f t="shared" ca="1" si="11"/>
        <v>12</v>
      </c>
      <c r="AJ163" s="12">
        <f t="shared" ca="1" si="12"/>
        <v>18</v>
      </c>
      <c r="AK163" s="8" t="s">
        <v>916</v>
      </c>
      <c r="AL163" s="8"/>
      <c r="AM163" s="5"/>
      <c r="AN163" s="5"/>
      <c r="AO163" s="11">
        <v>39708</v>
      </c>
      <c r="AP163" s="12">
        <f t="shared" ca="1" si="13"/>
        <v>2008</v>
      </c>
      <c r="AQ163" s="12">
        <f t="shared" ca="1" si="14"/>
        <v>9</v>
      </c>
      <c r="AR163" s="12">
        <f t="shared" ca="1" si="15"/>
        <v>17</v>
      </c>
      <c r="AS163" s="8" t="s">
        <v>917</v>
      </c>
      <c r="AT163" s="8"/>
      <c r="AU163" s="5"/>
      <c r="AV163" s="12" t="str">
        <f t="shared" ca="1" si="16"/>
        <v>NA</v>
      </c>
      <c r="AW163" s="12" t="str">
        <f t="shared" ca="1" si="17"/>
        <v>NA</v>
      </c>
      <c r="AX163" s="12" t="str">
        <f t="shared" ca="1" si="18"/>
        <v>NA</v>
      </c>
      <c r="AY163" s="5"/>
      <c r="AZ163" s="5"/>
      <c r="BA163" s="6"/>
      <c r="BB163" s="12" t="str">
        <f t="shared" ca="1" si="19"/>
        <v>NA</v>
      </c>
      <c r="BC163" s="12" t="str">
        <f t="shared" ca="1" si="20"/>
        <v>NA</v>
      </c>
      <c r="BD163" s="12" t="str">
        <f t="shared" ca="1" si="21"/>
        <v>NA</v>
      </c>
      <c r="BE163" s="5"/>
      <c r="BF163" s="5"/>
      <c r="BG163" s="5"/>
      <c r="BH163" s="12" t="str">
        <f t="shared" ca="1" si="22"/>
        <v>NA</v>
      </c>
      <c r="BI163" s="12" t="str">
        <f t="shared" ca="1" si="23"/>
        <v>NA</v>
      </c>
      <c r="BJ163" s="12" t="str">
        <f t="shared" ca="1" si="24"/>
        <v>NA</v>
      </c>
      <c r="BK163" s="5"/>
      <c r="BL163" s="5"/>
      <c r="BM163" s="12" t="str">
        <f t="shared" ca="1" si="25"/>
        <v>NA</v>
      </c>
      <c r="BN163" s="12" t="str">
        <f t="shared" ca="1" si="26"/>
        <v>NA</v>
      </c>
      <c r="BO163" s="12" t="str">
        <f t="shared" ca="1" si="27"/>
        <v>NA</v>
      </c>
      <c r="BP163" s="5"/>
      <c r="BQ163" s="5"/>
      <c r="BR163" s="5"/>
      <c r="BS163" s="12" t="str">
        <f t="shared" ca="1" si="28"/>
        <v>NA</v>
      </c>
      <c r="BT163" s="12" t="str">
        <f t="shared" ca="1" si="29"/>
        <v>NA</v>
      </c>
      <c r="BU163" s="12" t="str">
        <f t="shared" ca="1" si="30"/>
        <v>NA</v>
      </c>
      <c r="BV163" s="5"/>
      <c r="BW163" s="5"/>
      <c r="BX163" s="12" t="str">
        <f t="shared" ca="1" si="31"/>
        <v>NA</v>
      </c>
      <c r="BY163" s="12" t="str">
        <f t="shared" ca="1" si="32"/>
        <v>NA</v>
      </c>
      <c r="BZ163" s="12" t="str">
        <f t="shared" ca="1" si="33"/>
        <v>NA</v>
      </c>
      <c r="CA163" s="5"/>
    </row>
    <row r="164" spans="1:79" ht="12.75" customHeight="1" x14ac:dyDescent="0.15">
      <c r="A164" s="4">
        <v>2501</v>
      </c>
      <c r="B164" s="5" t="s">
        <v>79</v>
      </c>
      <c r="C164" s="5" t="s">
        <v>79</v>
      </c>
      <c r="D164" s="6" t="s">
        <v>918</v>
      </c>
      <c r="E164" s="6" t="s">
        <v>919</v>
      </c>
      <c r="F164" s="6" t="s">
        <v>920</v>
      </c>
      <c r="G164" s="8"/>
      <c r="H164" s="8"/>
      <c r="I164" s="8"/>
      <c r="J164" s="8"/>
      <c r="K164" s="8"/>
      <c r="L164" s="8" t="s">
        <v>82</v>
      </c>
      <c r="M164" s="7">
        <v>1138</v>
      </c>
      <c r="N164" s="7">
        <v>2413</v>
      </c>
      <c r="O164" s="13">
        <v>39089</v>
      </c>
      <c r="P164" s="10">
        <f t="shared" ca="1" si="0"/>
        <v>2.8305555555555557</v>
      </c>
      <c r="Q164" s="5">
        <f t="shared" ca="1" si="1"/>
        <v>33</v>
      </c>
      <c r="R164" s="5">
        <f t="shared" ca="1" si="2"/>
        <v>1034</v>
      </c>
      <c r="S164" s="7">
        <f t="shared" ca="1" si="3"/>
        <v>2007</v>
      </c>
      <c r="T164" s="7">
        <f t="shared" ca="1" si="4"/>
        <v>1</v>
      </c>
      <c r="U164" s="7">
        <f t="shared" ca="1" si="5"/>
        <v>7</v>
      </c>
      <c r="V164" s="6" t="s">
        <v>921</v>
      </c>
      <c r="W164" s="14" t="s">
        <v>96</v>
      </c>
      <c r="X164" s="15"/>
      <c r="Y164" s="5">
        <f t="shared" ca="1" si="6"/>
        <v>0</v>
      </c>
      <c r="Z164" s="6"/>
      <c r="AA164" s="12" t="str">
        <f t="shared" ca="1" si="7"/>
        <v>NA</v>
      </c>
      <c r="AB164" s="12" t="str">
        <f t="shared" ca="1" si="8"/>
        <v>NA</v>
      </c>
      <c r="AC164" s="12" t="str">
        <f t="shared" ca="1" si="9"/>
        <v>NA</v>
      </c>
      <c r="AD164" s="6"/>
      <c r="AE164" s="5"/>
      <c r="AF164" s="6"/>
      <c r="AG164" s="11">
        <v>40123</v>
      </c>
      <c r="AH164" s="12">
        <f t="shared" ca="1" si="10"/>
        <v>2009</v>
      </c>
      <c r="AI164" s="12">
        <f t="shared" ca="1" si="11"/>
        <v>11</v>
      </c>
      <c r="AJ164" s="12">
        <f t="shared" ca="1" si="12"/>
        <v>6</v>
      </c>
      <c r="AK164" s="8" t="s">
        <v>922</v>
      </c>
      <c r="AL164" s="8"/>
      <c r="AM164" s="5"/>
      <c r="AN164" s="5"/>
      <c r="AO164" s="5"/>
      <c r="AP164" s="12" t="str">
        <f t="shared" ca="1" si="13"/>
        <v>NA</v>
      </c>
      <c r="AQ164" s="12" t="str">
        <f t="shared" ca="1" si="14"/>
        <v>NA</v>
      </c>
      <c r="AR164" s="12" t="str">
        <f t="shared" ca="1" si="15"/>
        <v>NA</v>
      </c>
      <c r="AS164" s="5"/>
      <c r="AT164" s="5"/>
      <c r="AU164" s="5"/>
      <c r="AV164" s="12" t="str">
        <f t="shared" ca="1" si="16"/>
        <v>NA</v>
      </c>
      <c r="AW164" s="12" t="str">
        <f t="shared" ca="1" si="17"/>
        <v>NA</v>
      </c>
      <c r="AX164" s="12" t="str">
        <f t="shared" ca="1" si="18"/>
        <v>NA</v>
      </c>
      <c r="AY164" s="5"/>
      <c r="AZ164" s="5"/>
      <c r="BA164" s="6"/>
      <c r="BB164" s="12" t="str">
        <f t="shared" ca="1" si="19"/>
        <v>NA</v>
      </c>
      <c r="BC164" s="12" t="str">
        <f t="shared" ca="1" si="20"/>
        <v>NA</v>
      </c>
      <c r="BD164" s="12" t="str">
        <f t="shared" ca="1" si="21"/>
        <v>NA</v>
      </c>
      <c r="BE164" s="5"/>
      <c r="BF164" s="5"/>
      <c r="BG164" s="5"/>
      <c r="BH164" s="12" t="str">
        <f t="shared" ca="1" si="22"/>
        <v>NA</v>
      </c>
      <c r="BI164" s="12" t="str">
        <f t="shared" ca="1" si="23"/>
        <v>NA</v>
      </c>
      <c r="BJ164" s="12" t="str">
        <f t="shared" ca="1" si="24"/>
        <v>NA</v>
      </c>
      <c r="BK164" s="5"/>
      <c r="BL164" s="5"/>
      <c r="BM164" s="12" t="str">
        <f t="shared" ca="1" si="25"/>
        <v>NA</v>
      </c>
      <c r="BN164" s="12" t="str">
        <f t="shared" ca="1" si="26"/>
        <v>NA</v>
      </c>
      <c r="BO164" s="12" t="str">
        <f t="shared" ca="1" si="27"/>
        <v>NA</v>
      </c>
      <c r="BP164" s="5"/>
      <c r="BQ164" s="5"/>
      <c r="BR164" s="5"/>
      <c r="BS164" s="12" t="str">
        <f t="shared" ca="1" si="28"/>
        <v>NA</v>
      </c>
      <c r="BT164" s="12" t="str">
        <f t="shared" ca="1" si="29"/>
        <v>NA</v>
      </c>
      <c r="BU164" s="12" t="str">
        <f t="shared" ca="1" si="30"/>
        <v>NA</v>
      </c>
      <c r="BV164" s="5"/>
      <c r="BW164" s="5"/>
      <c r="BX164" s="12" t="str">
        <f t="shared" ca="1" si="31"/>
        <v>NA</v>
      </c>
      <c r="BY164" s="12" t="str">
        <f t="shared" ca="1" si="32"/>
        <v>NA</v>
      </c>
      <c r="BZ164" s="12" t="str">
        <f t="shared" ca="1" si="33"/>
        <v>NA</v>
      </c>
      <c r="CA164" s="5"/>
    </row>
    <row r="165" spans="1:79" ht="12.75" customHeight="1" x14ac:dyDescent="0.15">
      <c r="A165" s="4">
        <v>2682</v>
      </c>
      <c r="B165" s="5" t="s">
        <v>852</v>
      </c>
      <c r="C165" s="5" t="s">
        <v>852</v>
      </c>
      <c r="D165" s="6" t="s">
        <v>923</v>
      </c>
      <c r="E165" s="6" t="s">
        <v>924</v>
      </c>
      <c r="F165" s="6" t="s">
        <v>925</v>
      </c>
      <c r="G165" s="8" t="s">
        <v>856</v>
      </c>
      <c r="H165" s="6" t="s">
        <v>926</v>
      </c>
      <c r="I165" s="8">
        <v>2661</v>
      </c>
      <c r="J165" s="8"/>
      <c r="K165" s="8"/>
      <c r="L165" s="8" t="s">
        <v>82</v>
      </c>
      <c r="M165" s="7">
        <v>2634</v>
      </c>
      <c r="N165" s="7">
        <v>2654</v>
      </c>
      <c r="O165" s="13">
        <v>42955</v>
      </c>
      <c r="P165" s="10" t="str">
        <f t="shared" ca="1" si="0"/>
        <v>NA</v>
      </c>
      <c r="Q165" s="5" t="str">
        <f t="shared" ca="1" si="1"/>
        <v>NA</v>
      </c>
      <c r="R165" s="5" t="str">
        <f t="shared" ca="1" si="2"/>
        <v>NA</v>
      </c>
      <c r="S165" s="7">
        <f t="shared" ca="1" si="3"/>
        <v>2017</v>
      </c>
      <c r="T165" s="7">
        <f t="shared" ca="1" si="4"/>
        <v>8</v>
      </c>
      <c r="U165" s="7">
        <f t="shared" ca="1" si="5"/>
        <v>8</v>
      </c>
      <c r="V165" s="6" t="s">
        <v>927</v>
      </c>
      <c r="W165" s="14" t="s">
        <v>96</v>
      </c>
      <c r="X165" s="15"/>
      <c r="Y165" s="5">
        <f ca="1">COUNT(AP165,AV165,BB165,BH165,BM165,BS166,BX166)</f>
        <v>1</v>
      </c>
      <c r="Z165" s="6"/>
      <c r="AA165" s="12" t="str">
        <f t="shared" ca="1" si="7"/>
        <v>NA</v>
      </c>
      <c r="AB165" s="12" t="str">
        <f t="shared" ca="1" si="8"/>
        <v>NA</v>
      </c>
      <c r="AC165" s="12" t="str">
        <f t="shared" ca="1" si="9"/>
        <v>NA</v>
      </c>
      <c r="AD165" s="6"/>
      <c r="AE165" s="5"/>
      <c r="AF165" s="6"/>
      <c r="AG165" s="5"/>
      <c r="AH165" s="12" t="str">
        <f t="shared" ca="1" si="10"/>
        <v>NA</v>
      </c>
      <c r="AI165" s="12" t="str">
        <f t="shared" ca="1" si="11"/>
        <v>NA</v>
      </c>
      <c r="AJ165" s="12" t="str">
        <f t="shared" ca="1" si="12"/>
        <v>NA</v>
      </c>
      <c r="AK165" s="5"/>
      <c r="AL165" s="5"/>
      <c r="AM165" s="5"/>
      <c r="AN165" s="5"/>
      <c r="AO165" s="11">
        <v>43510</v>
      </c>
      <c r="AP165" s="12">
        <f t="shared" ca="1" si="13"/>
        <v>2019</v>
      </c>
      <c r="AQ165" s="12">
        <f t="shared" ca="1" si="14"/>
        <v>2</v>
      </c>
      <c r="AR165" s="12">
        <f t="shared" ca="1" si="15"/>
        <v>14</v>
      </c>
      <c r="AS165" s="8" t="s">
        <v>928</v>
      </c>
      <c r="AT165" s="8"/>
      <c r="AU165" s="5"/>
      <c r="AV165" s="12" t="str">
        <f t="shared" ca="1" si="16"/>
        <v>NA</v>
      </c>
      <c r="AW165" s="12" t="str">
        <f t="shared" ca="1" si="17"/>
        <v>NA</v>
      </c>
      <c r="AX165" s="12" t="str">
        <f t="shared" ca="1" si="18"/>
        <v>NA</v>
      </c>
      <c r="AY165" s="5"/>
      <c r="AZ165" s="5"/>
      <c r="BA165" s="18"/>
      <c r="BB165" s="12" t="str">
        <f t="shared" ca="1" si="19"/>
        <v>NA</v>
      </c>
      <c r="BC165" s="12" t="str">
        <f t="shared" ca="1" si="20"/>
        <v>NA</v>
      </c>
      <c r="BD165" s="12" t="str">
        <f t="shared" ca="1" si="21"/>
        <v>NA</v>
      </c>
      <c r="BE165" s="5"/>
      <c r="BF165" s="5"/>
      <c r="BG165" s="5"/>
      <c r="BH165" s="12" t="str">
        <f t="shared" ca="1" si="22"/>
        <v>NA</v>
      </c>
      <c r="BI165" s="12" t="str">
        <f t="shared" ca="1" si="23"/>
        <v>NA</v>
      </c>
      <c r="BJ165" s="12" t="str">
        <f t="shared" ca="1" si="24"/>
        <v>NA</v>
      </c>
      <c r="BK165" s="5"/>
      <c r="BL165" s="5"/>
      <c r="BM165" s="12" t="str">
        <f t="shared" ca="1" si="25"/>
        <v>NA</v>
      </c>
      <c r="BN165" s="12" t="str">
        <f t="shared" ca="1" si="26"/>
        <v>NA</v>
      </c>
      <c r="BO165" s="12" t="str">
        <f t="shared" ca="1" si="27"/>
        <v>NA</v>
      </c>
      <c r="BP165" s="5"/>
      <c r="BQ165" s="5"/>
      <c r="BR165" s="5"/>
      <c r="BS165" s="12" t="str">
        <f t="shared" ca="1" si="28"/>
        <v>NA</v>
      </c>
      <c r="BT165" s="12" t="str">
        <f t="shared" ca="1" si="29"/>
        <v>NA</v>
      </c>
      <c r="BU165" s="12" t="str">
        <f t="shared" ca="1" si="30"/>
        <v>NA</v>
      </c>
      <c r="BV165" s="5"/>
      <c r="BW165" s="5"/>
      <c r="BX165" s="12" t="str">
        <f t="shared" ca="1" si="31"/>
        <v>NA</v>
      </c>
      <c r="BY165" s="12" t="str">
        <f t="shared" ca="1" si="32"/>
        <v>NA</v>
      </c>
      <c r="BZ165" s="12" t="str">
        <f t="shared" ca="1" si="33"/>
        <v>NA</v>
      </c>
      <c r="CA165" s="5"/>
    </row>
    <row r="166" spans="1:79" ht="12.75" customHeight="1" x14ac:dyDescent="0.15">
      <c r="A166" s="4">
        <v>2502</v>
      </c>
      <c r="B166" s="5" t="s">
        <v>79</v>
      </c>
      <c r="C166" s="5" t="s">
        <v>79</v>
      </c>
      <c r="D166" s="6" t="s">
        <v>929</v>
      </c>
      <c r="E166" s="7">
        <v>119021</v>
      </c>
      <c r="F166" s="6" t="s">
        <v>930</v>
      </c>
      <c r="G166" s="8"/>
      <c r="H166" s="8"/>
      <c r="I166" s="8"/>
      <c r="J166" s="8"/>
      <c r="K166" s="8"/>
      <c r="L166" s="8" t="s">
        <v>82</v>
      </c>
      <c r="M166" s="7">
        <v>1138</v>
      </c>
      <c r="N166" s="7">
        <v>2413</v>
      </c>
      <c r="O166" s="13">
        <v>39089</v>
      </c>
      <c r="P166" s="10" t="str">
        <f t="shared" ca="1" si="0"/>
        <v>NA</v>
      </c>
      <c r="Q166" s="5" t="str">
        <f t="shared" ca="1" si="1"/>
        <v>NA</v>
      </c>
      <c r="R166" s="5" t="str">
        <f t="shared" ca="1" si="2"/>
        <v>NA</v>
      </c>
      <c r="S166" s="7">
        <f t="shared" ca="1" si="3"/>
        <v>2007</v>
      </c>
      <c r="T166" s="7">
        <f t="shared" ca="1" si="4"/>
        <v>1</v>
      </c>
      <c r="U166" s="7">
        <f t="shared" ca="1" si="5"/>
        <v>7</v>
      </c>
      <c r="V166" s="6" t="s">
        <v>931</v>
      </c>
      <c r="W166" s="14" t="s">
        <v>96</v>
      </c>
      <c r="X166" s="15"/>
      <c r="Y166" s="5">
        <f t="shared" ref="Y166:Y183" ca="1" si="34">COUNT(AP166,AV166,BB166,BH166,BM166,BS168,BX168)</f>
        <v>2</v>
      </c>
      <c r="Z166" s="6"/>
      <c r="AA166" s="12" t="str">
        <f t="shared" ca="1" si="7"/>
        <v>NA</v>
      </c>
      <c r="AB166" s="12" t="str">
        <f t="shared" ca="1" si="8"/>
        <v>NA</v>
      </c>
      <c r="AC166" s="12" t="str">
        <f t="shared" ca="1" si="9"/>
        <v>NA</v>
      </c>
      <c r="AD166" s="6"/>
      <c r="AE166" s="5"/>
      <c r="AF166" s="6"/>
      <c r="AG166" s="5"/>
      <c r="AH166" s="12" t="str">
        <f t="shared" ca="1" si="10"/>
        <v>NA</v>
      </c>
      <c r="AI166" s="12" t="str">
        <f t="shared" ca="1" si="11"/>
        <v>NA</v>
      </c>
      <c r="AJ166" s="12" t="str">
        <f t="shared" ca="1" si="12"/>
        <v>NA</v>
      </c>
      <c r="AK166" s="5"/>
      <c r="AL166" s="5"/>
      <c r="AM166" s="5"/>
      <c r="AN166" s="5"/>
      <c r="AO166" s="11">
        <v>39938</v>
      </c>
      <c r="AP166" s="12">
        <f t="shared" ca="1" si="13"/>
        <v>2009</v>
      </c>
      <c r="AQ166" s="12">
        <f t="shared" ca="1" si="14"/>
        <v>5</v>
      </c>
      <c r="AR166" s="12">
        <f t="shared" ca="1" si="15"/>
        <v>5</v>
      </c>
      <c r="AS166" s="8" t="s">
        <v>932</v>
      </c>
      <c r="AT166" s="8"/>
      <c r="AU166" s="11">
        <v>43718</v>
      </c>
      <c r="AV166" s="12">
        <f t="shared" ca="1" si="16"/>
        <v>2019</v>
      </c>
      <c r="AW166" s="12">
        <f t="shared" ca="1" si="17"/>
        <v>9</v>
      </c>
      <c r="AX166" s="12">
        <f t="shared" ca="1" si="18"/>
        <v>10</v>
      </c>
      <c r="AY166" s="8" t="s">
        <v>933</v>
      </c>
      <c r="AZ166" s="8"/>
      <c r="BA166" s="6"/>
      <c r="BB166" s="12" t="str">
        <f t="shared" ca="1" si="19"/>
        <v>NA</v>
      </c>
      <c r="BC166" s="12" t="str">
        <f t="shared" ca="1" si="20"/>
        <v>NA</v>
      </c>
      <c r="BD166" s="12" t="str">
        <f t="shared" ca="1" si="21"/>
        <v>NA</v>
      </c>
      <c r="BE166" s="5"/>
      <c r="BF166" s="5"/>
      <c r="BG166" s="5"/>
      <c r="BH166" s="12" t="str">
        <f t="shared" ca="1" si="22"/>
        <v>NA</v>
      </c>
      <c r="BI166" s="12" t="str">
        <f t="shared" ca="1" si="23"/>
        <v>NA</v>
      </c>
      <c r="BJ166" s="12" t="str">
        <f t="shared" ca="1" si="24"/>
        <v>NA</v>
      </c>
      <c r="BK166" s="5"/>
      <c r="BL166" s="5"/>
      <c r="BM166" s="12" t="str">
        <f t="shared" ca="1" si="25"/>
        <v>NA</v>
      </c>
      <c r="BN166" s="12" t="str">
        <f t="shared" ca="1" si="26"/>
        <v>NA</v>
      </c>
      <c r="BO166" s="12" t="str">
        <f t="shared" ca="1" si="27"/>
        <v>NA</v>
      </c>
      <c r="BP166" s="5"/>
      <c r="BQ166" s="5"/>
      <c r="BR166" s="5"/>
      <c r="BS166" s="12" t="str">
        <f t="shared" ca="1" si="28"/>
        <v>NA</v>
      </c>
      <c r="BT166" s="12" t="str">
        <f t="shared" ca="1" si="29"/>
        <v>NA</v>
      </c>
      <c r="BU166" s="12" t="str">
        <f t="shared" ca="1" si="30"/>
        <v>NA</v>
      </c>
      <c r="BV166" s="5"/>
      <c r="BW166" s="5"/>
      <c r="BX166" s="12" t="str">
        <f t="shared" ca="1" si="31"/>
        <v>NA</v>
      </c>
      <c r="BY166" s="12" t="str">
        <f t="shared" ca="1" si="32"/>
        <v>NA</v>
      </c>
      <c r="BZ166" s="12" t="str">
        <f t="shared" ca="1" si="33"/>
        <v>NA</v>
      </c>
      <c r="CA166" s="5"/>
    </row>
    <row r="167" spans="1:79" ht="12.75" customHeight="1" x14ac:dyDescent="0.15">
      <c r="A167" s="4">
        <v>2503</v>
      </c>
      <c r="B167" s="5" t="s">
        <v>79</v>
      </c>
      <c r="C167" s="5" t="s">
        <v>79</v>
      </c>
      <c r="D167" s="6" t="s">
        <v>934</v>
      </c>
      <c r="E167" s="6" t="s">
        <v>935</v>
      </c>
      <c r="F167" s="6" t="s">
        <v>936</v>
      </c>
      <c r="G167" s="8"/>
      <c r="H167" s="8"/>
      <c r="I167" s="8"/>
      <c r="J167" s="8"/>
      <c r="K167" s="8"/>
      <c r="L167" s="8" t="s">
        <v>82</v>
      </c>
      <c r="M167" s="7">
        <v>1131</v>
      </c>
      <c r="N167" s="7">
        <v>2403</v>
      </c>
      <c r="O167" s="13">
        <v>39100</v>
      </c>
      <c r="P167" s="10">
        <f t="shared" ca="1" si="0"/>
        <v>1.6666666666666666E-2</v>
      </c>
      <c r="Q167" s="5">
        <f t="shared" ca="1" si="1"/>
        <v>0</v>
      </c>
      <c r="R167" s="5">
        <f t="shared" ca="1" si="2"/>
        <v>6</v>
      </c>
      <c r="S167" s="7">
        <f t="shared" ca="1" si="3"/>
        <v>2007</v>
      </c>
      <c r="T167" s="7">
        <f t="shared" ca="1" si="4"/>
        <v>1</v>
      </c>
      <c r="U167" s="7">
        <f t="shared" ca="1" si="5"/>
        <v>18</v>
      </c>
      <c r="V167" s="6" t="s">
        <v>937</v>
      </c>
      <c r="W167" s="14" t="s">
        <v>96</v>
      </c>
      <c r="X167" s="15"/>
      <c r="Y167" s="5">
        <f t="shared" ca="1" si="34"/>
        <v>0</v>
      </c>
      <c r="Z167" s="6"/>
      <c r="AA167" s="12" t="str">
        <f t="shared" ca="1" si="7"/>
        <v>NA</v>
      </c>
      <c r="AB167" s="12" t="str">
        <f t="shared" ca="1" si="8"/>
        <v>NA</v>
      </c>
      <c r="AC167" s="12" t="str">
        <f t="shared" ca="1" si="9"/>
        <v>NA</v>
      </c>
      <c r="AD167" s="6"/>
      <c r="AE167" s="5"/>
      <c r="AF167" s="6"/>
      <c r="AG167" s="11">
        <v>39106</v>
      </c>
      <c r="AH167" s="12">
        <f t="shared" ca="1" si="10"/>
        <v>2007</v>
      </c>
      <c r="AI167" s="12">
        <f t="shared" ca="1" si="11"/>
        <v>1</v>
      </c>
      <c r="AJ167" s="12">
        <f t="shared" ca="1" si="12"/>
        <v>24</v>
      </c>
      <c r="AK167" s="8" t="s">
        <v>938</v>
      </c>
      <c r="AL167" s="8"/>
      <c r="AM167" s="5"/>
      <c r="AN167" s="5"/>
      <c r="AO167" s="5"/>
      <c r="AP167" s="12" t="str">
        <f t="shared" ca="1" si="13"/>
        <v>NA</v>
      </c>
      <c r="AQ167" s="12" t="str">
        <f t="shared" ca="1" si="14"/>
        <v>NA</v>
      </c>
      <c r="AR167" s="12" t="str">
        <f t="shared" ca="1" si="15"/>
        <v>NA</v>
      </c>
      <c r="AS167" s="5"/>
      <c r="AT167" s="5"/>
      <c r="AU167" s="5"/>
      <c r="AV167" s="12" t="str">
        <f t="shared" ca="1" si="16"/>
        <v>NA</v>
      </c>
      <c r="AW167" s="12" t="str">
        <f t="shared" ca="1" si="17"/>
        <v>NA</v>
      </c>
      <c r="AX167" s="12" t="str">
        <f t="shared" ca="1" si="18"/>
        <v>NA</v>
      </c>
      <c r="AY167" s="5"/>
      <c r="AZ167" s="5"/>
      <c r="BA167" s="6"/>
      <c r="BB167" s="12" t="str">
        <f t="shared" ca="1" si="19"/>
        <v>NA</v>
      </c>
      <c r="BC167" s="12" t="str">
        <f t="shared" ca="1" si="20"/>
        <v>NA</v>
      </c>
      <c r="BD167" s="12" t="str">
        <f t="shared" ca="1" si="21"/>
        <v>NA</v>
      </c>
      <c r="BE167" s="5"/>
      <c r="BF167" s="5"/>
      <c r="BG167" s="5"/>
      <c r="BH167" s="12" t="str">
        <f t="shared" ca="1" si="22"/>
        <v>NA</v>
      </c>
      <c r="BI167" s="12" t="str">
        <f t="shared" ca="1" si="23"/>
        <v>NA</v>
      </c>
      <c r="BJ167" s="12" t="str">
        <f t="shared" ca="1" si="24"/>
        <v>NA</v>
      </c>
      <c r="BK167" s="5"/>
      <c r="BL167" s="5"/>
      <c r="BM167" s="12" t="str">
        <f t="shared" ca="1" si="25"/>
        <v>NA</v>
      </c>
      <c r="BN167" s="12" t="str">
        <f t="shared" ca="1" si="26"/>
        <v>NA</v>
      </c>
      <c r="BO167" s="12" t="str">
        <f t="shared" ca="1" si="27"/>
        <v>NA</v>
      </c>
      <c r="BP167" s="5"/>
      <c r="BQ167" s="5"/>
      <c r="BR167" s="5"/>
      <c r="BS167" s="12" t="str">
        <f t="shared" ca="1" si="28"/>
        <v>NA</v>
      </c>
      <c r="BT167" s="12" t="str">
        <f t="shared" ca="1" si="29"/>
        <v>NA</v>
      </c>
      <c r="BU167" s="12" t="str">
        <f t="shared" ca="1" si="30"/>
        <v>NA</v>
      </c>
      <c r="BV167" s="5"/>
      <c r="BW167" s="5"/>
      <c r="BX167" s="12" t="str">
        <f t="shared" ca="1" si="31"/>
        <v>NA</v>
      </c>
      <c r="BY167" s="12" t="str">
        <f t="shared" ca="1" si="32"/>
        <v>NA</v>
      </c>
      <c r="BZ167" s="12" t="str">
        <f t="shared" ca="1" si="33"/>
        <v>NA</v>
      </c>
      <c r="CA167" s="5"/>
    </row>
    <row r="168" spans="1:79" ht="12.75" customHeight="1" x14ac:dyDescent="0.15">
      <c r="A168" s="4">
        <v>2626</v>
      </c>
      <c r="B168" s="5" t="s">
        <v>852</v>
      </c>
      <c r="C168" s="5" t="s">
        <v>852</v>
      </c>
      <c r="D168" s="6" t="s">
        <v>939</v>
      </c>
      <c r="E168" s="7">
        <v>4920</v>
      </c>
      <c r="F168" s="6" t="s">
        <v>940</v>
      </c>
      <c r="G168" s="8" t="s">
        <v>856</v>
      </c>
      <c r="H168" s="6" t="s">
        <v>941</v>
      </c>
      <c r="I168" s="8">
        <v>2631</v>
      </c>
      <c r="J168" s="8"/>
      <c r="K168" s="8"/>
      <c r="L168" s="8" t="s">
        <v>82</v>
      </c>
      <c r="M168" s="7">
        <v>2402</v>
      </c>
      <c r="N168" s="7">
        <v>2451</v>
      </c>
      <c r="O168" s="13">
        <v>40518</v>
      </c>
      <c r="P168" s="10" t="str">
        <f t="shared" ca="1" si="0"/>
        <v>NA</v>
      </c>
      <c r="Q168" s="5" t="str">
        <f t="shared" ca="1" si="1"/>
        <v>NA</v>
      </c>
      <c r="R168" s="5" t="str">
        <f t="shared" ca="1" si="2"/>
        <v>NA</v>
      </c>
      <c r="S168" s="7">
        <f t="shared" ca="1" si="3"/>
        <v>2010</v>
      </c>
      <c r="T168" s="7">
        <f t="shared" ca="1" si="4"/>
        <v>12</v>
      </c>
      <c r="U168" s="7">
        <f t="shared" ca="1" si="5"/>
        <v>6</v>
      </c>
      <c r="V168" s="6" t="s">
        <v>942</v>
      </c>
      <c r="W168" s="14" t="s">
        <v>96</v>
      </c>
      <c r="X168" s="15"/>
      <c r="Y168" s="5">
        <f t="shared" ca="1" si="34"/>
        <v>1</v>
      </c>
      <c r="Z168" s="6"/>
      <c r="AA168" s="12" t="str">
        <f t="shared" ca="1" si="7"/>
        <v>NA</v>
      </c>
      <c r="AB168" s="12" t="str">
        <f t="shared" ca="1" si="8"/>
        <v>NA</v>
      </c>
      <c r="AC168" s="12" t="str">
        <f t="shared" ca="1" si="9"/>
        <v>NA</v>
      </c>
      <c r="AD168" s="6"/>
      <c r="AE168" s="5"/>
      <c r="AF168" s="6"/>
      <c r="AG168" s="5"/>
      <c r="AH168" s="12" t="str">
        <f t="shared" ca="1" si="10"/>
        <v>NA</v>
      </c>
      <c r="AI168" s="12" t="str">
        <f t="shared" ca="1" si="11"/>
        <v>NA</v>
      </c>
      <c r="AJ168" s="12" t="str">
        <f t="shared" ca="1" si="12"/>
        <v>NA</v>
      </c>
      <c r="AK168" s="5"/>
      <c r="AL168" s="5"/>
      <c r="AM168" s="5"/>
      <c r="AN168" s="5"/>
      <c r="AO168" s="11">
        <v>41751</v>
      </c>
      <c r="AP168" s="12">
        <f t="shared" ca="1" si="13"/>
        <v>2014</v>
      </c>
      <c r="AQ168" s="12">
        <f t="shared" ca="1" si="14"/>
        <v>4</v>
      </c>
      <c r="AR168" s="12">
        <f t="shared" ca="1" si="15"/>
        <v>22</v>
      </c>
      <c r="AS168" s="8" t="s">
        <v>943</v>
      </c>
      <c r="AT168" s="8"/>
      <c r="AU168" s="5"/>
      <c r="AV168" s="12" t="str">
        <f t="shared" ca="1" si="16"/>
        <v>NA</v>
      </c>
      <c r="AW168" s="12" t="str">
        <f t="shared" ca="1" si="17"/>
        <v>NA</v>
      </c>
      <c r="AX168" s="12" t="str">
        <f t="shared" ca="1" si="18"/>
        <v>NA</v>
      </c>
      <c r="AY168" s="5"/>
      <c r="AZ168" s="5"/>
      <c r="BA168" s="18"/>
      <c r="BB168" s="12" t="str">
        <f t="shared" ca="1" si="19"/>
        <v>NA</v>
      </c>
      <c r="BC168" s="12" t="str">
        <f t="shared" ca="1" si="20"/>
        <v>NA</v>
      </c>
      <c r="BD168" s="12" t="str">
        <f t="shared" ca="1" si="21"/>
        <v>NA</v>
      </c>
      <c r="BE168" s="5"/>
      <c r="BF168" s="5"/>
      <c r="BG168" s="5"/>
      <c r="BH168" s="12" t="str">
        <f t="shared" ca="1" si="22"/>
        <v>NA</v>
      </c>
      <c r="BI168" s="12" t="str">
        <f t="shared" ca="1" si="23"/>
        <v>NA</v>
      </c>
      <c r="BJ168" s="12" t="str">
        <f t="shared" ca="1" si="24"/>
        <v>NA</v>
      </c>
      <c r="BK168" s="5"/>
      <c r="BL168" s="5"/>
      <c r="BM168" s="12" t="str">
        <f t="shared" ca="1" si="25"/>
        <v>NA</v>
      </c>
      <c r="BN168" s="12" t="str">
        <f t="shared" ca="1" si="26"/>
        <v>NA</v>
      </c>
      <c r="BO168" s="12" t="str">
        <f t="shared" ca="1" si="27"/>
        <v>NA</v>
      </c>
      <c r="BP168" s="5"/>
      <c r="BQ168" s="5"/>
      <c r="BR168" s="5"/>
      <c r="BS168" s="12" t="str">
        <f t="shared" ca="1" si="28"/>
        <v>NA</v>
      </c>
      <c r="BT168" s="12" t="str">
        <f t="shared" ca="1" si="29"/>
        <v>NA</v>
      </c>
      <c r="BU168" s="12" t="str">
        <f t="shared" ca="1" si="30"/>
        <v>NA</v>
      </c>
      <c r="BV168" s="5"/>
      <c r="BW168" s="5"/>
      <c r="BX168" s="12" t="str">
        <f t="shared" ca="1" si="31"/>
        <v>NA</v>
      </c>
      <c r="BY168" s="12" t="str">
        <f t="shared" ca="1" si="32"/>
        <v>NA</v>
      </c>
      <c r="BZ168" s="12" t="str">
        <f t="shared" ca="1" si="33"/>
        <v>NA</v>
      </c>
      <c r="CA168" s="5"/>
    </row>
    <row r="169" spans="1:79" ht="12.75" customHeight="1" x14ac:dyDescent="0.15">
      <c r="A169" s="4">
        <v>2504</v>
      </c>
      <c r="B169" s="5" t="s">
        <v>79</v>
      </c>
      <c r="C169" s="5" t="s">
        <v>79</v>
      </c>
      <c r="D169" s="6" t="s">
        <v>944</v>
      </c>
      <c r="E169" s="6" t="s">
        <v>945</v>
      </c>
      <c r="F169" s="6" t="s">
        <v>946</v>
      </c>
      <c r="G169" s="8"/>
      <c r="H169" s="8"/>
      <c r="I169" s="8"/>
      <c r="J169" s="8"/>
      <c r="K169" s="8"/>
      <c r="L169" s="8" t="s">
        <v>82</v>
      </c>
      <c r="M169" s="7">
        <v>1131</v>
      </c>
      <c r="N169" s="7">
        <v>2403</v>
      </c>
      <c r="O169" s="13">
        <v>39100</v>
      </c>
      <c r="P169" s="10" t="str">
        <f t="shared" ca="1" si="0"/>
        <v>NA</v>
      </c>
      <c r="Q169" s="5" t="str">
        <f t="shared" ca="1" si="1"/>
        <v>NA</v>
      </c>
      <c r="R169" s="5" t="str">
        <f t="shared" ca="1" si="2"/>
        <v>NA</v>
      </c>
      <c r="S169" s="7">
        <f t="shared" ca="1" si="3"/>
        <v>2007</v>
      </c>
      <c r="T169" s="7">
        <f t="shared" ca="1" si="4"/>
        <v>1</v>
      </c>
      <c r="U169" s="7">
        <f t="shared" ca="1" si="5"/>
        <v>18</v>
      </c>
      <c r="V169" s="6" t="s">
        <v>947</v>
      </c>
      <c r="W169" s="14" t="s">
        <v>96</v>
      </c>
      <c r="X169" s="15"/>
      <c r="Y169" s="5">
        <f t="shared" ca="1" si="34"/>
        <v>1</v>
      </c>
      <c r="Z169" s="6"/>
      <c r="AA169" s="12" t="str">
        <f t="shared" ca="1" si="7"/>
        <v>NA</v>
      </c>
      <c r="AB169" s="12" t="str">
        <f t="shared" ca="1" si="8"/>
        <v>NA</v>
      </c>
      <c r="AC169" s="12" t="str">
        <f t="shared" ca="1" si="9"/>
        <v>NA</v>
      </c>
      <c r="AD169" s="6"/>
      <c r="AE169" s="5"/>
      <c r="AF169" s="6"/>
      <c r="AG169" s="5"/>
      <c r="AH169" s="12" t="str">
        <f t="shared" ca="1" si="10"/>
        <v>NA</v>
      </c>
      <c r="AI169" s="12" t="str">
        <f t="shared" ca="1" si="11"/>
        <v>NA</v>
      </c>
      <c r="AJ169" s="12" t="str">
        <f t="shared" ca="1" si="12"/>
        <v>NA</v>
      </c>
      <c r="AK169" s="5"/>
      <c r="AL169" s="5"/>
      <c r="AM169" s="5"/>
      <c r="AN169" s="5"/>
      <c r="AO169" s="11">
        <v>39989</v>
      </c>
      <c r="AP169" s="12">
        <f t="shared" ca="1" si="13"/>
        <v>2009</v>
      </c>
      <c r="AQ169" s="12">
        <f t="shared" ca="1" si="14"/>
        <v>6</v>
      </c>
      <c r="AR169" s="12">
        <f t="shared" ca="1" si="15"/>
        <v>25</v>
      </c>
      <c r="AS169" s="8" t="s">
        <v>948</v>
      </c>
      <c r="AT169" s="8"/>
      <c r="AU169" s="5"/>
      <c r="AV169" s="12" t="str">
        <f t="shared" ca="1" si="16"/>
        <v>NA</v>
      </c>
      <c r="AW169" s="12" t="str">
        <f t="shared" ca="1" si="17"/>
        <v>NA</v>
      </c>
      <c r="AX169" s="12" t="str">
        <f t="shared" ca="1" si="18"/>
        <v>NA</v>
      </c>
      <c r="AY169" s="5"/>
      <c r="AZ169" s="5"/>
      <c r="BA169" s="6"/>
      <c r="BB169" s="12" t="str">
        <f t="shared" ca="1" si="19"/>
        <v>NA</v>
      </c>
      <c r="BC169" s="12" t="str">
        <f t="shared" ca="1" si="20"/>
        <v>NA</v>
      </c>
      <c r="BD169" s="12" t="str">
        <f t="shared" ca="1" si="21"/>
        <v>NA</v>
      </c>
      <c r="BE169" s="5"/>
      <c r="BF169" s="5"/>
      <c r="BG169" s="5"/>
      <c r="BH169" s="12" t="str">
        <f t="shared" ca="1" si="22"/>
        <v>NA</v>
      </c>
      <c r="BI169" s="12" t="str">
        <f t="shared" ca="1" si="23"/>
        <v>NA</v>
      </c>
      <c r="BJ169" s="12" t="str">
        <f t="shared" ca="1" si="24"/>
        <v>NA</v>
      </c>
      <c r="BK169" s="5"/>
      <c r="BL169" s="5"/>
      <c r="BM169" s="12" t="str">
        <f t="shared" ca="1" si="25"/>
        <v>NA</v>
      </c>
      <c r="BN169" s="12" t="str">
        <f t="shared" ca="1" si="26"/>
        <v>NA</v>
      </c>
      <c r="BO169" s="12" t="str">
        <f t="shared" ca="1" si="27"/>
        <v>NA</v>
      </c>
      <c r="BP169" s="5"/>
      <c r="BQ169" s="5"/>
      <c r="BR169" s="5"/>
      <c r="BS169" s="12" t="str">
        <f t="shared" ca="1" si="28"/>
        <v>NA</v>
      </c>
      <c r="BT169" s="12" t="str">
        <f t="shared" ca="1" si="29"/>
        <v>NA</v>
      </c>
      <c r="BU169" s="12" t="str">
        <f t="shared" ca="1" si="30"/>
        <v>NA</v>
      </c>
      <c r="BV169" s="5"/>
      <c r="BW169" s="5"/>
      <c r="BX169" s="12" t="str">
        <f t="shared" ca="1" si="31"/>
        <v>NA</v>
      </c>
      <c r="BY169" s="12" t="str">
        <f t="shared" ca="1" si="32"/>
        <v>NA</v>
      </c>
      <c r="BZ169" s="12" t="str">
        <f t="shared" ca="1" si="33"/>
        <v>NA</v>
      </c>
      <c r="CA169" s="5"/>
    </row>
    <row r="170" spans="1:79" ht="12.75" customHeight="1" x14ac:dyDescent="0.15">
      <c r="A170" s="4">
        <v>2505</v>
      </c>
      <c r="B170" s="5" t="s">
        <v>79</v>
      </c>
      <c r="C170" s="5" t="s">
        <v>79</v>
      </c>
      <c r="D170" s="6" t="s">
        <v>949</v>
      </c>
      <c r="E170" s="7">
        <v>506207</v>
      </c>
      <c r="F170" s="6" t="s">
        <v>950</v>
      </c>
      <c r="G170" s="8"/>
      <c r="H170" s="8"/>
      <c r="I170" s="8"/>
      <c r="J170" s="8"/>
      <c r="K170" s="8"/>
      <c r="L170" s="8" t="s">
        <v>82</v>
      </c>
      <c r="M170" s="7">
        <v>2409</v>
      </c>
      <c r="N170" s="7">
        <v>1135</v>
      </c>
      <c r="O170" s="13">
        <v>38888</v>
      </c>
      <c r="P170" s="10">
        <f t="shared" ca="1" si="0"/>
        <v>0</v>
      </c>
      <c r="Q170" s="5">
        <f t="shared" ca="1" si="1"/>
        <v>0</v>
      </c>
      <c r="R170" s="5">
        <f t="shared" ca="1" si="2"/>
        <v>0</v>
      </c>
      <c r="S170" s="7">
        <f t="shared" ca="1" si="3"/>
        <v>2006</v>
      </c>
      <c r="T170" s="7">
        <f t="shared" ca="1" si="4"/>
        <v>6</v>
      </c>
      <c r="U170" s="7">
        <f t="shared" ca="1" si="5"/>
        <v>20</v>
      </c>
      <c r="V170" s="6" t="s">
        <v>951</v>
      </c>
      <c r="W170" s="14" t="s">
        <v>96</v>
      </c>
      <c r="X170" s="15"/>
      <c r="Y170" s="5">
        <f t="shared" ca="1" si="34"/>
        <v>0</v>
      </c>
      <c r="Z170" s="6"/>
      <c r="AA170" s="12" t="str">
        <f t="shared" ca="1" si="7"/>
        <v>NA</v>
      </c>
      <c r="AB170" s="12" t="str">
        <f t="shared" ca="1" si="8"/>
        <v>NA</v>
      </c>
      <c r="AC170" s="12" t="str">
        <f t="shared" ca="1" si="9"/>
        <v>NA</v>
      </c>
      <c r="AD170" s="6"/>
      <c r="AE170" s="5"/>
      <c r="AF170" s="6"/>
      <c r="AG170" s="11">
        <v>38888</v>
      </c>
      <c r="AH170" s="12">
        <f t="shared" ca="1" si="10"/>
        <v>2006</v>
      </c>
      <c r="AI170" s="12">
        <f t="shared" ca="1" si="11"/>
        <v>6</v>
      </c>
      <c r="AJ170" s="12">
        <f t="shared" ca="1" si="12"/>
        <v>20</v>
      </c>
      <c r="AK170" s="8" t="s">
        <v>952</v>
      </c>
      <c r="AL170" s="8"/>
      <c r="AM170" s="5"/>
      <c r="AN170" s="5"/>
      <c r="AO170" s="5"/>
      <c r="AP170" s="12" t="str">
        <f t="shared" ca="1" si="13"/>
        <v>NA</v>
      </c>
      <c r="AQ170" s="12" t="str">
        <f t="shared" ca="1" si="14"/>
        <v>NA</v>
      </c>
      <c r="AR170" s="12" t="str">
        <f t="shared" ca="1" si="15"/>
        <v>NA</v>
      </c>
      <c r="AS170" s="5"/>
      <c r="AT170" s="5"/>
      <c r="AU170" s="5"/>
      <c r="AV170" s="12" t="str">
        <f t="shared" ca="1" si="16"/>
        <v>NA</v>
      </c>
      <c r="AW170" s="12" t="str">
        <f t="shared" ca="1" si="17"/>
        <v>NA</v>
      </c>
      <c r="AX170" s="12" t="str">
        <f t="shared" ca="1" si="18"/>
        <v>NA</v>
      </c>
      <c r="AY170" s="5"/>
      <c r="AZ170" s="5"/>
      <c r="BA170" s="6"/>
      <c r="BB170" s="12" t="str">
        <f t="shared" ca="1" si="19"/>
        <v>NA</v>
      </c>
      <c r="BC170" s="12" t="str">
        <f t="shared" ca="1" si="20"/>
        <v>NA</v>
      </c>
      <c r="BD170" s="12" t="str">
        <f t="shared" ca="1" si="21"/>
        <v>NA</v>
      </c>
      <c r="BE170" s="5"/>
      <c r="BF170" s="5"/>
      <c r="BG170" s="5"/>
      <c r="BH170" s="12" t="str">
        <f t="shared" ca="1" si="22"/>
        <v>NA</v>
      </c>
      <c r="BI170" s="12" t="str">
        <f t="shared" ca="1" si="23"/>
        <v>NA</v>
      </c>
      <c r="BJ170" s="12" t="str">
        <f t="shared" ca="1" si="24"/>
        <v>NA</v>
      </c>
      <c r="BK170" s="5"/>
      <c r="BL170" s="5"/>
      <c r="BM170" s="12" t="str">
        <f t="shared" ca="1" si="25"/>
        <v>NA</v>
      </c>
      <c r="BN170" s="12" t="str">
        <f t="shared" ca="1" si="26"/>
        <v>NA</v>
      </c>
      <c r="BO170" s="12" t="str">
        <f t="shared" ca="1" si="27"/>
        <v>NA</v>
      </c>
      <c r="BP170" s="5"/>
      <c r="BQ170" s="5"/>
      <c r="BR170" s="5"/>
      <c r="BS170" s="12" t="str">
        <f t="shared" ca="1" si="28"/>
        <v>NA</v>
      </c>
      <c r="BT170" s="12" t="str">
        <f t="shared" ca="1" si="29"/>
        <v>NA</v>
      </c>
      <c r="BU170" s="12" t="str">
        <f t="shared" ca="1" si="30"/>
        <v>NA</v>
      </c>
      <c r="BV170" s="5"/>
      <c r="BW170" s="5"/>
      <c r="BX170" s="12" t="str">
        <f t="shared" ca="1" si="31"/>
        <v>NA</v>
      </c>
      <c r="BY170" s="12" t="str">
        <f t="shared" ca="1" si="32"/>
        <v>NA</v>
      </c>
      <c r="BZ170" s="12" t="str">
        <f t="shared" ca="1" si="33"/>
        <v>NA</v>
      </c>
      <c r="CA170" s="5"/>
    </row>
    <row r="171" spans="1:79" ht="12.75" customHeight="1" x14ac:dyDescent="0.15">
      <c r="A171" s="4">
        <v>2506</v>
      </c>
      <c r="B171" s="5" t="s">
        <v>79</v>
      </c>
      <c r="C171" s="5" t="s">
        <v>79</v>
      </c>
      <c r="D171" s="6" t="s">
        <v>953</v>
      </c>
      <c r="E171" s="6" t="s">
        <v>954</v>
      </c>
      <c r="F171" s="6" t="s">
        <v>955</v>
      </c>
      <c r="G171" s="8"/>
      <c r="H171" s="8"/>
      <c r="I171" s="8"/>
      <c r="J171" s="8"/>
      <c r="K171" s="8"/>
      <c r="L171" s="8" t="s">
        <v>82</v>
      </c>
      <c r="M171" s="7">
        <v>1125</v>
      </c>
      <c r="N171" s="7">
        <v>1124</v>
      </c>
      <c r="O171" s="13">
        <v>38813</v>
      </c>
      <c r="P171" s="10">
        <f t="shared" ca="1" si="0"/>
        <v>6.3111111111111109</v>
      </c>
      <c r="Q171" s="5">
        <f t="shared" ca="1" si="1"/>
        <v>75</v>
      </c>
      <c r="R171" s="5">
        <f t="shared" ca="1" si="2"/>
        <v>2305</v>
      </c>
      <c r="S171" s="7">
        <f t="shared" ca="1" si="3"/>
        <v>2006</v>
      </c>
      <c r="T171" s="7">
        <f t="shared" ca="1" si="4"/>
        <v>4</v>
      </c>
      <c r="U171" s="7">
        <f t="shared" ca="1" si="5"/>
        <v>6</v>
      </c>
      <c r="V171" s="6" t="s">
        <v>956</v>
      </c>
      <c r="W171" s="14" t="s">
        <v>96</v>
      </c>
      <c r="X171" s="15"/>
      <c r="Y171" s="5">
        <f t="shared" ca="1" si="34"/>
        <v>1</v>
      </c>
      <c r="Z171" s="6"/>
      <c r="AA171" s="12" t="str">
        <f t="shared" ca="1" si="7"/>
        <v>NA</v>
      </c>
      <c r="AB171" s="12" t="str">
        <f t="shared" ca="1" si="8"/>
        <v>NA</v>
      </c>
      <c r="AC171" s="12" t="str">
        <f t="shared" ca="1" si="9"/>
        <v>NA</v>
      </c>
      <c r="AD171" s="6"/>
      <c r="AE171" s="5"/>
      <c r="AF171" s="6"/>
      <c r="AG171" s="11">
        <v>41118</v>
      </c>
      <c r="AH171" s="12">
        <f t="shared" ca="1" si="10"/>
        <v>2012</v>
      </c>
      <c r="AI171" s="12">
        <f t="shared" ca="1" si="11"/>
        <v>7</v>
      </c>
      <c r="AJ171" s="12">
        <f t="shared" ca="1" si="12"/>
        <v>28</v>
      </c>
      <c r="AK171" s="8" t="s">
        <v>957</v>
      </c>
      <c r="AL171" s="8"/>
      <c r="AM171" s="5"/>
      <c r="AN171" s="5"/>
      <c r="AO171" s="11">
        <v>39750</v>
      </c>
      <c r="AP171" s="12">
        <f t="shared" ca="1" si="13"/>
        <v>2008</v>
      </c>
      <c r="AQ171" s="12">
        <f t="shared" ca="1" si="14"/>
        <v>10</v>
      </c>
      <c r="AR171" s="12">
        <f t="shared" ca="1" si="15"/>
        <v>29</v>
      </c>
      <c r="AS171" s="8" t="s">
        <v>958</v>
      </c>
      <c r="AT171" s="8"/>
      <c r="AU171" s="5"/>
      <c r="AV171" s="12" t="str">
        <f t="shared" ca="1" si="16"/>
        <v>NA</v>
      </c>
      <c r="AW171" s="12" t="str">
        <f t="shared" ca="1" si="17"/>
        <v>NA</v>
      </c>
      <c r="AX171" s="12" t="str">
        <f t="shared" ca="1" si="18"/>
        <v>NA</v>
      </c>
      <c r="AY171" s="5"/>
      <c r="AZ171" s="5"/>
      <c r="BA171" s="6"/>
      <c r="BB171" s="12" t="str">
        <f t="shared" ca="1" si="19"/>
        <v>NA</v>
      </c>
      <c r="BC171" s="12" t="str">
        <f t="shared" ca="1" si="20"/>
        <v>NA</v>
      </c>
      <c r="BD171" s="12" t="str">
        <f t="shared" ca="1" si="21"/>
        <v>NA</v>
      </c>
      <c r="BE171" s="5"/>
      <c r="BF171" s="5"/>
      <c r="BG171" s="5"/>
      <c r="BH171" s="12" t="str">
        <f t="shared" ca="1" si="22"/>
        <v>NA</v>
      </c>
      <c r="BI171" s="12" t="str">
        <f t="shared" ca="1" si="23"/>
        <v>NA</v>
      </c>
      <c r="BJ171" s="12" t="str">
        <f t="shared" ca="1" si="24"/>
        <v>NA</v>
      </c>
      <c r="BK171" s="5"/>
      <c r="BL171" s="5"/>
      <c r="BM171" s="12" t="str">
        <f t="shared" ca="1" si="25"/>
        <v>NA</v>
      </c>
      <c r="BN171" s="12" t="str">
        <f t="shared" ca="1" si="26"/>
        <v>NA</v>
      </c>
      <c r="BO171" s="12" t="str">
        <f t="shared" ca="1" si="27"/>
        <v>NA</v>
      </c>
      <c r="BP171" s="5"/>
      <c r="BQ171" s="5"/>
      <c r="BR171" s="5"/>
      <c r="BS171" s="12" t="str">
        <f t="shared" ca="1" si="28"/>
        <v>NA</v>
      </c>
      <c r="BT171" s="12" t="str">
        <f t="shared" ca="1" si="29"/>
        <v>NA</v>
      </c>
      <c r="BU171" s="12" t="str">
        <f t="shared" ca="1" si="30"/>
        <v>NA</v>
      </c>
      <c r="BV171" s="5"/>
      <c r="BW171" s="5"/>
      <c r="BX171" s="12" t="str">
        <f t="shared" ca="1" si="31"/>
        <v>NA</v>
      </c>
      <c r="BY171" s="12" t="str">
        <f t="shared" ca="1" si="32"/>
        <v>NA</v>
      </c>
      <c r="BZ171" s="12" t="str">
        <f t="shared" ca="1" si="33"/>
        <v>NA</v>
      </c>
      <c r="CA171" s="5"/>
    </row>
    <row r="172" spans="1:79" ht="12.75" customHeight="1" x14ac:dyDescent="0.15">
      <c r="A172" s="4">
        <v>2507</v>
      </c>
      <c r="B172" s="5" t="s">
        <v>79</v>
      </c>
      <c r="C172" s="5" t="s">
        <v>79</v>
      </c>
      <c r="D172" s="6" t="s">
        <v>959</v>
      </c>
      <c r="E172" s="7">
        <v>18214</v>
      </c>
      <c r="F172" s="6" t="s">
        <v>960</v>
      </c>
      <c r="G172" s="8"/>
      <c r="H172" s="8"/>
      <c r="I172" s="8"/>
      <c r="J172" s="8"/>
      <c r="K172" s="8"/>
      <c r="L172" s="8" t="s">
        <v>82</v>
      </c>
      <c r="M172" s="7">
        <v>1125</v>
      </c>
      <c r="N172" s="7">
        <v>1124</v>
      </c>
      <c r="O172" s="13">
        <v>38813</v>
      </c>
      <c r="P172" s="10">
        <f t="shared" ca="1" si="0"/>
        <v>9.5777777777777775</v>
      </c>
      <c r="Q172" s="5">
        <f t="shared" ca="1" si="1"/>
        <v>114</v>
      </c>
      <c r="R172" s="5">
        <f t="shared" ca="1" si="2"/>
        <v>3499</v>
      </c>
      <c r="S172" s="7">
        <f t="shared" ca="1" si="3"/>
        <v>2006</v>
      </c>
      <c r="T172" s="7">
        <f t="shared" ca="1" si="4"/>
        <v>4</v>
      </c>
      <c r="U172" s="7">
        <f t="shared" ca="1" si="5"/>
        <v>6</v>
      </c>
      <c r="V172" s="6" t="s">
        <v>961</v>
      </c>
      <c r="W172" s="14" t="s">
        <v>96</v>
      </c>
      <c r="X172" s="15"/>
      <c r="Y172" s="5">
        <f t="shared" ca="1" si="34"/>
        <v>1</v>
      </c>
      <c r="Z172" s="6"/>
      <c r="AA172" s="12" t="str">
        <f t="shared" ca="1" si="7"/>
        <v>NA</v>
      </c>
      <c r="AB172" s="12" t="str">
        <f t="shared" ca="1" si="8"/>
        <v>NA</v>
      </c>
      <c r="AC172" s="12" t="str">
        <f t="shared" ca="1" si="9"/>
        <v>NA</v>
      </c>
      <c r="AD172" s="6"/>
      <c r="AE172" s="5"/>
      <c r="AF172" s="6"/>
      <c r="AG172" s="11">
        <v>42312</v>
      </c>
      <c r="AH172" s="12">
        <f t="shared" ca="1" si="10"/>
        <v>2015</v>
      </c>
      <c r="AI172" s="12">
        <f t="shared" ca="1" si="11"/>
        <v>11</v>
      </c>
      <c r="AJ172" s="12">
        <f t="shared" ca="1" si="12"/>
        <v>4</v>
      </c>
      <c r="AK172" s="8" t="s">
        <v>962</v>
      </c>
      <c r="AL172" s="8"/>
      <c r="AM172" s="5"/>
      <c r="AN172" s="5"/>
      <c r="AO172" s="11">
        <v>39638</v>
      </c>
      <c r="AP172" s="12">
        <f t="shared" ca="1" si="13"/>
        <v>2008</v>
      </c>
      <c r="AQ172" s="12">
        <f t="shared" ca="1" si="14"/>
        <v>7</v>
      </c>
      <c r="AR172" s="12">
        <f t="shared" ca="1" si="15"/>
        <v>9</v>
      </c>
      <c r="AS172" s="8" t="s">
        <v>963</v>
      </c>
      <c r="AT172" s="8"/>
      <c r="AU172" s="5"/>
      <c r="AV172" s="12" t="str">
        <f t="shared" ca="1" si="16"/>
        <v>NA</v>
      </c>
      <c r="AW172" s="12" t="str">
        <f t="shared" ca="1" si="17"/>
        <v>NA</v>
      </c>
      <c r="AX172" s="12" t="str">
        <f t="shared" ca="1" si="18"/>
        <v>NA</v>
      </c>
      <c r="AY172" s="5"/>
      <c r="AZ172" s="5"/>
      <c r="BA172" s="6"/>
      <c r="BB172" s="12" t="str">
        <f t="shared" ca="1" si="19"/>
        <v>NA</v>
      </c>
      <c r="BC172" s="12" t="str">
        <f t="shared" ca="1" si="20"/>
        <v>NA</v>
      </c>
      <c r="BD172" s="12" t="str">
        <f t="shared" ca="1" si="21"/>
        <v>NA</v>
      </c>
      <c r="BE172" s="5"/>
      <c r="BF172" s="5"/>
      <c r="BG172" s="5"/>
      <c r="BH172" s="12" t="str">
        <f t="shared" ca="1" si="22"/>
        <v>NA</v>
      </c>
      <c r="BI172" s="12" t="str">
        <f t="shared" ca="1" si="23"/>
        <v>NA</v>
      </c>
      <c r="BJ172" s="12" t="str">
        <f t="shared" ca="1" si="24"/>
        <v>NA</v>
      </c>
      <c r="BK172" s="5"/>
      <c r="BL172" s="5"/>
      <c r="BM172" s="12" t="str">
        <f t="shared" ca="1" si="25"/>
        <v>NA</v>
      </c>
      <c r="BN172" s="12" t="str">
        <f t="shared" ca="1" si="26"/>
        <v>NA</v>
      </c>
      <c r="BO172" s="12" t="str">
        <f t="shared" ca="1" si="27"/>
        <v>NA</v>
      </c>
      <c r="BP172" s="5"/>
      <c r="BQ172" s="5"/>
      <c r="BR172" s="5"/>
      <c r="BS172" s="12" t="str">
        <f t="shared" ca="1" si="28"/>
        <v>NA</v>
      </c>
      <c r="BT172" s="12" t="str">
        <f t="shared" ca="1" si="29"/>
        <v>NA</v>
      </c>
      <c r="BU172" s="12" t="str">
        <f t="shared" ca="1" si="30"/>
        <v>NA</v>
      </c>
      <c r="BV172" s="5"/>
      <c r="BW172" s="5"/>
      <c r="BX172" s="12" t="str">
        <f t="shared" ca="1" si="31"/>
        <v>NA</v>
      </c>
      <c r="BY172" s="12" t="str">
        <f t="shared" ca="1" si="32"/>
        <v>NA</v>
      </c>
      <c r="BZ172" s="12" t="str">
        <f t="shared" ca="1" si="33"/>
        <v>NA</v>
      </c>
      <c r="CA172" s="5"/>
    </row>
    <row r="173" spans="1:79" ht="12.75" customHeight="1" x14ac:dyDescent="0.15">
      <c r="A173" s="4">
        <v>2600</v>
      </c>
      <c r="B173" s="5" t="s">
        <v>79</v>
      </c>
      <c r="C173" s="5" t="s">
        <v>79</v>
      </c>
      <c r="D173" s="6" t="s">
        <v>964</v>
      </c>
      <c r="E173" s="7">
        <v>110023</v>
      </c>
      <c r="F173" s="6" t="s">
        <v>965</v>
      </c>
      <c r="G173" s="8"/>
      <c r="H173" s="8"/>
      <c r="I173" s="8"/>
      <c r="J173" s="8"/>
      <c r="K173" s="8"/>
      <c r="L173" s="8" t="s">
        <v>82</v>
      </c>
      <c r="M173" s="7">
        <v>2408</v>
      </c>
      <c r="N173" s="7">
        <v>2400</v>
      </c>
      <c r="O173" s="13">
        <v>39772</v>
      </c>
      <c r="P173" s="10">
        <f t="shared" ca="1" si="0"/>
        <v>9.5888888888888886</v>
      </c>
      <c r="Q173" s="5">
        <f t="shared" ca="1" si="1"/>
        <v>115</v>
      </c>
      <c r="R173" s="5">
        <f t="shared" ca="1" si="2"/>
        <v>3501</v>
      </c>
      <c r="S173" s="7">
        <f t="shared" ca="1" si="3"/>
        <v>2008</v>
      </c>
      <c r="T173" s="7">
        <f t="shared" ca="1" si="4"/>
        <v>11</v>
      </c>
      <c r="U173" s="7">
        <f t="shared" ca="1" si="5"/>
        <v>20</v>
      </c>
      <c r="V173" s="6" t="s">
        <v>966</v>
      </c>
      <c r="W173" s="14" t="s">
        <v>96</v>
      </c>
      <c r="X173" s="15"/>
      <c r="Y173" s="5">
        <f t="shared" ca="1" si="34"/>
        <v>1</v>
      </c>
      <c r="Z173" s="6"/>
      <c r="AA173" s="12" t="str">
        <f t="shared" ca="1" si="7"/>
        <v>NA</v>
      </c>
      <c r="AB173" s="12" t="str">
        <f t="shared" ca="1" si="8"/>
        <v>NA</v>
      </c>
      <c r="AC173" s="12" t="str">
        <f t="shared" ca="1" si="9"/>
        <v>NA</v>
      </c>
      <c r="AD173" s="6"/>
      <c r="AE173" s="5"/>
      <c r="AF173" s="6"/>
      <c r="AG173" s="11">
        <v>43273</v>
      </c>
      <c r="AH173" s="12">
        <f t="shared" ca="1" si="10"/>
        <v>2018</v>
      </c>
      <c r="AI173" s="12">
        <f t="shared" ca="1" si="11"/>
        <v>6</v>
      </c>
      <c r="AJ173" s="12">
        <f t="shared" ca="1" si="12"/>
        <v>22</v>
      </c>
      <c r="AK173" s="8" t="s">
        <v>967</v>
      </c>
      <c r="AL173" s="8"/>
      <c r="AM173" s="5"/>
      <c r="AN173" s="5"/>
      <c r="AO173" s="11">
        <v>40250</v>
      </c>
      <c r="AP173" s="12">
        <f t="shared" ca="1" si="13"/>
        <v>2010</v>
      </c>
      <c r="AQ173" s="12">
        <f t="shared" ca="1" si="14"/>
        <v>3</v>
      </c>
      <c r="AR173" s="12">
        <f t="shared" ca="1" si="15"/>
        <v>13</v>
      </c>
      <c r="AS173" s="8" t="s">
        <v>968</v>
      </c>
      <c r="AT173" s="8"/>
      <c r="AU173" s="5"/>
      <c r="AV173" s="12" t="str">
        <f t="shared" ca="1" si="16"/>
        <v>NA</v>
      </c>
      <c r="AW173" s="12" t="str">
        <f t="shared" ca="1" si="17"/>
        <v>NA</v>
      </c>
      <c r="AX173" s="12" t="str">
        <f t="shared" ca="1" si="18"/>
        <v>NA</v>
      </c>
      <c r="AY173" s="5"/>
      <c r="AZ173" s="5"/>
      <c r="BA173" s="6"/>
      <c r="BB173" s="12" t="str">
        <f t="shared" ca="1" si="19"/>
        <v>NA</v>
      </c>
      <c r="BC173" s="12" t="str">
        <f t="shared" ca="1" si="20"/>
        <v>NA</v>
      </c>
      <c r="BD173" s="12" t="str">
        <f t="shared" ca="1" si="21"/>
        <v>NA</v>
      </c>
      <c r="BE173" s="5"/>
      <c r="BF173" s="5"/>
      <c r="BG173" s="5"/>
      <c r="BH173" s="12" t="str">
        <f t="shared" ca="1" si="22"/>
        <v>NA</v>
      </c>
      <c r="BI173" s="12" t="str">
        <f t="shared" ca="1" si="23"/>
        <v>NA</v>
      </c>
      <c r="BJ173" s="12" t="str">
        <f t="shared" ca="1" si="24"/>
        <v>NA</v>
      </c>
      <c r="BK173" s="5"/>
      <c r="BL173" s="5"/>
      <c r="BM173" s="12" t="str">
        <f t="shared" ca="1" si="25"/>
        <v>NA</v>
      </c>
      <c r="BN173" s="12" t="str">
        <f t="shared" ca="1" si="26"/>
        <v>NA</v>
      </c>
      <c r="BO173" s="12" t="str">
        <f t="shared" ca="1" si="27"/>
        <v>NA</v>
      </c>
      <c r="BP173" s="5"/>
      <c r="BQ173" s="5"/>
      <c r="BR173" s="5"/>
      <c r="BS173" s="12" t="str">
        <f t="shared" ca="1" si="28"/>
        <v>NA</v>
      </c>
      <c r="BT173" s="12" t="str">
        <f t="shared" ca="1" si="29"/>
        <v>NA</v>
      </c>
      <c r="BU173" s="12" t="str">
        <f t="shared" ca="1" si="30"/>
        <v>NA</v>
      </c>
      <c r="BV173" s="5"/>
      <c r="BW173" s="5"/>
      <c r="BX173" s="12" t="str">
        <f t="shared" ca="1" si="31"/>
        <v>NA</v>
      </c>
      <c r="BY173" s="12" t="str">
        <f t="shared" ca="1" si="32"/>
        <v>NA</v>
      </c>
      <c r="BZ173" s="12" t="str">
        <f t="shared" ca="1" si="33"/>
        <v>NA</v>
      </c>
      <c r="CA173" s="5"/>
    </row>
    <row r="174" spans="1:79" ht="12.75" customHeight="1" x14ac:dyDescent="0.15">
      <c r="A174" s="4">
        <v>2601</v>
      </c>
      <c r="B174" s="5" t="s">
        <v>79</v>
      </c>
      <c r="C174" s="5" t="s">
        <v>79</v>
      </c>
      <c r="D174" s="6" t="s">
        <v>969</v>
      </c>
      <c r="E174" s="7">
        <v>5297</v>
      </c>
      <c r="F174" s="6" t="s">
        <v>970</v>
      </c>
      <c r="G174" s="8"/>
      <c r="H174" s="8"/>
      <c r="I174" s="8"/>
      <c r="J174" s="8"/>
      <c r="K174" s="8"/>
      <c r="L174" s="8" t="s">
        <v>82</v>
      </c>
      <c r="M174" s="7">
        <v>1121</v>
      </c>
      <c r="N174" s="7">
        <v>1145</v>
      </c>
      <c r="O174" s="13">
        <v>39519</v>
      </c>
      <c r="P174" s="10">
        <f t="shared" ca="1" si="0"/>
        <v>2.7777777777777779E-3</v>
      </c>
      <c r="Q174" s="5">
        <f t="shared" ca="1" si="1"/>
        <v>0</v>
      </c>
      <c r="R174" s="5">
        <f t="shared" ca="1" si="2"/>
        <v>1</v>
      </c>
      <c r="S174" s="7">
        <f t="shared" ca="1" si="3"/>
        <v>2008</v>
      </c>
      <c r="T174" s="7">
        <f t="shared" ca="1" si="4"/>
        <v>3</v>
      </c>
      <c r="U174" s="7">
        <f t="shared" ca="1" si="5"/>
        <v>12</v>
      </c>
      <c r="V174" s="6" t="s">
        <v>971</v>
      </c>
      <c r="W174" s="14" t="s">
        <v>96</v>
      </c>
      <c r="X174" s="15"/>
      <c r="Y174" s="5">
        <f t="shared" ca="1" si="34"/>
        <v>0</v>
      </c>
      <c r="Z174" s="6"/>
      <c r="AA174" s="12" t="str">
        <f t="shared" ca="1" si="7"/>
        <v>NA</v>
      </c>
      <c r="AB174" s="12" t="str">
        <f t="shared" ca="1" si="8"/>
        <v>NA</v>
      </c>
      <c r="AC174" s="12" t="str">
        <f t="shared" ca="1" si="9"/>
        <v>NA</v>
      </c>
      <c r="AD174" s="6"/>
      <c r="AE174" s="5"/>
      <c r="AF174" s="6"/>
      <c r="AG174" s="11">
        <v>39520</v>
      </c>
      <c r="AH174" s="12">
        <f t="shared" ca="1" si="10"/>
        <v>2008</v>
      </c>
      <c r="AI174" s="12">
        <f t="shared" ca="1" si="11"/>
        <v>3</v>
      </c>
      <c r="AJ174" s="12">
        <f t="shared" ca="1" si="12"/>
        <v>13</v>
      </c>
      <c r="AK174" s="8" t="s">
        <v>972</v>
      </c>
      <c r="AL174" s="8"/>
      <c r="AM174" s="5"/>
      <c r="AN174" s="5"/>
      <c r="AO174" s="5"/>
      <c r="AP174" s="12" t="str">
        <f t="shared" ca="1" si="13"/>
        <v>NA</v>
      </c>
      <c r="AQ174" s="12" t="str">
        <f t="shared" ca="1" si="14"/>
        <v>NA</v>
      </c>
      <c r="AR174" s="12" t="str">
        <f t="shared" ca="1" si="15"/>
        <v>NA</v>
      </c>
      <c r="AS174" s="5"/>
      <c r="AT174" s="5"/>
      <c r="AU174" s="5"/>
      <c r="AV174" s="12" t="str">
        <f t="shared" ca="1" si="16"/>
        <v>NA</v>
      </c>
      <c r="AW174" s="12" t="str">
        <f t="shared" ca="1" si="17"/>
        <v>NA</v>
      </c>
      <c r="AX174" s="12" t="str">
        <f t="shared" ca="1" si="18"/>
        <v>NA</v>
      </c>
      <c r="AY174" s="5"/>
      <c r="AZ174" s="5"/>
      <c r="BA174" s="6"/>
      <c r="BB174" s="12" t="str">
        <f t="shared" ca="1" si="19"/>
        <v>NA</v>
      </c>
      <c r="BC174" s="12" t="str">
        <f t="shared" ca="1" si="20"/>
        <v>NA</v>
      </c>
      <c r="BD174" s="12" t="str">
        <f t="shared" ca="1" si="21"/>
        <v>NA</v>
      </c>
      <c r="BE174" s="5"/>
      <c r="BF174" s="5"/>
      <c r="BG174" s="5"/>
      <c r="BH174" s="12" t="str">
        <f t="shared" ca="1" si="22"/>
        <v>NA</v>
      </c>
      <c r="BI174" s="12" t="str">
        <f t="shared" ca="1" si="23"/>
        <v>NA</v>
      </c>
      <c r="BJ174" s="12" t="str">
        <f t="shared" ca="1" si="24"/>
        <v>NA</v>
      </c>
      <c r="BK174" s="5"/>
      <c r="BL174" s="5"/>
      <c r="BM174" s="12" t="str">
        <f t="shared" ca="1" si="25"/>
        <v>NA</v>
      </c>
      <c r="BN174" s="12" t="str">
        <f t="shared" ca="1" si="26"/>
        <v>NA</v>
      </c>
      <c r="BO174" s="12" t="str">
        <f t="shared" ca="1" si="27"/>
        <v>NA</v>
      </c>
      <c r="BP174" s="5"/>
      <c r="BQ174" s="5"/>
      <c r="BR174" s="5"/>
      <c r="BS174" s="12" t="str">
        <f t="shared" ca="1" si="28"/>
        <v>NA</v>
      </c>
      <c r="BT174" s="12" t="str">
        <f t="shared" ca="1" si="29"/>
        <v>NA</v>
      </c>
      <c r="BU174" s="12" t="str">
        <f t="shared" ca="1" si="30"/>
        <v>NA</v>
      </c>
      <c r="BV174" s="5"/>
      <c r="BW174" s="5"/>
      <c r="BX174" s="12" t="str">
        <f t="shared" ca="1" si="31"/>
        <v>NA</v>
      </c>
      <c r="BY174" s="12" t="str">
        <f t="shared" ca="1" si="32"/>
        <v>NA</v>
      </c>
      <c r="BZ174" s="12" t="str">
        <f t="shared" ca="1" si="33"/>
        <v>NA</v>
      </c>
      <c r="CA174" s="5"/>
    </row>
    <row r="175" spans="1:79" ht="12.75" customHeight="1" x14ac:dyDescent="0.15">
      <c r="A175" s="4">
        <v>2602</v>
      </c>
      <c r="B175" s="5" t="s">
        <v>79</v>
      </c>
      <c r="C175" s="5" t="s">
        <v>79</v>
      </c>
      <c r="D175" s="6" t="s">
        <v>973</v>
      </c>
      <c r="E175" s="7">
        <v>5298</v>
      </c>
      <c r="F175" s="6" t="s">
        <v>974</v>
      </c>
      <c r="G175" s="8"/>
      <c r="H175" s="8"/>
      <c r="I175" s="8"/>
      <c r="J175" s="8"/>
      <c r="K175" s="8"/>
      <c r="L175" s="8" t="s">
        <v>82</v>
      </c>
      <c r="M175" s="7">
        <v>1121</v>
      </c>
      <c r="N175" s="7">
        <v>1145</v>
      </c>
      <c r="O175" s="13">
        <v>39519</v>
      </c>
      <c r="P175" s="10">
        <f t="shared" ca="1" si="0"/>
        <v>6.3888888888888884E-2</v>
      </c>
      <c r="Q175" s="5">
        <f t="shared" ca="1" si="1"/>
        <v>0</v>
      </c>
      <c r="R175" s="5">
        <f t="shared" ca="1" si="2"/>
        <v>24</v>
      </c>
      <c r="S175" s="7">
        <f t="shared" ca="1" si="3"/>
        <v>2008</v>
      </c>
      <c r="T175" s="7">
        <f t="shared" ca="1" si="4"/>
        <v>3</v>
      </c>
      <c r="U175" s="7">
        <f t="shared" ca="1" si="5"/>
        <v>12</v>
      </c>
      <c r="V175" s="6" t="s">
        <v>975</v>
      </c>
      <c r="W175" s="14" t="s">
        <v>96</v>
      </c>
      <c r="X175" s="15"/>
      <c r="Y175" s="5">
        <f t="shared" ca="1" si="34"/>
        <v>0</v>
      </c>
      <c r="Z175" s="6"/>
      <c r="AA175" s="12" t="str">
        <f t="shared" ca="1" si="7"/>
        <v>NA</v>
      </c>
      <c r="AB175" s="12" t="str">
        <f t="shared" ca="1" si="8"/>
        <v>NA</v>
      </c>
      <c r="AC175" s="12" t="str">
        <f t="shared" ca="1" si="9"/>
        <v>NA</v>
      </c>
      <c r="AD175" s="6"/>
      <c r="AE175" s="5"/>
      <c r="AF175" s="6"/>
      <c r="AG175" s="11">
        <v>39543</v>
      </c>
      <c r="AH175" s="12">
        <f t="shared" ca="1" si="10"/>
        <v>2008</v>
      </c>
      <c r="AI175" s="12">
        <f t="shared" ca="1" si="11"/>
        <v>4</v>
      </c>
      <c r="AJ175" s="12">
        <f t="shared" ca="1" si="12"/>
        <v>5</v>
      </c>
      <c r="AK175" s="8" t="s">
        <v>976</v>
      </c>
      <c r="AL175" s="8"/>
      <c r="AM175" s="5"/>
      <c r="AN175" s="5"/>
      <c r="AO175" s="5"/>
      <c r="AP175" s="12" t="str">
        <f t="shared" ca="1" si="13"/>
        <v>NA</v>
      </c>
      <c r="AQ175" s="12" t="str">
        <f t="shared" ca="1" si="14"/>
        <v>NA</v>
      </c>
      <c r="AR175" s="12" t="str">
        <f t="shared" ca="1" si="15"/>
        <v>NA</v>
      </c>
      <c r="AS175" s="5"/>
      <c r="AT175" s="5"/>
      <c r="AU175" s="5"/>
      <c r="AV175" s="12" t="str">
        <f t="shared" ca="1" si="16"/>
        <v>NA</v>
      </c>
      <c r="AW175" s="12" t="str">
        <f t="shared" ca="1" si="17"/>
        <v>NA</v>
      </c>
      <c r="AX175" s="12" t="str">
        <f t="shared" ca="1" si="18"/>
        <v>NA</v>
      </c>
      <c r="AY175" s="5"/>
      <c r="AZ175" s="5"/>
      <c r="BA175" s="6"/>
      <c r="BB175" s="12" t="str">
        <f t="shared" ca="1" si="19"/>
        <v>NA</v>
      </c>
      <c r="BC175" s="12" t="str">
        <f t="shared" ca="1" si="20"/>
        <v>NA</v>
      </c>
      <c r="BD175" s="12" t="str">
        <f t="shared" ca="1" si="21"/>
        <v>NA</v>
      </c>
      <c r="BE175" s="5"/>
      <c r="BF175" s="5"/>
      <c r="BG175" s="5"/>
      <c r="BH175" s="12" t="str">
        <f t="shared" ca="1" si="22"/>
        <v>NA</v>
      </c>
      <c r="BI175" s="12" t="str">
        <f t="shared" ca="1" si="23"/>
        <v>NA</v>
      </c>
      <c r="BJ175" s="12" t="str">
        <f t="shared" ca="1" si="24"/>
        <v>NA</v>
      </c>
      <c r="BK175" s="5"/>
      <c r="BL175" s="5"/>
      <c r="BM175" s="12" t="str">
        <f t="shared" ca="1" si="25"/>
        <v>NA</v>
      </c>
      <c r="BN175" s="12" t="str">
        <f t="shared" ca="1" si="26"/>
        <v>NA</v>
      </c>
      <c r="BO175" s="12" t="str">
        <f t="shared" ca="1" si="27"/>
        <v>NA</v>
      </c>
      <c r="BP175" s="5"/>
      <c r="BQ175" s="5"/>
      <c r="BR175" s="5"/>
      <c r="BS175" s="12" t="str">
        <f t="shared" ca="1" si="28"/>
        <v>NA</v>
      </c>
      <c r="BT175" s="12" t="str">
        <f t="shared" ca="1" si="29"/>
        <v>NA</v>
      </c>
      <c r="BU175" s="12" t="str">
        <f t="shared" ca="1" si="30"/>
        <v>NA</v>
      </c>
      <c r="BV175" s="5"/>
      <c r="BW175" s="5"/>
      <c r="BX175" s="12" t="str">
        <f t="shared" ca="1" si="31"/>
        <v>NA</v>
      </c>
      <c r="BY175" s="12" t="str">
        <f t="shared" ca="1" si="32"/>
        <v>NA</v>
      </c>
      <c r="BZ175" s="12" t="str">
        <f t="shared" ca="1" si="33"/>
        <v>NA</v>
      </c>
      <c r="CA175" s="5"/>
    </row>
    <row r="176" spans="1:79" ht="12.75" customHeight="1" x14ac:dyDescent="0.15">
      <c r="A176" s="4">
        <v>2603</v>
      </c>
      <c r="B176" s="5" t="s">
        <v>79</v>
      </c>
      <c r="C176" s="5" t="s">
        <v>79</v>
      </c>
      <c r="D176" s="6" t="s">
        <v>977</v>
      </c>
      <c r="E176" s="7">
        <v>18562</v>
      </c>
      <c r="F176" s="6" t="s">
        <v>978</v>
      </c>
      <c r="G176" s="8"/>
      <c r="H176" s="8"/>
      <c r="I176" s="8"/>
      <c r="J176" s="8"/>
      <c r="K176" s="8"/>
      <c r="L176" s="8" t="s">
        <v>82</v>
      </c>
      <c r="M176" s="7">
        <v>2402</v>
      </c>
      <c r="N176" s="7">
        <v>1143</v>
      </c>
      <c r="O176" s="13">
        <v>39774</v>
      </c>
      <c r="P176" s="10">
        <f t="shared" ca="1" si="0"/>
        <v>0</v>
      </c>
      <c r="Q176" s="5">
        <f t="shared" ca="1" si="1"/>
        <v>0</v>
      </c>
      <c r="R176" s="5">
        <f t="shared" ca="1" si="2"/>
        <v>0</v>
      </c>
      <c r="S176" s="7">
        <f t="shared" ca="1" si="3"/>
        <v>2008</v>
      </c>
      <c r="T176" s="7">
        <f t="shared" ca="1" si="4"/>
        <v>11</v>
      </c>
      <c r="U176" s="7">
        <f t="shared" ca="1" si="5"/>
        <v>22</v>
      </c>
      <c r="V176" s="6" t="s">
        <v>979</v>
      </c>
      <c r="W176" s="14" t="s">
        <v>96</v>
      </c>
      <c r="X176" s="15"/>
      <c r="Y176" s="5">
        <f t="shared" ca="1" si="34"/>
        <v>0</v>
      </c>
      <c r="Z176" s="6"/>
      <c r="AA176" s="12" t="str">
        <f t="shared" ca="1" si="7"/>
        <v>NA</v>
      </c>
      <c r="AB176" s="12" t="str">
        <f t="shared" ca="1" si="8"/>
        <v>NA</v>
      </c>
      <c r="AC176" s="12" t="str">
        <f t="shared" ca="1" si="9"/>
        <v>NA</v>
      </c>
      <c r="AD176" s="6"/>
      <c r="AE176" s="5"/>
      <c r="AF176" s="6"/>
      <c r="AG176" s="11">
        <v>39774</v>
      </c>
      <c r="AH176" s="12">
        <f t="shared" ca="1" si="10"/>
        <v>2008</v>
      </c>
      <c r="AI176" s="12">
        <f t="shared" ca="1" si="11"/>
        <v>11</v>
      </c>
      <c r="AJ176" s="12">
        <f t="shared" ca="1" si="12"/>
        <v>22</v>
      </c>
      <c r="AK176" s="8" t="s">
        <v>980</v>
      </c>
      <c r="AL176" s="8"/>
      <c r="AM176" s="5"/>
      <c r="AN176" s="5"/>
      <c r="AO176" s="5"/>
      <c r="AP176" s="12" t="str">
        <f t="shared" ca="1" si="13"/>
        <v>NA</v>
      </c>
      <c r="AQ176" s="12" t="str">
        <f t="shared" ca="1" si="14"/>
        <v>NA</v>
      </c>
      <c r="AR176" s="12" t="str">
        <f t="shared" ca="1" si="15"/>
        <v>NA</v>
      </c>
      <c r="AS176" s="5"/>
      <c r="AT176" s="5"/>
      <c r="AU176" s="5"/>
      <c r="AV176" s="12" t="str">
        <f t="shared" ca="1" si="16"/>
        <v>NA</v>
      </c>
      <c r="AW176" s="12" t="str">
        <f t="shared" ca="1" si="17"/>
        <v>NA</v>
      </c>
      <c r="AX176" s="12" t="str">
        <f t="shared" ca="1" si="18"/>
        <v>NA</v>
      </c>
      <c r="AY176" s="5"/>
      <c r="AZ176" s="5"/>
      <c r="BA176" s="6"/>
      <c r="BB176" s="12" t="str">
        <f t="shared" ca="1" si="19"/>
        <v>NA</v>
      </c>
      <c r="BC176" s="12" t="str">
        <f t="shared" ca="1" si="20"/>
        <v>NA</v>
      </c>
      <c r="BD176" s="12" t="str">
        <f t="shared" ca="1" si="21"/>
        <v>NA</v>
      </c>
      <c r="BE176" s="5"/>
      <c r="BF176" s="5"/>
      <c r="BG176" s="5"/>
      <c r="BH176" s="12" t="str">
        <f t="shared" ca="1" si="22"/>
        <v>NA</v>
      </c>
      <c r="BI176" s="12" t="str">
        <f t="shared" ca="1" si="23"/>
        <v>NA</v>
      </c>
      <c r="BJ176" s="12" t="str">
        <f t="shared" ca="1" si="24"/>
        <v>NA</v>
      </c>
      <c r="BK176" s="5"/>
      <c r="BL176" s="5"/>
      <c r="BM176" s="12" t="str">
        <f t="shared" ca="1" si="25"/>
        <v>NA</v>
      </c>
      <c r="BN176" s="12" t="str">
        <f t="shared" ca="1" si="26"/>
        <v>NA</v>
      </c>
      <c r="BO176" s="12" t="str">
        <f t="shared" ca="1" si="27"/>
        <v>NA</v>
      </c>
      <c r="BP176" s="5"/>
      <c r="BQ176" s="5"/>
      <c r="BR176" s="5"/>
      <c r="BS176" s="12" t="str">
        <f t="shared" ca="1" si="28"/>
        <v>NA</v>
      </c>
      <c r="BT176" s="12" t="str">
        <f t="shared" ca="1" si="29"/>
        <v>NA</v>
      </c>
      <c r="BU176" s="12" t="str">
        <f t="shared" ca="1" si="30"/>
        <v>NA</v>
      </c>
      <c r="BV176" s="5"/>
      <c r="BW176" s="5"/>
      <c r="BX176" s="12" t="str">
        <f t="shared" ca="1" si="31"/>
        <v>NA</v>
      </c>
      <c r="BY176" s="12" t="str">
        <f t="shared" ca="1" si="32"/>
        <v>NA</v>
      </c>
      <c r="BZ176" s="12" t="str">
        <f t="shared" ca="1" si="33"/>
        <v>NA</v>
      </c>
      <c r="CA176" s="5"/>
    </row>
    <row r="177" spans="1:79" ht="12.75" customHeight="1" x14ac:dyDescent="0.15">
      <c r="A177" s="4">
        <v>2604</v>
      </c>
      <c r="B177" s="5" t="s">
        <v>79</v>
      </c>
      <c r="C177" s="5" t="s">
        <v>79</v>
      </c>
      <c r="D177" s="6" t="s">
        <v>981</v>
      </c>
      <c r="E177" s="7">
        <v>104568</v>
      </c>
      <c r="F177" s="6" t="s">
        <v>982</v>
      </c>
      <c r="G177" s="8"/>
      <c r="H177" s="8"/>
      <c r="I177" s="8"/>
      <c r="J177" s="8"/>
      <c r="K177" s="8"/>
      <c r="L177" s="8" t="s">
        <v>82</v>
      </c>
      <c r="M177" s="7">
        <v>1130</v>
      </c>
      <c r="N177" s="7">
        <v>2436</v>
      </c>
      <c r="O177" s="13">
        <v>39523</v>
      </c>
      <c r="P177" s="10">
        <f t="shared" ca="1" si="0"/>
        <v>1.1111111111111112E-2</v>
      </c>
      <c r="Q177" s="5">
        <f t="shared" ca="1" si="1"/>
        <v>0</v>
      </c>
      <c r="R177" s="5">
        <f t="shared" ca="1" si="2"/>
        <v>4</v>
      </c>
      <c r="S177" s="7">
        <f t="shared" ca="1" si="3"/>
        <v>2008</v>
      </c>
      <c r="T177" s="7">
        <f t="shared" ca="1" si="4"/>
        <v>3</v>
      </c>
      <c r="U177" s="7">
        <f t="shared" ca="1" si="5"/>
        <v>16</v>
      </c>
      <c r="V177" s="6" t="s">
        <v>983</v>
      </c>
      <c r="W177" s="14" t="s">
        <v>96</v>
      </c>
      <c r="X177" s="15"/>
      <c r="Y177" s="5">
        <f t="shared" ca="1" si="34"/>
        <v>0</v>
      </c>
      <c r="Z177" s="6"/>
      <c r="AA177" s="12" t="str">
        <f t="shared" ca="1" si="7"/>
        <v>NA</v>
      </c>
      <c r="AB177" s="12" t="str">
        <f t="shared" ca="1" si="8"/>
        <v>NA</v>
      </c>
      <c r="AC177" s="12" t="str">
        <f t="shared" ca="1" si="9"/>
        <v>NA</v>
      </c>
      <c r="AD177" s="6"/>
      <c r="AE177" s="5"/>
      <c r="AF177" s="6"/>
      <c r="AG177" s="11">
        <v>39527</v>
      </c>
      <c r="AH177" s="12">
        <f t="shared" ca="1" si="10"/>
        <v>2008</v>
      </c>
      <c r="AI177" s="12">
        <f t="shared" ca="1" si="11"/>
        <v>3</v>
      </c>
      <c r="AJ177" s="12">
        <f t="shared" ca="1" si="12"/>
        <v>20</v>
      </c>
      <c r="AK177" s="8" t="s">
        <v>984</v>
      </c>
      <c r="AL177" s="8"/>
      <c r="AM177" s="5"/>
      <c r="AN177" s="5"/>
      <c r="AO177" s="5"/>
      <c r="AP177" s="12" t="str">
        <f t="shared" ca="1" si="13"/>
        <v>NA</v>
      </c>
      <c r="AQ177" s="12" t="str">
        <f t="shared" ca="1" si="14"/>
        <v>NA</v>
      </c>
      <c r="AR177" s="12" t="str">
        <f t="shared" ca="1" si="15"/>
        <v>NA</v>
      </c>
      <c r="AS177" s="5"/>
      <c r="AT177" s="5"/>
      <c r="AU177" s="5"/>
      <c r="AV177" s="12" t="str">
        <f t="shared" ca="1" si="16"/>
        <v>NA</v>
      </c>
      <c r="AW177" s="12" t="str">
        <f t="shared" ca="1" si="17"/>
        <v>NA</v>
      </c>
      <c r="AX177" s="12" t="str">
        <f t="shared" ca="1" si="18"/>
        <v>NA</v>
      </c>
      <c r="AY177" s="5"/>
      <c r="AZ177" s="5"/>
      <c r="BA177" s="6"/>
      <c r="BB177" s="12" t="str">
        <f t="shared" ca="1" si="19"/>
        <v>NA</v>
      </c>
      <c r="BC177" s="12" t="str">
        <f t="shared" ca="1" si="20"/>
        <v>NA</v>
      </c>
      <c r="BD177" s="12" t="str">
        <f t="shared" ca="1" si="21"/>
        <v>NA</v>
      </c>
      <c r="BE177" s="5"/>
      <c r="BF177" s="5"/>
      <c r="BG177" s="5"/>
      <c r="BH177" s="12" t="str">
        <f t="shared" ca="1" si="22"/>
        <v>NA</v>
      </c>
      <c r="BI177" s="12" t="str">
        <f t="shared" ca="1" si="23"/>
        <v>NA</v>
      </c>
      <c r="BJ177" s="12" t="str">
        <f t="shared" ca="1" si="24"/>
        <v>NA</v>
      </c>
      <c r="BK177" s="5"/>
      <c r="BL177" s="5"/>
      <c r="BM177" s="12" t="str">
        <f t="shared" ca="1" si="25"/>
        <v>NA</v>
      </c>
      <c r="BN177" s="12" t="str">
        <f t="shared" ca="1" si="26"/>
        <v>NA</v>
      </c>
      <c r="BO177" s="12" t="str">
        <f t="shared" ca="1" si="27"/>
        <v>NA</v>
      </c>
      <c r="BP177" s="5"/>
      <c r="BQ177" s="5"/>
      <c r="BR177" s="5"/>
      <c r="BS177" s="12" t="str">
        <f t="shared" ca="1" si="28"/>
        <v>NA</v>
      </c>
      <c r="BT177" s="12" t="str">
        <f t="shared" ca="1" si="29"/>
        <v>NA</v>
      </c>
      <c r="BU177" s="12" t="str">
        <f t="shared" ca="1" si="30"/>
        <v>NA</v>
      </c>
      <c r="BV177" s="5"/>
      <c r="BW177" s="5"/>
      <c r="BX177" s="12" t="str">
        <f t="shared" ca="1" si="31"/>
        <v>NA</v>
      </c>
      <c r="BY177" s="12" t="str">
        <f t="shared" ca="1" si="32"/>
        <v>NA</v>
      </c>
      <c r="BZ177" s="12" t="str">
        <f t="shared" ca="1" si="33"/>
        <v>NA</v>
      </c>
      <c r="CA177" s="5"/>
    </row>
    <row r="178" spans="1:79" ht="12.75" customHeight="1" x14ac:dyDescent="0.15">
      <c r="A178" s="4">
        <v>2605</v>
      </c>
      <c r="B178" s="5" t="s">
        <v>79</v>
      </c>
      <c r="C178" s="5" t="s">
        <v>852</v>
      </c>
      <c r="D178" s="6" t="s">
        <v>985</v>
      </c>
      <c r="E178" s="7">
        <v>101471</v>
      </c>
      <c r="F178" s="6" t="s">
        <v>986</v>
      </c>
      <c r="G178" s="8" t="s">
        <v>856</v>
      </c>
      <c r="H178" s="6" t="s">
        <v>987</v>
      </c>
      <c r="I178" s="8" t="s">
        <v>988</v>
      </c>
      <c r="J178" s="8" t="s">
        <v>989</v>
      </c>
      <c r="K178" s="24"/>
      <c r="L178" s="8" t="s">
        <v>82</v>
      </c>
      <c r="M178" s="7">
        <v>1130</v>
      </c>
      <c r="N178" s="7">
        <v>2436</v>
      </c>
      <c r="O178" s="13">
        <v>39523</v>
      </c>
      <c r="P178" s="10" t="str">
        <f t="shared" ca="1" si="0"/>
        <v>NA</v>
      </c>
      <c r="Q178" s="5" t="str">
        <f t="shared" ca="1" si="1"/>
        <v>NA</v>
      </c>
      <c r="R178" s="5" t="str">
        <f t="shared" ca="1" si="2"/>
        <v>NA</v>
      </c>
      <c r="S178" s="7">
        <f t="shared" ca="1" si="3"/>
        <v>2008</v>
      </c>
      <c r="T178" s="7">
        <f t="shared" ca="1" si="4"/>
        <v>3</v>
      </c>
      <c r="U178" s="7">
        <f t="shared" ca="1" si="5"/>
        <v>16</v>
      </c>
      <c r="V178" s="6" t="s">
        <v>990</v>
      </c>
      <c r="W178" s="14" t="s">
        <v>96</v>
      </c>
      <c r="X178" s="15"/>
      <c r="Y178" s="5">
        <f t="shared" ca="1" si="34"/>
        <v>2</v>
      </c>
      <c r="Z178" s="6"/>
      <c r="AA178" s="12" t="str">
        <f t="shared" ca="1" si="7"/>
        <v>NA</v>
      </c>
      <c r="AB178" s="12" t="str">
        <f t="shared" ca="1" si="8"/>
        <v>NA</v>
      </c>
      <c r="AC178" s="12" t="str">
        <f t="shared" ca="1" si="9"/>
        <v>NA</v>
      </c>
      <c r="AD178" s="6"/>
      <c r="AE178" s="5"/>
      <c r="AF178" s="6"/>
      <c r="AG178" s="5"/>
      <c r="AH178" s="12" t="str">
        <f t="shared" ca="1" si="10"/>
        <v>NA</v>
      </c>
      <c r="AI178" s="12" t="str">
        <f t="shared" ca="1" si="11"/>
        <v>NA</v>
      </c>
      <c r="AJ178" s="12" t="str">
        <f t="shared" ca="1" si="12"/>
        <v>NA</v>
      </c>
      <c r="AK178" s="5"/>
      <c r="AL178" s="5"/>
      <c r="AM178" s="5"/>
      <c r="AN178" s="5"/>
      <c r="AO178" s="19">
        <v>40003</v>
      </c>
      <c r="AP178" s="12">
        <f t="shared" ca="1" si="13"/>
        <v>2009</v>
      </c>
      <c r="AQ178" s="12">
        <f t="shared" ca="1" si="14"/>
        <v>7</v>
      </c>
      <c r="AR178" s="12">
        <f t="shared" ca="1" si="15"/>
        <v>9</v>
      </c>
      <c r="AS178" s="19" t="s">
        <v>991</v>
      </c>
      <c r="AT178" s="19"/>
      <c r="AU178" s="23">
        <v>42285</v>
      </c>
      <c r="AV178" s="12">
        <f t="shared" ca="1" si="16"/>
        <v>2015</v>
      </c>
      <c r="AW178" s="12">
        <f t="shared" ca="1" si="17"/>
        <v>10</v>
      </c>
      <c r="AX178" s="12">
        <f t="shared" ca="1" si="18"/>
        <v>8</v>
      </c>
      <c r="AY178" s="5" t="s">
        <v>992</v>
      </c>
      <c r="AZ178" s="5"/>
      <c r="BA178" s="18"/>
      <c r="BB178" s="12" t="str">
        <f t="shared" ca="1" si="19"/>
        <v>NA</v>
      </c>
      <c r="BC178" s="12" t="str">
        <f t="shared" ca="1" si="20"/>
        <v>NA</v>
      </c>
      <c r="BD178" s="12" t="str">
        <f t="shared" ca="1" si="21"/>
        <v>NA</v>
      </c>
      <c r="BE178" s="5"/>
      <c r="BF178" s="5"/>
      <c r="BG178" s="5"/>
      <c r="BH178" s="12" t="str">
        <f t="shared" ca="1" si="22"/>
        <v>NA</v>
      </c>
      <c r="BI178" s="12" t="str">
        <f t="shared" ca="1" si="23"/>
        <v>NA</v>
      </c>
      <c r="BJ178" s="12" t="str">
        <f t="shared" ca="1" si="24"/>
        <v>NA</v>
      </c>
      <c r="BK178" s="5"/>
      <c r="BL178" s="5"/>
      <c r="BM178" s="12" t="str">
        <f t="shared" ca="1" si="25"/>
        <v>NA</v>
      </c>
      <c r="BN178" s="12" t="str">
        <f t="shared" ca="1" si="26"/>
        <v>NA</v>
      </c>
      <c r="BO178" s="12" t="str">
        <f t="shared" ca="1" si="27"/>
        <v>NA</v>
      </c>
      <c r="BP178" s="5"/>
      <c r="BQ178" s="5"/>
      <c r="BR178" s="5"/>
      <c r="BS178" s="12" t="str">
        <f t="shared" ca="1" si="28"/>
        <v>NA</v>
      </c>
      <c r="BT178" s="12" t="str">
        <f t="shared" ca="1" si="29"/>
        <v>NA</v>
      </c>
      <c r="BU178" s="12" t="str">
        <f t="shared" ca="1" si="30"/>
        <v>NA</v>
      </c>
      <c r="BV178" s="5"/>
      <c r="BW178" s="5"/>
      <c r="BX178" s="12" t="str">
        <f t="shared" ca="1" si="31"/>
        <v>NA</v>
      </c>
      <c r="BY178" s="12" t="str">
        <f t="shared" ca="1" si="32"/>
        <v>NA</v>
      </c>
      <c r="BZ178" s="12" t="str">
        <f t="shared" ca="1" si="33"/>
        <v>NA</v>
      </c>
      <c r="CA178" s="5"/>
    </row>
    <row r="179" spans="1:79" ht="12.75" customHeight="1" x14ac:dyDescent="0.15">
      <c r="A179" s="4">
        <v>2605</v>
      </c>
      <c r="B179" s="5" t="s">
        <v>79</v>
      </c>
      <c r="C179" s="5" t="s">
        <v>79</v>
      </c>
      <c r="D179" s="6" t="s">
        <v>993</v>
      </c>
      <c r="E179" s="7">
        <v>101471</v>
      </c>
      <c r="F179" s="6" t="s">
        <v>994</v>
      </c>
      <c r="G179" s="8"/>
      <c r="H179" s="8"/>
      <c r="I179" s="8"/>
      <c r="J179" s="8"/>
      <c r="K179" s="8"/>
      <c r="L179" s="8" t="s">
        <v>82</v>
      </c>
      <c r="M179" s="7">
        <v>1130</v>
      </c>
      <c r="N179" s="7">
        <v>2436</v>
      </c>
      <c r="O179" s="13">
        <v>39523</v>
      </c>
      <c r="P179" s="10" t="str">
        <f t="shared" ca="1" si="0"/>
        <v>NA</v>
      </c>
      <c r="Q179" s="5" t="str">
        <f t="shared" ca="1" si="1"/>
        <v>NA</v>
      </c>
      <c r="R179" s="5" t="str">
        <f t="shared" ca="1" si="2"/>
        <v>NA</v>
      </c>
      <c r="S179" s="7">
        <f t="shared" ca="1" si="3"/>
        <v>2008</v>
      </c>
      <c r="T179" s="7">
        <f t="shared" ca="1" si="4"/>
        <v>3</v>
      </c>
      <c r="U179" s="7">
        <f t="shared" ca="1" si="5"/>
        <v>16</v>
      </c>
      <c r="V179" s="6" t="s">
        <v>995</v>
      </c>
      <c r="W179" s="14" t="s">
        <v>96</v>
      </c>
      <c r="X179" s="15"/>
      <c r="Y179" s="5">
        <f t="shared" ca="1" si="34"/>
        <v>2</v>
      </c>
      <c r="Z179" s="6"/>
      <c r="AA179" s="12" t="str">
        <f t="shared" ca="1" si="7"/>
        <v>NA</v>
      </c>
      <c r="AB179" s="12" t="str">
        <f t="shared" ca="1" si="8"/>
        <v>NA</v>
      </c>
      <c r="AC179" s="12" t="str">
        <f t="shared" ca="1" si="9"/>
        <v>NA</v>
      </c>
      <c r="AD179" s="6"/>
      <c r="AE179" s="5"/>
      <c r="AF179" s="6"/>
      <c r="AG179" s="5"/>
      <c r="AH179" s="12" t="str">
        <f t="shared" ca="1" si="10"/>
        <v>NA</v>
      </c>
      <c r="AI179" s="12" t="str">
        <f t="shared" ca="1" si="11"/>
        <v>NA</v>
      </c>
      <c r="AJ179" s="12" t="str">
        <f t="shared" ca="1" si="12"/>
        <v>NA</v>
      </c>
      <c r="AK179" s="5"/>
      <c r="AL179" s="5"/>
      <c r="AM179" s="5"/>
      <c r="AN179" s="5"/>
      <c r="AO179" s="11">
        <v>40003</v>
      </c>
      <c r="AP179" s="12">
        <f t="shared" ca="1" si="13"/>
        <v>2009</v>
      </c>
      <c r="AQ179" s="12">
        <f t="shared" ca="1" si="14"/>
        <v>7</v>
      </c>
      <c r="AR179" s="12">
        <f t="shared" ca="1" si="15"/>
        <v>9</v>
      </c>
      <c r="AS179" s="8" t="s">
        <v>996</v>
      </c>
      <c r="AT179" s="8"/>
      <c r="AU179" s="11">
        <v>42285</v>
      </c>
      <c r="AV179" s="12">
        <f t="shared" ca="1" si="16"/>
        <v>2015</v>
      </c>
      <c r="AW179" s="12">
        <f t="shared" ca="1" si="17"/>
        <v>10</v>
      </c>
      <c r="AX179" s="12">
        <f t="shared" ca="1" si="18"/>
        <v>8</v>
      </c>
      <c r="AY179" s="8" t="s">
        <v>997</v>
      </c>
      <c r="AZ179" s="8"/>
      <c r="BA179" s="6"/>
      <c r="BB179" s="12" t="str">
        <f t="shared" ca="1" si="19"/>
        <v>NA</v>
      </c>
      <c r="BC179" s="12" t="str">
        <f t="shared" ca="1" si="20"/>
        <v>NA</v>
      </c>
      <c r="BD179" s="12" t="str">
        <f t="shared" ca="1" si="21"/>
        <v>NA</v>
      </c>
      <c r="BE179" s="5"/>
      <c r="BF179" s="5"/>
      <c r="BG179" s="5"/>
      <c r="BH179" s="12" t="str">
        <f t="shared" ca="1" si="22"/>
        <v>NA</v>
      </c>
      <c r="BI179" s="12" t="str">
        <f t="shared" ca="1" si="23"/>
        <v>NA</v>
      </c>
      <c r="BJ179" s="12" t="str">
        <f t="shared" ca="1" si="24"/>
        <v>NA</v>
      </c>
      <c r="BK179" s="5"/>
      <c r="BL179" s="5"/>
      <c r="BM179" s="12" t="str">
        <f t="shared" ca="1" si="25"/>
        <v>NA</v>
      </c>
      <c r="BN179" s="12" t="str">
        <f t="shared" ca="1" si="26"/>
        <v>NA</v>
      </c>
      <c r="BO179" s="12" t="str">
        <f t="shared" ca="1" si="27"/>
        <v>NA</v>
      </c>
      <c r="BP179" s="5"/>
      <c r="BQ179" s="5"/>
      <c r="BR179" s="5"/>
      <c r="BS179" s="12" t="str">
        <f t="shared" ca="1" si="28"/>
        <v>NA</v>
      </c>
      <c r="BT179" s="12" t="str">
        <f t="shared" ca="1" si="29"/>
        <v>NA</v>
      </c>
      <c r="BU179" s="12" t="str">
        <f t="shared" ca="1" si="30"/>
        <v>NA</v>
      </c>
      <c r="BV179" s="5"/>
      <c r="BW179" s="5"/>
      <c r="BX179" s="12" t="str">
        <f t="shared" ca="1" si="31"/>
        <v>NA</v>
      </c>
      <c r="BY179" s="12" t="str">
        <f t="shared" ca="1" si="32"/>
        <v>NA</v>
      </c>
      <c r="BZ179" s="12" t="str">
        <f t="shared" ca="1" si="33"/>
        <v>NA</v>
      </c>
      <c r="CA179" s="5"/>
    </row>
    <row r="180" spans="1:79" ht="12.75" customHeight="1" x14ac:dyDescent="0.15">
      <c r="A180" s="4">
        <v>2606</v>
      </c>
      <c r="B180" s="5" t="s">
        <v>79</v>
      </c>
      <c r="C180" s="5" t="s">
        <v>79</v>
      </c>
      <c r="D180" s="6" t="s">
        <v>998</v>
      </c>
      <c r="E180" s="6" t="s">
        <v>999</v>
      </c>
      <c r="F180" s="6" t="s">
        <v>1000</v>
      </c>
      <c r="G180" s="8"/>
      <c r="H180" s="8"/>
      <c r="I180" s="8"/>
      <c r="J180" s="8"/>
      <c r="K180" s="8"/>
      <c r="L180" s="8" t="s">
        <v>82</v>
      </c>
      <c r="M180" s="7">
        <v>1125</v>
      </c>
      <c r="N180" s="7">
        <v>1124</v>
      </c>
      <c r="O180" s="13">
        <v>39490</v>
      </c>
      <c r="P180" s="10">
        <f t="shared" ca="1" si="0"/>
        <v>0</v>
      </c>
      <c r="Q180" s="5">
        <f t="shared" ca="1" si="1"/>
        <v>0</v>
      </c>
      <c r="R180" s="5">
        <f t="shared" ca="1" si="2"/>
        <v>0</v>
      </c>
      <c r="S180" s="7">
        <f t="shared" ca="1" si="3"/>
        <v>2008</v>
      </c>
      <c r="T180" s="7">
        <f t="shared" ca="1" si="4"/>
        <v>2</v>
      </c>
      <c r="U180" s="7">
        <f t="shared" ca="1" si="5"/>
        <v>12</v>
      </c>
      <c r="V180" s="6" t="s">
        <v>1001</v>
      </c>
      <c r="W180" s="14" t="s">
        <v>96</v>
      </c>
      <c r="X180" s="15"/>
      <c r="Y180" s="5">
        <f t="shared" ca="1" si="34"/>
        <v>0</v>
      </c>
      <c r="Z180" s="6"/>
      <c r="AA180" s="12" t="str">
        <f t="shared" ca="1" si="7"/>
        <v>NA</v>
      </c>
      <c r="AB180" s="12" t="str">
        <f t="shared" ca="1" si="8"/>
        <v>NA</v>
      </c>
      <c r="AC180" s="12" t="str">
        <f t="shared" ca="1" si="9"/>
        <v>NA</v>
      </c>
      <c r="AD180" s="6"/>
      <c r="AE180" s="5"/>
      <c r="AF180" s="6"/>
      <c r="AG180" s="11">
        <v>39490</v>
      </c>
      <c r="AH180" s="12">
        <f t="shared" ca="1" si="10"/>
        <v>2008</v>
      </c>
      <c r="AI180" s="12">
        <f t="shared" ca="1" si="11"/>
        <v>2</v>
      </c>
      <c r="AJ180" s="12">
        <f t="shared" ca="1" si="12"/>
        <v>12</v>
      </c>
      <c r="AK180" s="8" t="s">
        <v>1002</v>
      </c>
      <c r="AL180" s="8"/>
      <c r="AM180" s="5"/>
      <c r="AN180" s="5"/>
      <c r="AO180" s="5"/>
      <c r="AP180" s="12" t="str">
        <f t="shared" ca="1" si="13"/>
        <v>NA</v>
      </c>
      <c r="AQ180" s="12" t="str">
        <f t="shared" ca="1" si="14"/>
        <v>NA</v>
      </c>
      <c r="AR180" s="12" t="str">
        <f t="shared" ca="1" si="15"/>
        <v>NA</v>
      </c>
      <c r="AS180" s="5"/>
      <c r="AT180" s="5"/>
      <c r="AU180" s="5"/>
      <c r="AV180" s="12" t="str">
        <f t="shared" ca="1" si="16"/>
        <v>NA</v>
      </c>
      <c r="AW180" s="12" t="str">
        <f t="shared" ca="1" si="17"/>
        <v>NA</v>
      </c>
      <c r="AX180" s="12" t="str">
        <f t="shared" ca="1" si="18"/>
        <v>NA</v>
      </c>
      <c r="AY180" s="5"/>
      <c r="AZ180" s="5"/>
      <c r="BA180" s="6"/>
      <c r="BB180" s="12" t="str">
        <f t="shared" ca="1" si="19"/>
        <v>NA</v>
      </c>
      <c r="BC180" s="12" t="str">
        <f t="shared" ca="1" si="20"/>
        <v>NA</v>
      </c>
      <c r="BD180" s="12" t="str">
        <f t="shared" ca="1" si="21"/>
        <v>NA</v>
      </c>
      <c r="BE180" s="5"/>
      <c r="BF180" s="5"/>
      <c r="BG180" s="5"/>
      <c r="BH180" s="12" t="str">
        <f t="shared" ca="1" si="22"/>
        <v>NA</v>
      </c>
      <c r="BI180" s="12" t="str">
        <f t="shared" ca="1" si="23"/>
        <v>NA</v>
      </c>
      <c r="BJ180" s="12" t="str">
        <f t="shared" ca="1" si="24"/>
        <v>NA</v>
      </c>
      <c r="BK180" s="5"/>
      <c r="BL180" s="5"/>
      <c r="BM180" s="12" t="str">
        <f t="shared" ca="1" si="25"/>
        <v>NA</v>
      </c>
      <c r="BN180" s="12" t="str">
        <f t="shared" ca="1" si="26"/>
        <v>NA</v>
      </c>
      <c r="BO180" s="12" t="str">
        <f t="shared" ca="1" si="27"/>
        <v>NA</v>
      </c>
      <c r="BP180" s="5"/>
      <c r="BQ180" s="5"/>
      <c r="BR180" s="5"/>
      <c r="BS180" s="12" t="str">
        <f t="shared" ca="1" si="28"/>
        <v>NA</v>
      </c>
      <c r="BT180" s="12" t="str">
        <f t="shared" ca="1" si="29"/>
        <v>NA</v>
      </c>
      <c r="BU180" s="12" t="str">
        <f t="shared" ca="1" si="30"/>
        <v>NA</v>
      </c>
      <c r="BV180" s="5"/>
      <c r="BW180" s="5"/>
      <c r="BX180" s="12" t="str">
        <f t="shared" ca="1" si="31"/>
        <v>NA</v>
      </c>
      <c r="BY180" s="12" t="str">
        <f t="shared" ca="1" si="32"/>
        <v>NA</v>
      </c>
      <c r="BZ180" s="12" t="str">
        <f t="shared" ca="1" si="33"/>
        <v>NA</v>
      </c>
      <c r="CA180" s="5"/>
    </row>
    <row r="181" spans="1:79" ht="12.75" customHeight="1" x14ac:dyDescent="0.15">
      <c r="A181" s="4">
        <v>2607</v>
      </c>
      <c r="B181" s="5" t="s">
        <v>79</v>
      </c>
      <c r="C181" s="5" t="s">
        <v>79</v>
      </c>
      <c r="D181" s="6" t="s">
        <v>1003</v>
      </c>
      <c r="E181" s="7">
        <v>508445</v>
      </c>
      <c r="F181" s="6" t="s">
        <v>1004</v>
      </c>
      <c r="G181" s="8"/>
      <c r="H181" s="8"/>
      <c r="I181" s="8"/>
      <c r="J181" s="8"/>
      <c r="K181" s="8"/>
      <c r="L181" s="8" t="s">
        <v>82</v>
      </c>
      <c r="M181" s="7">
        <v>1131</v>
      </c>
      <c r="N181" s="7">
        <v>2403</v>
      </c>
      <c r="O181" s="13">
        <v>39709</v>
      </c>
      <c r="P181" s="10">
        <f t="shared" ca="1" si="0"/>
        <v>10.369444444444444</v>
      </c>
      <c r="Q181" s="5">
        <f t="shared" ca="1" si="1"/>
        <v>124</v>
      </c>
      <c r="R181" s="5">
        <f t="shared" ca="1" si="2"/>
        <v>3788</v>
      </c>
      <c r="S181" s="7">
        <f t="shared" ca="1" si="3"/>
        <v>2008</v>
      </c>
      <c r="T181" s="7">
        <f t="shared" ca="1" si="4"/>
        <v>9</v>
      </c>
      <c r="U181" s="7">
        <f t="shared" ca="1" si="5"/>
        <v>18</v>
      </c>
      <c r="V181" s="6" t="s">
        <v>1005</v>
      </c>
      <c r="W181" s="14" t="s">
        <v>96</v>
      </c>
      <c r="X181" s="15"/>
      <c r="Y181" s="5">
        <f t="shared" ca="1" si="34"/>
        <v>1</v>
      </c>
      <c r="Z181" s="6"/>
      <c r="AA181" s="12" t="str">
        <f t="shared" ca="1" si="7"/>
        <v>NA</v>
      </c>
      <c r="AB181" s="12" t="str">
        <f t="shared" ca="1" si="8"/>
        <v>NA</v>
      </c>
      <c r="AC181" s="12" t="str">
        <f t="shared" ca="1" si="9"/>
        <v>NA</v>
      </c>
      <c r="AD181" s="6"/>
      <c r="AE181" s="5"/>
      <c r="AF181" s="6"/>
      <c r="AG181" s="11">
        <v>43497</v>
      </c>
      <c r="AH181" s="12">
        <f t="shared" ca="1" si="10"/>
        <v>2019</v>
      </c>
      <c r="AI181" s="12">
        <f t="shared" ca="1" si="11"/>
        <v>2</v>
      </c>
      <c r="AJ181" s="12">
        <f t="shared" ca="1" si="12"/>
        <v>1</v>
      </c>
      <c r="AK181" s="8" t="s">
        <v>1006</v>
      </c>
      <c r="AL181" s="8"/>
      <c r="AM181" s="5"/>
      <c r="AN181" s="5"/>
      <c r="AO181" s="11">
        <v>43452</v>
      </c>
      <c r="AP181" s="12">
        <f t="shared" ca="1" si="13"/>
        <v>2018</v>
      </c>
      <c r="AQ181" s="12">
        <f t="shared" ca="1" si="14"/>
        <v>12</v>
      </c>
      <c r="AR181" s="12">
        <f t="shared" ca="1" si="15"/>
        <v>18</v>
      </c>
      <c r="AS181" s="8" t="s">
        <v>1007</v>
      </c>
      <c r="AT181" s="8"/>
      <c r="AU181" s="5"/>
      <c r="AV181" s="12" t="str">
        <f t="shared" ca="1" si="16"/>
        <v>NA</v>
      </c>
      <c r="AW181" s="12" t="str">
        <f t="shared" ca="1" si="17"/>
        <v>NA</v>
      </c>
      <c r="AX181" s="12" t="str">
        <f t="shared" ca="1" si="18"/>
        <v>NA</v>
      </c>
      <c r="AY181" s="5"/>
      <c r="AZ181" s="5"/>
      <c r="BA181" s="6"/>
      <c r="BB181" s="12" t="str">
        <f t="shared" ca="1" si="19"/>
        <v>NA</v>
      </c>
      <c r="BC181" s="12" t="str">
        <f t="shared" ca="1" si="20"/>
        <v>NA</v>
      </c>
      <c r="BD181" s="12" t="str">
        <f t="shared" ca="1" si="21"/>
        <v>NA</v>
      </c>
      <c r="BE181" s="5"/>
      <c r="BF181" s="5"/>
      <c r="BG181" s="5"/>
      <c r="BH181" s="12" t="str">
        <f t="shared" ca="1" si="22"/>
        <v>NA</v>
      </c>
      <c r="BI181" s="12" t="str">
        <f t="shared" ca="1" si="23"/>
        <v>NA</v>
      </c>
      <c r="BJ181" s="12" t="str">
        <f t="shared" ca="1" si="24"/>
        <v>NA</v>
      </c>
      <c r="BK181" s="5"/>
      <c r="BL181" s="5"/>
      <c r="BM181" s="12" t="str">
        <f t="shared" ca="1" si="25"/>
        <v>NA</v>
      </c>
      <c r="BN181" s="12" t="str">
        <f t="shared" ca="1" si="26"/>
        <v>NA</v>
      </c>
      <c r="BO181" s="12" t="str">
        <f t="shared" ca="1" si="27"/>
        <v>NA</v>
      </c>
      <c r="BP181" s="5"/>
      <c r="BQ181" s="5"/>
      <c r="BR181" s="5"/>
      <c r="BS181" s="12" t="str">
        <f t="shared" ca="1" si="28"/>
        <v>NA</v>
      </c>
      <c r="BT181" s="12" t="str">
        <f t="shared" ca="1" si="29"/>
        <v>NA</v>
      </c>
      <c r="BU181" s="12" t="str">
        <f t="shared" ca="1" si="30"/>
        <v>NA</v>
      </c>
      <c r="BV181" s="5"/>
      <c r="BW181" s="5"/>
      <c r="BX181" s="12" t="str">
        <f t="shared" ca="1" si="31"/>
        <v>NA</v>
      </c>
      <c r="BY181" s="12" t="str">
        <f t="shared" ca="1" si="32"/>
        <v>NA</v>
      </c>
      <c r="BZ181" s="12" t="str">
        <f t="shared" ca="1" si="33"/>
        <v>NA</v>
      </c>
      <c r="CA181" s="5"/>
    </row>
    <row r="182" spans="1:79" ht="12.75" customHeight="1" x14ac:dyDescent="0.15">
      <c r="A182" s="4">
        <v>2608</v>
      </c>
      <c r="B182" s="5" t="s">
        <v>79</v>
      </c>
      <c r="C182" s="5" t="s">
        <v>79</v>
      </c>
      <c r="D182" s="6" t="s">
        <v>1008</v>
      </c>
      <c r="E182" s="7">
        <v>101748</v>
      </c>
      <c r="F182" s="6" t="s">
        <v>1009</v>
      </c>
      <c r="G182" s="8"/>
      <c r="H182" s="8"/>
      <c r="I182" s="8"/>
      <c r="J182" s="8"/>
      <c r="K182" s="8"/>
      <c r="L182" s="8" t="s">
        <v>82</v>
      </c>
      <c r="M182" s="7">
        <v>1131</v>
      </c>
      <c r="N182" s="7">
        <v>2403</v>
      </c>
      <c r="O182" s="13">
        <v>39709</v>
      </c>
      <c r="P182" s="10">
        <f t="shared" ca="1" si="0"/>
        <v>12.33611111111111</v>
      </c>
      <c r="Q182" s="5">
        <f t="shared" ca="1" si="1"/>
        <v>148</v>
      </c>
      <c r="R182" s="5">
        <f t="shared" ca="1" si="2"/>
        <v>4506</v>
      </c>
      <c r="S182" s="7">
        <f t="shared" ca="1" si="3"/>
        <v>2008</v>
      </c>
      <c r="T182" s="7">
        <f t="shared" ca="1" si="4"/>
        <v>9</v>
      </c>
      <c r="U182" s="7">
        <f t="shared" ca="1" si="5"/>
        <v>18</v>
      </c>
      <c r="V182" s="6" t="s">
        <v>1010</v>
      </c>
      <c r="W182" s="14" t="s">
        <v>96</v>
      </c>
      <c r="X182" s="15"/>
      <c r="Y182" s="5">
        <f t="shared" ca="1" si="34"/>
        <v>2</v>
      </c>
      <c r="Z182" s="6"/>
      <c r="AA182" s="12" t="str">
        <f t="shared" ca="1" si="7"/>
        <v>NA</v>
      </c>
      <c r="AB182" s="12" t="str">
        <f t="shared" ca="1" si="8"/>
        <v>NA</v>
      </c>
      <c r="AC182" s="12" t="str">
        <f t="shared" ca="1" si="9"/>
        <v>NA</v>
      </c>
      <c r="AD182" s="6"/>
      <c r="AE182" s="5"/>
      <c r="AF182" s="6"/>
      <c r="AG182" s="11">
        <v>44215</v>
      </c>
      <c r="AH182" s="12">
        <f t="shared" ca="1" si="10"/>
        <v>2021</v>
      </c>
      <c r="AI182" s="12">
        <f t="shared" ca="1" si="11"/>
        <v>1</v>
      </c>
      <c r="AJ182" s="12">
        <f t="shared" ca="1" si="12"/>
        <v>19</v>
      </c>
      <c r="AK182" s="8" t="s">
        <v>1011</v>
      </c>
      <c r="AL182" s="8"/>
      <c r="AM182" s="5"/>
      <c r="AN182" s="5"/>
      <c r="AO182" s="11">
        <v>40052</v>
      </c>
      <c r="AP182" s="12">
        <f t="shared" ca="1" si="13"/>
        <v>2009</v>
      </c>
      <c r="AQ182" s="12">
        <f t="shared" ca="1" si="14"/>
        <v>8</v>
      </c>
      <c r="AR182" s="12">
        <f t="shared" ca="1" si="15"/>
        <v>27</v>
      </c>
      <c r="AS182" s="8" t="s">
        <v>1012</v>
      </c>
      <c r="AT182" s="8"/>
      <c r="AU182" s="11">
        <v>42906</v>
      </c>
      <c r="AV182" s="12">
        <f t="shared" ca="1" si="16"/>
        <v>2017</v>
      </c>
      <c r="AW182" s="12">
        <f t="shared" ca="1" si="17"/>
        <v>6</v>
      </c>
      <c r="AX182" s="12">
        <f t="shared" ca="1" si="18"/>
        <v>20</v>
      </c>
      <c r="AY182" s="8" t="s">
        <v>1013</v>
      </c>
      <c r="AZ182" s="8"/>
      <c r="BA182" s="6"/>
      <c r="BB182" s="12" t="str">
        <f t="shared" ca="1" si="19"/>
        <v>NA</v>
      </c>
      <c r="BC182" s="12" t="str">
        <f t="shared" ca="1" si="20"/>
        <v>NA</v>
      </c>
      <c r="BD182" s="12" t="str">
        <f t="shared" ca="1" si="21"/>
        <v>NA</v>
      </c>
      <c r="BE182" s="5"/>
      <c r="BF182" s="5"/>
      <c r="BG182" s="5"/>
      <c r="BH182" s="12" t="str">
        <f t="shared" ca="1" si="22"/>
        <v>NA</v>
      </c>
      <c r="BI182" s="12" t="str">
        <f t="shared" ca="1" si="23"/>
        <v>NA</v>
      </c>
      <c r="BJ182" s="12" t="str">
        <f t="shared" ca="1" si="24"/>
        <v>NA</v>
      </c>
      <c r="BK182" s="5"/>
      <c r="BL182" s="5"/>
      <c r="BM182" s="12" t="str">
        <f t="shared" ca="1" si="25"/>
        <v>NA</v>
      </c>
      <c r="BN182" s="12" t="str">
        <f t="shared" ca="1" si="26"/>
        <v>NA</v>
      </c>
      <c r="BO182" s="12" t="str">
        <f t="shared" ca="1" si="27"/>
        <v>NA</v>
      </c>
      <c r="BP182" s="5"/>
      <c r="BQ182" s="5"/>
      <c r="BR182" s="5"/>
      <c r="BS182" s="12" t="str">
        <f t="shared" ca="1" si="28"/>
        <v>NA</v>
      </c>
      <c r="BT182" s="12" t="str">
        <f t="shared" ca="1" si="29"/>
        <v>NA</v>
      </c>
      <c r="BU182" s="12" t="str">
        <f t="shared" ca="1" si="30"/>
        <v>NA</v>
      </c>
      <c r="BV182" s="5"/>
      <c r="BW182" s="5"/>
      <c r="BX182" s="12" t="str">
        <f t="shared" ca="1" si="31"/>
        <v>NA</v>
      </c>
      <c r="BY182" s="12" t="str">
        <f t="shared" ca="1" si="32"/>
        <v>NA</v>
      </c>
      <c r="BZ182" s="12" t="str">
        <f t="shared" ca="1" si="33"/>
        <v>NA</v>
      </c>
      <c r="CA182" s="5"/>
    </row>
    <row r="183" spans="1:79" ht="12.75" customHeight="1" x14ac:dyDescent="0.15">
      <c r="A183" s="4">
        <v>2609</v>
      </c>
      <c r="B183" s="5" t="s">
        <v>79</v>
      </c>
      <c r="C183" s="5" t="s">
        <v>79</v>
      </c>
      <c r="D183" s="6" t="s">
        <v>1014</v>
      </c>
      <c r="E183" s="7">
        <v>23709</v>
      </c>
      <c r="F183" s="6" t="s">
        <v>1015</v>
      </c>
      <c r="G183" s="8"/>
      <c r="H183" s="8"/>
      <c r="I183" s="8"/>
      <c r="J183" s="8"/>
      <c r="K183" s="8"/>
      <c r="L183" s="8" t="s">
        <v>82</v>
      </c>
      <c r="M183" s="7">
        <v>1138</v>
      </c>
      <c r="N183" s="7">
        <v>2506</v>
      </c>
      <c r="O183" s="13">
        <v>40039</v>
      </c>
      <c r="P183" s="10">
        <f t="shared" ca="1" si="0"/>
        <v>6.7888888888888888</v>
      </c>
      <c r="Q183" s="5">
        <f t="shared" ca="1" si="1"/>
        <v>81</v>
      </c>
      <c r="R183" s="5">
        <f t="shared" ca="1" si="2"/>
        <v>2479</v>
      </c>
      <c r="S183" s="7">
        <f t="shared" ca="1" si="3"/>
        <v>2009</v>
      </c>
      <c r="T183" s="7">
        <f t="shared" ca="1" si="4"/>
        <v>8</v>
      </c>
      <c r="U183" s="7">
        <f t="shared" ca="1" si="5"/>
        <v>14</v>
      </c>
      <c r="V183" s="6" t="s">
        <v>1016</v>
      </c>
      <c r="W183" s="14" t="s">
        <v>96</v>
      </c>
      <c r="X183" s="15"/>
      <c r="Y183" s="5">
        <f t="shared" ca="1" si="34"/>
        <v>2</v>
      </c>
      <c r="Z183" s="6"/>
      <c r="AA183" s="12" t="str">
        <f t="shared" ca="1" si="7"/>
        <v>NA</v>
      </c>
      <c r="AB183" s="12" t="str">
        <f t="shared" ca="1" si="8"/>
        <v>NA</v>
      </c>
      <c r="AC183" s="12" t="str">
        <f t="shared" ca="1" si="9"/>
        <v>NA</v>
      </c>
      <c r="AD183" s="6"/>
      <c r="AE183" s="5"/>
      <c r="AF183" s="6"/>
      <c r="AG183" s="11">
        <v>42518</v>
      </c>
      <c r="AH183" s="12">
        <f t="shared" ca="1" si="10"/>
        <v>2016</v>
      </c>
      <c r="AI183" s="12">
        <f t="shared" ca="1" si="11"/>
        <v>5</v>
      </c>
      <c r="AJ183" s="12">
        <f t="shared" ca="1" si="12"/>
        <v>28</v>
      </c>
      <c r="AK183" s="8" t="s">
        <v>1017</v>
      </c>
      <c r="AL183" s="8"/>
      <c r="AM183" s="5"/>
      <c r="AN183" s="5"/>
      <c r="AO183" s="11">
        <v>41073</v>
      </c>
      <c r="AP183" s="12">
        <f t="shared" ca="1" si="13"/>
        <v>2012</v>
      </c>
      <c r="AQ183" s="12">
        <f t="shared" ca="1" si="14"/>
        <v>6</v>
      </c>
      <c r="AR183" s="12">
        <f t="shared" ca="1" si="15"/>
        <v>13</v>
      </c>
      <c r="AS183" s="8" t="s">
        <v>1018</v>
      </c>
      <c r="AT183" s="8"/>
      <c r="AU183" s="11">
        <v>42483</v>
      </c>
      <c r="AV183" s="12">
        <f t="shared" ca="1" si="16"/>
        <v>2016</v>
      </c>
      <c r="AW183" s="12">
        <f t="shared" ca="1" si="17"/>
        <v>4</v>
      </c>
      <c r="AX183" s="12">
        <f t="shared" ca="1" si="18"/>
        <v>23</v>
      </c>
      <c r="AY183" s="8" t="s">
        <v>1019</v>
      </c>
      <c r="AZ183" s="8"/>
      <c r="BA183" s="6"/>
      <c r="BB183" s="12" t="str">
        <f t="shared" ca="1" si="19"/>
        <v>NA</v>
      </c>
      <c r="BC183" s="12" t="str">
        <f t="shared" ca="1" si="20"/>
        <v>NA</v>
      </c>
      <c r="BD183" s="12" t="str">
        <f t="shared" ca="1" si="21"/>
        <v>NA</v>
      </c>
      <c r="BE183" s="5"/>
      <c r="BF183" s="5"/>
      <c r="BG183" s="5"/>
      <c r="BH183" s="12" t="str">
        <f t="shared" ca="1" si="22"/>
        <v>NA</v>
      </c>
      <c r="BI183" s="12" t="str">
        <f t="shared" ca="1" si="23"/>
        <v>NA</v>
      </c>
      <c r="BJ183" s="12" t="str">
        <f t="shared" ca="1" si="24"/>
        <v>NA</v>
      </c>
      <c r="BK183" s="5"/>
      <c r="BL183" s="5"/>
      <c r="BM183" s="12" t="str">
        <f t="shared" ca="1" si="25"/>
        <v>NA</v>
      </c>
      <c r="BN183" s="12" t="str">
        <f t="shared" ca="1" si="26"/>
        <v>NA</v>
      </c>
      <c r="BO183" s="12" t="str">
        <f t="shared" ca="1" si="27"/>
        <v>NA</v>
      </c>
      <c r="BP183" s="5"/>
      <c r="BQ183" s="5"/>
      <c r="BR183" s="5"/>
      <c r="BS183" s="12" t="str">
        <f t="shared" ca="1" si="28"/>
        <v>NA</v>
      </c>
      <c r="BT183" s="12" t="str">
        <f t="shared" ca="1" si="29"/>
        <v>NA</v>
      </c>
      <c r="BU183" s="12" t="str">
        <f t="shared" ca="1" si="30"/>
        <v>NA</v>
      </c>
      <c r="BV183" s="5"/>
      <c r="BW183" s="5"/>
      <c r="BX183" s="12" t="str">
        <f t="shared" ca="1" si="31"/>
        <v>NA</v>
      </c>
      <c r="BY183" s="12" t="str">
        <f t="shared" ca="1" si="32"/>
        <v>NA</v>
      </c>
      <c r="BZ183" s="12" t="str">
        <f t="shared" ca="1" si="33"/>
        <v>NA</v>
      </c>
      <c r="CA183" s="5"/>
    </row>
    <row r="184" spans="1:79" ht="12.75" customHeight="1" x14ac:dyDescent="0.15">
      <c r="A184" s="4">
        <v>2610</v>
      </c>
      <c r="B184" s="5" t="s">
        <v>79</v>
      </c>
      <c r="C184" s="5" t="s">
        <v>79</v>
      </c>
      <c r="D184" s="6" t="s">
        <v>1020</v>
      </c>
      <c r="E184" s="6" t="s">
        <v>1021</v>
      </c>
      <c r="F184" s="6" t="s">
        <v>1022</v>
      </c>
      <c r="G184" s="8"/>
      <c r="H184" s="8"/>
      <c r="I184" s="8"/>
      <c r="J184" s="8"/>
      <c r="K184" s="8"/>
      <c r="L184" s="8" t="s">
        <v>82</v>
      </c>
      <c r="M184" s="7">
        <v>2496</v>
      </c>
      <c r="N184" s="7">
        <v>2501</v>
      </c>
      <c r="O184" s="13">
        <v>40123</v>
      </c>
      <c r="P184" s="10">
        <f t="shared" ca="1" si="0"/>
        <v>0</v>
      </c>
      <c r="Q184" s="5">
        <f t="shared" ca="1" si="1"/>
        <v>0</v>
      </c>
      <c r="R184" s="5">
        <f t="shared" ca="1" si="2"/>
        <v>0</v>
      </c>
      <c r="S184" s="7">
        <f t="shared" ca="1" si="3"/>
        <v>2009</v>
      </c>
      <c r="T184" s="7">
        <f t="shared" ca="1" si="4"/>
        <v>11</v>
      </c>
      <c r="U184" s="7">
        <f t="shared" ca="1" si="5"/>
        <v>6</v>
      </c>
      <c r="V184" s="6" t="s">
        <v>1023</v>
      </c>
      <c r="W184" s="14" t="s">
        <v>96</v>
      </c>
      <c r="X184" s="15"/>
      <c r="Y184" s="5">
        <f ca="1">COUNT(AP184,AV184,BB184,BH184,BM184,#REF!,#REF!)</f>
        <v>0</v>
      </c>
      <c r="Z184" s="6"/>
      <c r="AA184" s="12" t="str">
        <f t="shared" ca="1" si="7"/>
        <v>NA</v>
      </c>
      <c r="AB184" s="12" t="str">
        <f t="shared" ca="1" si="8"/>
        <v>NA</v>
      </c>
      <c r="AC184" s="12" t="str">
        <f t="shared" ca="1" si="9"/>
        <v>NA</v>
      </c>
      <c r="AD184" s="6"/>
      <c r="AE184" s="5"/>
      <c r="AF184" s="6"/>
      <c r="AG184" s="11">
        <v>40123</v>
      </c>
      <c r="AH184" s="12">
        <f t="shared" ca="1" si="10"/>
        <v>2009</v>
      </c>
      <c r="AI184" s="12">
        <f t="shared" ca="1" si="11"/>
        <v>11</v>
      </c>
      <c r="AJ184" s="12">
        <f t="shared" ca="1" si="12"/>
        <v>6</v>
      </c>
      <c r="AK184" s="8" t="s">
        <v>1024</v>
      </c>
      <c r="AL184" s="8"/>
      <c r="AM184" s="5"/>
      <c r="AN184" s="5"/>
      <c r="AO184" s="5"/>
      <c r="AP184" s="12" t="str">
        <f t="shared" ca="1" si="13"/>
        <v>NA</v>
      </c>
      <c r="AQ184" s="12" t="str">
        <f t="shared" ca="1" si="14"/>
        <v>NA</v>
      </c>
      <c r="AR184" s="12" t="str">
        <f t="shared" ca="1" si="15"/>
        <v>NA</v>
      </c>
      <c r="AS184" s="5"/>
      <c r="AT184" s="5"/>
      <c r="AU184" s="5"/>
      <c r="AV184" s="12" t="str">
        <f t="shared" ca="1" si="16"/>
        <v>NA</v>
      </c>
      <c r="AW184" s="12" t="str">
        <f t="shared" ca="1" si="17"/>
        <v>NA</v>
      </c>
      <c r="AX184" s="12" t="str">
        <f t="shared" ca="1" si="18"/>
        <v>NA</v>
      </c>
      <c r="AY184" s="5"/>
      <c r="AZ184" s="5"/>
      <c r="BA184" s="6"/>
      <c r="BB184" s="12" t="str">
        <f t="shared" ca="1" si="19"/>
        <v>NA</v>
      </c>
      <c r="BC184" s="12" t="str">
        <f t="shared" ca="1" si="20"/>
        <v>NA</v>
      </c>
      <c r="BD184" s="12" t="str">
        <f t="shared" ca="1" si="21"/>
        <v>NA</v>
      </c>
      <c r="BE184" s="5"/>
      <c r="BF184" s="5"/>
      <c r="BG184" s="5"/>
      <c r="BH184" s="12" t="str">
        <f t="shared" ca="1" si="22"/>
        <v>NA</v>
      </c>
      <c r="BI184" s="12" t="str">
        <f t="shared" ca="1" si="23"/>
        <v>NA</v>
      </c>
      <c r="BJ184" s="12" t="str">
        <f t="shared" ca="1" si="24"/>
        <v>NA</v>
      </c>
      <c r="BK184" s="5"/>
      <c r="BL184" s="5"/>
      <c r="BM184" s="12" t="str">
        <f t="shared" ca="1" si="25"/>
        <v>NA</v>
      </c>
      <c r="BN184" s="12" t="str">
        <f t="shared" ca="1" si="26"/>
        <v>NA</v>
      </c>
      <c r="BO184" s="12" t="str">
        <f t="shared" ca="1" si="27"/>
        <v>NA</v>
      </c>
      <c r="BP184" s="5"/>
      <c r="BQ184" s="5"/>
      <c r="BR184" s="5"/>
      <c r="BS184" s="12" t="str">
        <f t="shared" ca="1" si="28"/>
        <v>NA</v>
      </c>
      <c r="BT184" s="12" t="str">
        <f t="shared" ca="1" si="29"/>
        <v>NA</v>
      </c>
      <c r="BU184" s="12" t="str">
        <f t="shared" ca="1" si="30"/>
        <v>NA</v>
      </c>
      <c r="BV184" s="5"/>
      <c r="BW184" s="5"/>
      <c r="BX184" s="12" t="str">
        <f t="shared" ca="1" si="31"/>
        <v>NA</v>
      </c>
      <c r="BY184" s="12" t="str">
        <f t="shared" ca="1" si="32"/>
        <v>NA</v>
      </c>
      <c r="BZ184" s="12" t="str">
        <f t="shared" ca="1" si="33"/>
        <v>NA</v>
      </c>
      <c r="CA184" s="5"/>
    </row>
    <row r="185" spans="1:79" ht="12.75" customHeight="1" x14ac:dyDescent="0.15">
      <c r="A185" s="4">
        <v>2611</v>
      </c>
      <c r="B185" s="5" t="s">
        <v>79</v>
      </c>
      <c r="C185" s="5" t="s">
        <v>79</v>
      </c>
      <c r="D185" s="6" t="s">
        <v>1025</v>
      </c>
      <c r="E185" s="7">
        <v>5654</v>
      </c>
      <c r="F185" s="6" t="s">
        <v>1026</v>
      </c>
      <c r="G185" s="8"/>
      <c r="H185" s="8"/>
      <c r="I185" s="8"/>
      <c r="J185" s="8"/>
      <c r="K185" s="8"/>
      <c r="L185" s="8" t="s">
        <v>82</v>
      </c>
      <c r="M185" s="7">
        <v>1121</v>
      </c>
      <c r="N185" s="7">
        <v>1145</v>
      </c>
      <c r="O185" s="13">
        <v>39946</v>
      </c>
      <c r="P185" s="10">
        <f t="shared" ca="1" si="0"/>
        <v>2.5000000000000001E-2</v>
      </c>
      <c r="Q185" s="5">
        <f t="shared" ca="1" si="1"/>
        <v>0</v>
      </c>
      <c r="R185" s="5">
        <f t="shared" ca="1" si="2"/>
        <v>9</v>
      </c>
      <c r="S185" s="7">
        <f t="shared" ca="1" si="3"/>
        <v>2009</v>
      </c>
      <c r="T185" s="7">
        <f t="shared" ca="1" si="4"/>
        <v>5</v>
      </c>
      <c r="U185" s="7">
        <f t="shared" ca="1" si="5"/>
        <v>13</v>
      </c>
      <c r="V185" s="6" t="s">
        <v>1027</v>
      </c>
      <c r="W185" s="14" t="s">
        <v>96</v>
      </c>
      <c r="X185" s="15"/>
      <c r="Y185" s="5">
        <f t="shared" ref="Y185:Y191" ca="1" si="35">COUNT(AP185,AV185,BB185,BH185,BM185,BS187,BX187)</f>
        <v>0</v>
      </c>
      <c r="Z185" s="6"/>
      <c r="AA185" s="12" t="str">
        <f t="shared" ca="1" si="7"/>
        <v>NA</v>
      </c>
      <c r="AB185" s="12" t="str">
        <f t="shared" ca="1" si="8"/>
        <v>NA</v>
      </c>
      <c r="AC185" s="12" t="str">
        <f t="shared" ca="1" si="9"/>
        <v>NA</v>
      </c>
      <c r="AD185" s="6"/>
      <c r="AE185" s="5"/>
      <c r="AF185" s="6"/>
      <c r="AG185" s="11">
        <v>39955</v>
      </c>
      <c r="AH185" s="12">
        <f t="shared" ca="1" si="10"/>
        <v>2009</v>
      </c>
      <c r="AI185" s="12">
        <f t="shared" ca="1" si="11"/>
        <v>5</v>
      </c>
      <c r="AJ185" s="12">
        <f t="shared" ca="1" si="12"/>
        <v>22</v>
      </c>
      <c r="AK185" s="8" t="s">
        <v>1028</v>
      </c>
      <c r="AL185" s="8"/>
      <c r="AM185" s="5"/>
      <c r="AN185" s="5"/>
      <c r="AO185" s="5"/>
      <c r="AP185" s="12" t="str">
        <f t="shared" ca="1" si="13"/>
        <v>NA</v>
      </c>
      <c r="AQ185" s="12" t="str">
        <f t="shared" ca="1" si="14"/>
        <v>NA</v>
      </c>
      <c r="AR185" s="12" t="str">
        <f t="shared" ca="1" si="15"/>
        <v>NA</v>
      </c>
      <c r="AS185" s="5"/>
      <c r="AT185" s="5"/>
      <c r="AU185" s="5"/>
      <c r="AV185" s="12" t="str">
        <f t="shared" ca="1" si="16"/>
        <v>NA</v>
      </c>
      <c r="AW185" s="12" t="str">
        <f t="shared" ca="1" si="17"/>
        <v>NA</v>
      </c>
      <c r="AX185" s="12" t="str">
        <f t="shared" ca="1" si="18"/>
        <v>NA</v>
      </c>
      <c r="AY185" s="5"/>
      <c r="AZ185" s="5"/>
      <c r="BA185" s="6"/>
      <c r="BB185" s="12" t="str">
        <f t="shared" ca="1" si="19"/>
        <v>NA</v>
      </c>
      <c r="BC185" s="12" t="str">
        <f t="shared" ca="1" si="20"/>
        <v>NA</v>
      </c>
      <c r="BD185" s="12" t="str">
        <f t="shared" ca="1" si="21"/>
        <v>NA</v>
      </c>
      <c r="BE185" s="5"/>
      <c r="BF185" s="5"/>
      <c r="BG185" s="5"/>
      <c r="BH185" s="12" t="str">
        <f t="shared" ca="1" si="22"/>
        <v>NA</v>
      </c>
      <c r="BI185" s="12" t="str">
        <f t="shared" ca="1" si="23"/>
        <v>NA</v>
      </c>
      <c r="BJ185" s="12" t="str">
        <f t="shared" ca="1" si="24"/>
        <v>NA</v>
      </c>
      <c r="BK185" s="5"/>
      <c r="BL185" s="5"/>
      <c r="BM185" s="12" t="str">
        <f t="shared" ca="1" si="25"/>
        <v>NA</v>
      </c>
      <c r="BN185" s="12" t="str">
        <f t="shared" ca="1" si="26"/>
        <v>NA</v>
      </c>
      <c r="BO185" s="12" t="str">
        <f t="shared" ca="1" si="27"/>
        <v>NA</v>
      </c>
      <c r="BP185" s="5"/>
      <c r="BQ185" s="5"/>
      <c r="BR185" s="5"/>
      <c r="BS185" s="12" t="str">
        <f t="shared" ca="1" si="28"/>
        <v>NA</v>
      </c>
      <c r="BT185" s="12" t="str">
        <f t="shared" ca="1" si="29"/>
        <v>NA</v>
      </c>
      <c r="BU185" s="12" t="str">
        <f t="shared" ca="1" si="30"/>
        <v>NA</v>
      </c>
      <c r="BV185" s="5"/>
      <c r="BW185" s="5"/>
      <c r="BX185" s="12" t="str">
        <f t="shared" ca="1" si="31"/>
        <v>NA</v>
      </c>
      <c r="BY185" s="12" t="str">
        <f t="shared" ca="1" si="32"/>
        <v>NA</v>
      </c>
      <c r="BZ185" s="12" t="str">
        <f t="shared" ca="1" si="33"/>
        <v>NA</v>
      </c>
      <c r="CA185" s="5"/>
    </row>
    <row r="186" spans="1:79" ht="12.75" customHeight="1" x14ac:dyDescent="0.15">
      <c r="A186" s="4">
        <v>2612</v>
      </c>
      <c r="B186" s="5" t="s">
        <v>79</v>
      </c>
      <c r="C186" s="5" t="s">
        <v>79</v>
      </c>
      <c r="D186" s="6" t="s">
        <v>1029</v>
      </c>
      <c r="E186" s="7">
        <v>104649</v>
      </c>
      <c r="F186" s="6" t="s">
        <v>1030</v>
      </c>
      <c r="G186" s="8"/>
      <c r="H186" s="8"/>
      <c r="I186" s="8"/>
      <c r="J186" s="8"/>
      <c r="K186" s="8"/>
      <c r="L186" s="8" t="s">
        <v>82</v>
      </c>
      <c r="M186" s="7">
        <v>1130</v>
      </c>
      <c r="N186" s="7">
        <v>2436</v>
      </c>
      <c r="O186" s="13">
        <v>39899</v>
      </c>
      <c r="P186" s="10">
        <f t="shared" ca="1" si="0"/>
        <v>8.3333333333333332E-3</v>
      </c>
      <c r="Q186" s="5">
        <f t="shared" ca="1" si="1"/>
        <v>0</v>
      </c>
      <c r="R186" s="5">
        <f t="shared" ca="1" si="2"/>
        <v>3</v>
      </c>
      <c r="S186" s="7">
        <f t="shared" ca="1" si="3"/>
        <v>2009</v>
      </c>
      <c r="T186" s="7">
        <f t="shared" ca="1" si="4"/>
        <v>3</v>
      </c>
      <c r="U186" s="7">
        <f t="shared" ca="1" si="5"/>
        <v>27</v>
      </c>
      <c r="V186" s="6" t="s">
        <v>1031</v>
      </c>
      <c r="W186" s="14" t="s">
        <v>96</v>
      </c>
      <c r="X186" s="15"/>
      <c r="Y186" s="5">
        <f t="shared" ca="1" si="35"/>
        <v>0</v>
      </c>
      <c r="Z186" s="6"/>
      <c r="AA186" s="12" t="str">
        <f t="shared" ca="1" si="7"/>
        <v>NA</v>
      </c>
      <c r="AB186" s="12" t="str">
        <f t="shared" ca="1" si="8"/>
        <v>NA</v>
      </c>
      <c r="AC186" s="12" t="str">
        <f t="shared" ca="1" si="9"/>
        <v>NA</v>
      </c>
      <c r="AD186" s="6"/>
      <c r="AE186" s="5"/>
      <c r="AF186" s="6"/>
      <c r="AG186" s="11">
        <v>39902</v>
      </c>
      <c r="AH186" s="12">
        <f t="shared" ca="1" si="10"/>
        <v>2009</v>
      </c>
      <c r="AI186" s="12">
        <f t="shared" ca="1" si="11"/>
        <v>3</v>
      </c>
      <c r="AJ186" s="12">
        <f t="shared" ca="1" si="12"/>
        <v>30</v>
      </c>
      <c r="AK186" s="8" t="s">
        <v>1032</v>
      </c>
      <c r="AL186" s="8"/>
      <c r="AM186" s="5"/>
      <c r="AN186" s="5"/>
      <c r="AO186" s="5"/>
      <c r="AP186" s="12" t="str">
        <f t="shared" ca="1" si="13"/>
        <v>NA</v>
      </c>
      <c r="AQ186" s="12" t="str">
        <f t="shared" ca="1" si="14"/>
        <v>NA</v>
      </c>
      <c r="AR186" s="12" t="str">
        <f t="shared" ca="1" si="15"/>
        <v>NA</v>
      </c>
      <c r="AS186" s="5"/>
      <c r="AT186" s="5"/>
      <c r="AU186" s="5"/>
      <c r="AV186" s="12" t="str">
        <f t="shared" ca="1" si="16"/>
        <v>NA</v>
      </c>
      <c r="AW186" s="12" t="str">
        <f t="shared" ca="1" si="17"/>
        <v>NA</v>
      </c>
      <c r="AX186" s="12" t="str">
        <f t="shared" ca="1" si="18"/>
        <v>NA</v>
      </c>
      <c r="AY186" s="5"/>
      <c r="AZ186" s="5"/>
      <c r="BA186" s="6"/>
      <c r="BB186" s="12" t="str">
        <f t="shared" ca="1" si="19"/>
        <v>NA</v>
      </c>
      <c r="BC186" s="12" t="str">
        <f t="shared" ca="1" si="20"/>
        <v>NA</v>
      </c>
      <c r="BD186" s="12" t="str">
        <f t="shared" ca="1" si="21"/>
        <v>NA</v>
      </c>
      <c r="BE186" s="5"/>
      <c r="BF186" s="5"/>
      <c r="BG186" s="5"/>
      <c r="BH186" s="12" t="str">
        <f t="shared" ca="1" si="22"/>
        <v>NA</v>
      </c>
      <c r="BI186" s="12" t="str">
        <f t="shared" ca="1" si="23"/>
        <v>NA</v>
      </c>
      <c r="BJ186" s="12" t="str">
        <f t="shared" ca="1" si="24"/>
        <v>NA</v>
      </c>
      <c r="BK186" s="5"/>
      <c r="BL186" s="5"/>
      <c r="BM186" s="12" t="str">
        <f t="shared" ca="1" si="25"/>
        <v>NA</v>
      </c>
      <c r="BN186" s="12" t="str">
        <f t="shared" ca="1" si="26"/>
        <v>NA</v>
      </c>
      <c r="BO186" s="12" t="str">
        <f t="shared" ca="1" si="27"/>
        <v>NA</v>
      </c>
      <c r="BP186" s="5"/>
      <c r="BQ186" s="5"/>
      <c r="BR186" s="5"/>
      <c r="BS186" s="12" t="str">
        <f t="shared" ca="1" si="28"/>
        <v>NA</v>
      </c>
      <c r="BT186" s="12" t="str">
        <f t="shared" ca="1" si="29"/>
        <v>NA</v>
      </c>
      <c r="BU186" s="12" t="str">
        <f t="shared" ca="1" si="30"/>
        <v>NA</v>
      </c>
      <c r="BV186" s="5"/>
      <c r="BW186" s="5"/>
      <c r="BX186" s="12" t="str">
        <f t="shared" ca="1" si="31"/>
        <v>NA</v>
      </c>
      <c r="BY186" s="12" t="str">
        <f t="shared" ca="1" si="32"/>
        <v>NA</v>
      </c>
      <c r="BZ186" s="12" t="str">
        <f t="shared" ca="1" si="33"/>
        <v>NA</v>
      </c>
      <c r="CA186" s="5"/>
    </row>
    <row r="187" spans="1:79" ht="12.75" customHeight="1" x14ac:dyDescent="0.15">
      <c r="A187" s="4">
        <v>2613</v>
      </c>
      <c r="B187" s="5" t="s">
        <v>79</v>
      </c>
      <c r="C187" s="5" t="s">
        <v>79</v>
      </c>
      <c r="D187" s="6" t="s">
        <v>1033</v>
      </c>
      <c r="E187" s="6" t="s">
        <v>1034</v>
      </c>
      <c r="F187" s="6" t="s">
        <v>1035</v>
      </c>
      <c r="G187" s="8"/>
      <c r="H187" s="8"/>
      <c r="I187" s="8"/>
      <c r="J187" s="8"/>
      <c r="K187" s="8"/>
      <c r="L187" s="8" t="s">
        <v>82</v>
      </c>
      <c r="M187" s="7">
        <v>1131</v>
      </c>
      <c r="N187" s="7">
        <v>2403</v>
      </c>
      <c r="O187" s="13">
        <v>40012</v>
      </c>
      <c r="P187" s="10">
        <f t="shared" ca="1" si="0"/>
        <v>1.3888888888888888E-2</v>
      </c>
      <c r="Q187" s="5">
        <f t="shared" ca="1" si="1"/>
        <v>0</v>
      </c>
      <c r="R187" s="5">
        <f t="shared" ca="1" si="2"/>
        <v>5</v>
      </c>
      <c r="S187" s="7">
        <f t="shared" ca="1" si="3"/>
        <v>2009</v>
      </c>
      <c r="T187" s="7">
        <f t="shared" ca="1" si="4"/>
        <v>7</v>
      </c>
      <c r="U187" s="7">
        <f t="shared" ca="1" si="5"/>
        <v>18</v>
      </c>
      <c r="V187" s="6" t="s">
        <v>1036</v>
      </c>
      <c r="W187" s="14" t="s">
        <v>96</v>
      </c>
      <c r="X187" s="15"/>
      <c r="Y187" s="5">
        <f t="shared" ca="1" si="35"/>
        <v>0</v>
      </c>
      <c r="Z187" s="6"/>
      <c r="AA187" s="12" t="str">
        <f t="shared" ca="1" si="7"/>
        <v>NA</v>
      </c>
      <c r="AB187" s="12" t="str">
        <f t="shared" ca="1" si="8"/>
        <v>NA</v>
      </c>
      <c r="AC187" s="12" t="str">
        <f t="shared" ca="1" si="9"/>
        <v>NA</v>
      </c>
      <c r="AD187" s="6"/>
      <c r="AE187" s="5"/>
      <c r="AF187" s="6"/>
      <c r="AG187" s="11">
        <v>40017</v>
      </c>
      <c r="AH187" s="12">
        <f t="shared" ca="1" si="10"/>
        <v>2009</v>
      </c>
      <c r="AI187" s="12">
        <f t="shared" ca="1" si="11"/>
        <v>7</v>
      </c>
      <c r="AJ187" s="12">
        <f t="shared" ca="1" si="12"/>
        <v>23</v>
      </c>
      <c r="AK187" s="8" t="s">
        <v>1037</v>
      </c>
      <c r="AL187" s="8"/>
      <c r="AM187" s="5"/>
      <c r="AN187" s="5"/>
      <c r="AO187" s="5"/>
      <c r="AP187" s="12" t="str">
        <f t="shared" ca="1" si="13"/>
        <v>NA</v>
      </c>
      <c r="AQ187" s="12" t="str">
        <f t="shared" ca="1" si="14"/>
        <v>NA</v>
      </c>
      <c r="AR187" s="12" t="str">
        <f t="shared" ca="1" si="15"/>
        <v>NA</v>
      </c>
      <c r="AS187" s="5"/>
      <c r="AT187" s="5"/>
      <c r="AU187" s="5"/>
      <c r="AV187" s="12" t="str">
        <f t="shared" ca="1" si="16"/>
        <v>NA</v>
      </c>
      <c r="AW187" s="12" t="str">
        <f t="shared" ca="1" si="17"/>
        <v>NA</v>
      </c>
      <c r="AX187" s="12" t="str">
        <f t="shared" ca="1" si="18"/>
        <v>NA</v>
      </c>
      <c r="AY187" s="5"/>
      <c r="AZ187" s="5"/>
      <c r="BA187" s="6"/>
      <c r="BB187" s="12" t="str">
        <f t="shared" ca="1" si="19"/>
        <v>NA</v>
      </c>
      <c r="BC187" s="12" t="str">
        <f t="shared" ca="1" si="20"/>
        <v>NA</v>
      </c>
      <c r="BD187" s="12" t="str">
        <f t="shared" ca="1" si="21"/>
        <v>NA</v>
      </c>
      <c r="BE187" s="5"/>
      <c r="BF187" s="5"/>
      <c r="BG187" s="5"/>
      <c r="BH187" s="12" t="str">
        <f t="shared" ca="1" si="22"/>
        <v>NA</v>
      </c>
      <c r="BI187" s="12" t="str">
        <f t="shared" ca="1" si="23"/>
        <v>NA</v>
      </c>
      <c r="BJ187" s="12" t="str">
        <f t="shared" ca="1" si="24"/>
        <v>NA</v>
      </c>
      <c r="BK187" s="5"/>
      <c r="BL187" s="5"/>
      <c r="BM187" s="12" t="str">
        <f t="shared" ca="1" si="25"/>
        <v>NA</v>
      </c>
      <c r="BN187" s="12" t="str">
        <f t="shared" ca="1" si="26"/>
        <v>NA</v>
      </c>
      <c r="BO187" s="12" t="str">
        <f t="shared" ca="1" si="27"/>
        <v>NA</v>
      </c>
      <c r="BP187" s="5"/>
      <c r="BQ187" s="5"/>
      <c r="BR187" s="5"/>
      <c r="BS187" s="12" t="str">
        <f t="shared" ca="1" si="28"/>
        <v>NA</v>
      </c>
      <c r="BT187" s="12" t="str">
        <f t="shared" ca="1" si="29"/>
        <v>NA</v>
      </c>
      <c r="BU187" s="12" t="str">
        <f t="shared" ca="1" si="30"/>
        <v>NA</v>
      </c>
      <c r="BV187" s="5"/>
      <c r="BW187" s="5"/>
      <c r="BX187" s="12" t="str">
        <f t="shared" ca="1" si="31"/>
        <v>NA</v>
      </c>
      <c r="BY187" s="12" t="str">
        <f t="shared" ca="1" si="32"/>
        <v>NA</v>
      </c>
      <c r="BZ187" s="12" t="str">
        <f t="shared" ca="1" si="33"/>
        <v>NA</v>
      </c>
      <c r="CA187" s="5"/>
    </row>
    <row r="188" spans="1:79" ht="12.75" customHeight="1" x14ac:dyDescent="0.15">
      <c r="A188" s="4">
        <v>2631</v>
      </c>
      <c r="B188" s="5" t="s">
        <v>852</v>
      </c>
      <c r="C188" s="5" t="s">
        <v>852</v>
      </c>
      <c r="D188" s="6" t="s">
        <v>1038</v>
      </c>
      <c r="E188" s="7">
        <v>4919</v>
      </c>
      <c r="F188" s="6" t="s">
        <v>1039</v>
      </c>
      <c r="G188" s="8" t="s">
        <v>856</v>
      </c>
      <c r="H188" s="6" t="s">
        <v>1040</v>
      </c>
      <c r="I188" s="8">
        <v>2626</v>
      </c>
      <c r="J188" s="8"/>
      <c r="K188" s="8"/>
      <c r="L188" s="8" t="s">
        <v>82</v>
      </c>
      <c r="M188" s="7">
        <v>1121</v>
      </c>
      <c r="N188" s="7">
        <v>1145</v>
      </c>
      <c r="O188" s="13">
        <v>40259</v>
      </c>
      <c r="P188" s="10" t="str">
        <f t="shared" ca="1" si="0"/>
        <v>NA</v>
      </c>
      <c r="Q188" s="5" t="str">
        <f t="shared" ca="1" si="1"/>
        <v>NA</v>
      </c>
      <c r="R188" s="5" t="str">
        <f t="shared" ca="1" si="2"/>
        <v>NA</v>
      </c>
      <c r="S188" s="7">
        <f t="shared" ca="1" si="3"/>
        <v>2010</v>
      </c>
      <c r="T188" s="7">
        <f t="shared" ca="1" si="4"/>
        <v>3</v>
      </c>
      <c r="U188" s="7">
        <f t="shared" ca="1" si="5"/>
        <v>22</v>
      </c>
      <c r="V188" s="6" t="s">
        <v>1041</v>
      </c>
      <c r="W188" s="14" t="s">
        <v>96</v>
      </c>
      <c r="X188" s="15"/>
      <c r="Y188" s="5">
        <f t="shared" ca="1" si="35"/>
        <v>1</v>
      </c>
      <c r="Z188" s="6"/>
      <c r="AA188" s="12" t="str">
        <f t="shared" ca="1" si="7"/>
        <v>NA</v>
      </c>
      <c r="AB188" s="12" t="str">
        <f t="shared" ca="1" si="8"/>
        <v>NA</v>
      </c>
      <c r="AC188" s="12" t="str">
        <f t="shared" ca="1" si="9"/>
        <v>NA</v>
      </c>
      <c r="AD188" s="6"/>
      <c r="AE188" s="5"/>
      <c r="AF188" s="6"/>
      <c r="AG188" s="5"/>
      <c r="AH188" s="12" t="str">
        <f t="shared" ca="1" si="10"/>
        <v>NA</v>
      </c>
      <c r="AI188" s="12" t="str">
        <f t="shared" ca="1" si="11"/>
        <v>NA</v>
      </c>
      <c r="AJ188" s="12" t="str">
        <f t="shared" ca="1" si="12"/>
        <v>NA</v>
      </c>
      <c r="AK188" s="5"/>
      <c r="AL188" s="5"/>
      <c r="AM188" s="5"/>
      <c r="AN188" s="5"/>
      <c r="AO188" s="11">
        <v>41690</v>
      </c>
      <c r="AP188" s="12">
        <f t="shared" ca="1" si="13"/>
        <v>2014</v>
      </c>
      <c r="AQ188" s="12">
        <f t="shared" ca="1" si="14"/>
        <v>2</v>
      </c>
      <c r="AR188" s="12">
        <f t="shared" ca="1" si="15"/>
        <v>20</v>
      </c>
      <c r="AS188" s="8" t="s">
        <v>1042</v>
      </c>
      <c r="AT188" s="8"/>
      <c r="AU188" s="5"/>
      <c r="AV188" s="12" t="str">
        <f t="shared" ca="1" si="16"/>
        <v>NA</v>
      </c>
      <c r="AW188" s="12" t="str">
        <f t="shared" ca="1" si="17"/>
        <v>NA</v>
      </c>
      <c r="AX188" s="12" t="str">
        <f t="shared" ca="1" si="18"/>
        <v>NA</v>
      </c>
      <c r="AY188" s="5"/>
      <c r="AZ188" s="5"/>
      <c r="BA188" s="18"/>
      <c r="BB188" s="12" t="str">
        <f t="shared" ca="1" si="19"/>
        <v>NA</v>
      </c>
      <c r="BC188" s="12" t="str">
        <f t="shared" ca="1" si="20"/>
        <v>NA</v>
      </c>
      <c r="BD188" s="12" t="str">
        <f t="shared" ca="1" si="21"/>
        <v>NA</v>
      </c>
      <c r="BE188" s="5"/>
      <c r="BF188" s="5"/>
      <c r="BG188" s="5"/>
      <c r="BH188" s="12" t="str">
        <f t="shared" ca="1" si="22"/>
        <v>NA</v>
      </c>
      <c r="BI188" s="12" t="str">
        <f t="shared" ca="1" si="23"/>
        <v>NA</v>
      </c>
      <c r="BJ188" s="12" t="str">
        <f t="shared" ca="1" si="24"/>
        <v>NA</v>
      </c>
      <c r="BK188" s="5"/>
      <c r="BL188" s="5"/>
      <c r="BM188" s="12" t="str">
        <f t="shared" ca="1" si="25"/>
        <v>NA</v>
      </c>
      <c r="BN188" s="12" t="str">
        <f t="shared" ca="1" si="26"/>
        <v>NA</v>
      </c>
      <c r="BO188" s="12" t="str">
        <f t="shared" ca="1" si="27"/>
        <v>NA</v>
      </c>
      <c r="BP188" s="5"/>
      <c r="BQ188" s="5"/>
      <c r="BR188" s="5"/>
      <c r="BS188" s="12" t="str">
        <f t="shared" ca="1" si="28"/>
        <v>NA</v>
      </c>
      <c r="BT188" s="12" t="str">
        <f t="shared" ca="1" si="29"/>
        <v>NA</v>
      </c>
      <c r="BU188" s="12" t="str">
        <f t="shared" ca="1" si="30"/>
        <v>NA</v>
      </c>
      <c r="BV188" s="5"/>
      <c r="BW188" s="5"/>
      <c r="BX188" s="12" t="str">
        <f t="shared" ca="1" si="31"/>
        <v>NA</v>
      </c>
      <c r="BY188" s="12" t="str">
        <f t="shared" ca="1" si="32"/>
        <v>NA</v>
      </c>
      <c r="BZ188" s="12" t="str">
        <f t="shared" ca="1" si="33"/>
        <v>NA</v>
      </c>
      <c r="CA188" s="5"/>
    </row>
    <row r="189" spans="1:79" ht="12.75" customHeight="1" x14ac:dyDescent="0.15">
      <c r="A189" s="4">
        <v>2614</v>
      </c>
      <c r="B189" s="5" t="s">
        <v>79</v>
      </c>
      <c r="C189" s="5" t="s">
        <v>79</v>
      </c>
      <c r="D189" s="6" t="s">
        <v>1043</v>
      </c>
      <c r="E189" s="6" t="s">
        <v>1044</v>
      </c>
      <c r="F189" s="6" t="s">
        <v>1045</v>
      </c>
      <c r="G189" s="8"/>
      <c r="H189" s="8"/>
      <c r="I189" s="8"/>
      <c r="J189" s="8"/>
      <c r="K189" s="8"/>
      <c r="L189" s="8" t="s">
        <v>82</v>
      </c>
      <c r="M189" s="7">
        <v>1131</v>
      </c>
      <c r="N189" s="7">
        <v>2403</v>
      </c>
      <c r="O189" s="13">
        <v>40012</v>
      </c>
      <c r="P189" s="10" t="str">
        <f t="shared" ca="1" si="0"/>
        <v>NA</v>
      </c>
      <c r="Q189" s="5" t="str">
        <f t="shared" ca="1" si="1"/>
        <v>NA</v>
      </c>
      <c r="R189" s="5" t="str">
        <f t="shared" ca="1" si="2"/>
        <v>NA</v>
      </c>
      <c r="S189" s="7">
        <f t="shared" ca="1" si="3"/>
        <v>2009</v>
      </c>
      <c r="T189" s="7">
        <f t="shared" ca="1" si="4"/>
        <v>7</v>
      </c>
      <c r="U189" s="7">
        <f t="shared" ca="1" si="5"/>
        <v>18</v>
      </c>
      <c r="V189" s="6" t="s">
        <v>1046</v>
      </c>
      <c r="W189" s="14" t="s">
        <v>96</v>
      </c>
      <c r="X189" s="15"/>
      <c r="Y189" s="5">
        <f t="shared" ca="1" si="35"/>
        <v>2</v>
      </c>
      <c r="Z189" s="6"/>
      <c r="AA189" s="12" t="str">
        <f t="shared" ca="1" si="7"/>
        <v>NA</v>
      </c>
      <c r="AB189" s="12" t="str">
        <f t="shared" ca="1" si="8"/>
        <v>NA</v>
      </c>
      <c r="AC189" s="12" t="str">
        <f t="shared" ca="1" si="9"/>
        <v>NA</v>
      </c>
      <c r="AD189" s="6"/>
      <c r="AE189" s="5"/>
      <c r="AF189" s="6"/>
      <c r="AG189" s="5"/>
      <c r="AH189" s="12" t="str">
        <f t="shared" ca="1" si="10"/>
        <v>NA</v>
      </c>
      <c r="AI189" s="12" t="str">
        <f t="shared" ca="1" si="11"/>
        <v>NA</v>
      </c>
      <c r="AJ189" s="12" t="str">
        <f t="shared" ca="1" si="12"/>
        <v>NA</v>
      </c>
      <c r="AK189" s="5"/>
      <c r="AL189" s="5"/>
      <c r="AM189" s="5"/>
      <c r="AN189" s="5"/>
      <c r="AO189" s="11">
        <v>43452</v>
      </c>
      <c r="AP189" s="12">
        <f t="shared" ca="1" si="13"/>
        <v>2018</v>
      </c>
      <c r="AQ189" s="12">
        <f t="shared" ca="1" si="14"/>
        <v>12</v>
      </c>
      <c r="AR189" s="12">
        <f t="shared" ca="1" si="15"/>
        <v>18</v>
      </c>
      <c r="AS189" s="8" t="s">
        <v>1047</v>
      </c>
      <c r="AT189" s="8"/>
      <c r="AU189" s="11">
        <v>43774</v>
      </c>
      <c r="AV189" s="12">
        <f t="shared" ca="1" si="16"/>
        <v>2019</v>
      </c>
      <c r="AW189" s="12">
        <f t="shared" ca="1" si="17"/>
        <v>11</v>
      </c>
      <c r="AX189" s="12">
        <f t="shared" ca="1" si="18"/>
        <v>5</v>
      </c>
      <c r="AY189" s="24"/>
      <c r="AZ189" s="8"/>
      <c r="BA189" s="6"/>
      <c r="BB189" s="12" t="str">
        <f t="shared" ca="1" si="19"/>
        <v>NA</v>
      </c>
      <c r="BC189" s="12" t="str">
        <f t="shared" ca="1" si="20"/>
        <v>NA</v>
      </c>
      <c r="BD189" s="12" t="str">
        <f t="shared" ca="1" si="21"/>
        <v>NA</v>
      </c>
      <c r="BE189" s="5"/>
      <c r="BF189" s="5"/>
      <c r="BG189" s="5"/>
      <c r="BH189" s="12" t="str">
        <f t="shared" ca="1" si="22"/>
        <v>NA</v>
      </c>
      <c r="BI189" s="12" t="str">
        <f t="shared" ca="1" si="23"/>
        <v>NA</v>
      </c>
      <c r="BJ189" s="12" t="str">
        <f t="shared" ca="1" si="24"/>
        <v>NA</v>
      </c>
      <c r="BK189" s="5"/>
      <c r="BL189" s="5"/>
      <c r="BM189" s="12" t="str">
        <f t="shared" ca="1" si="25"/>
        <v>NA</v>
      </c>
      <c r="BN189" s="12" t="str">
        <f t="shared" ca="1" si="26"/>
        <v>NA</v>
      </c>
      <c r="BO189" s="12" t="str">
        <f t="shared" ca="1" si="27"/>
        <v>NA</v>
      </c>
      <c r="BP189" s="5"/>
      <c r="BQ189" s="5"/>
      <c r="BR189" s="5"/>
      <c r="BS189" s="12" t="str">
        <f t="shared" ca="1" si="28"/>
        <v>NA</v>
      </c>
      <c r="BT189" s="12" t="str">
        <f t="shared" ca="1" si="29"/>
        <v>NA</v>
      </c>
      <c r="BU189" s="12" t="str">
        <f t="shared" ca="1" si="30"/>
        <v>NA</v>
      </c>
      <c r="BV189" s="5"/>
      <c r="BW189" s="5"/>
      <c r="BX189" s="12" t="str">
        <f t="shared" ca="1" si="31"/>
        <v>NA</v>
      </c>
      <c r="BY189" s="12" t="str">
        <f t="shared" ca="1" si="32"/>
        <v>NA</v>
      </c>
      <c r="BZ189" s="12" t="str">
        <f t="shared" ca="1" si="33"/>
        <v>NA</v>
      </c>
      <c r="CA189" s="5"/>
    </row>
    <row r="190" spans="1:79" ht="12.75" customHeight="1" x14ac:dyDescent="0.15">
      <c r="A190" s="4">
        <v>2615</v>
      </c>
      <c r="B190" s="5" t="s">
        <v>79</v>
      </c>
      <c r="C190" s="5" t="s">
        <v>79</v>
      </c>
      <c r="D190" s="6" t="s">
        <v>1048</v>
      </c>
      <c r="E190" s="7">
        <v>22297</v>
      </c>
      <c r="F190" s="6" t="s">
        <v>1049</v>
      </c>
      <c r="G190" s="8"/>
      <c r="H190" s="8"/>
      <c r="I190" s="8"/>
      <c r="J190" s="8"/>
      <c r="K190" s="8"/>
      <c r="L190" s="8" t="s">
        <v>82</v>
      </c>
      <c r="M190" s="7">
        <v>1142</v>
      </c>
      <c r="N190" s="7">
        <v>2411</v>
      </c>
      <c r="O190" s="13">
        <v>39928</v>
      </c>
      <c r="P190" s="10">
        <f t="shared" ca="1" si="0"/>
        <v>0</v>
      </c>
      <c r="Q190" s="5">
        <f t="shared" ca="1" si="1"/>
        <v>0</v>
      </c>
      <c r="R190" s="5">
        <f t="shared" ca="1" si="2"/>
        <v>0</v>
      </c>
      <c r="S190" s="7">
        <f t="shared" ca="1" si="3"/>
        <v>2009</v>
      </c>
      <c r="T190" s="7">
        <f t="shared" ca="1" si="4"/>
        <v>4</v>
      </c>
      <c r="U190" s="7">
        <f t="shared" ca="1" si="5"/>
        <v>25</v>
      </c>
      <c r="V190" s="6" t="s">
        <v>1050</v>
      </c>
      <c r="W190" s="14" t="s">
        <v>96</v>
      </c>
      <c r="X190" s="15"/>
      <c r="Y190" s="5">
        <f t="shared" ca="1" si="35"/>
        <v>0</v>
      </c>
      <c r="Z190" s="6"/>
      <c r="AA190" s="12" t="str">
        <f t="shared" ca="1" si="7"/>
        <v>NA</v>
      </c>
      <c r="AB190" s="12" t="str">
        <f t="shared" ca="1" si="8"/>
        <v>NA</v>
      </c>
      <c r="AC190" s="12" t="str">
        <f t="shared" ca="1" si="9"/>
        <v>NA</v>
      </c>
      <c r="AD190" s="6"/>
      <c r="AE190" s="5"/>
      <c r="AF190" s="6"/>
      <c r="AG190" s="11">
        <v>39928</v>
      </c>
      <c r="AH190" s="12">
        <f t="shared" ca="1" si="10"/>
        <v>2009</v>
      </c>
      <c r="AI190" s="12">
        <f t="shared" ca="1" si="11"/>
        <v>4</v>
      </c>
      <c r="AJ190" s="12">
        <f t="shared" ca="1" si="12"/>
        <v>25</v>
      </c>
      <c r="AK190" s="8" t="s">
        <v>1051</v>
      </c>
      <c r="AL190" s="8"/>
      <c r="AM190" s="5"/>
      <c r="AN190" s="5"/>
      <c r="AO190" s="5"/>
      <c r="AP190" s="12" t="str">
        <f t="shared" ca="1" si="13"/>
        <v>NA</v>
      </c>
      <c r="AQ190" s="12" t="str">
        <f t="shared" ca="1" si="14"/>
        <v>NA</v>
      </c>
      <c r="AR190" s="12" t="str">
        <f t="shared" ca="1" si="15"/>
        <v>NA</v>
      </c>
      <c r="AS190" s="5"/>
      <c r="AT190" s="5"/>
      <c r="AU190" s="5"/>
      <c r="AV190" s="12" t="str">
        <f t="shared" ca="1" si="16"/>
        <v>NA</v>
      </c>
      <c r="AW190" s="12" t="str">
        <f t="shared" ca="1" si="17"/>
        <v>NA</v>
      </c>
      <c r="AX190" s="12" t="str">
        <f t="shared" ca="1" si="18"/>
        <v>NA</v>
      </c>
      <c r="AY190" s="5"/>
      <c r="AZ190" s="5"/>
      <c r="BA190" s="6"/>
      <c r="BB190" s="12" t="str">
        <f t="shared" ca="1" si="19"/>
        <v>NA</v>
      </c>
      <c r="BC190" s="12" t="str">
        <f t="shared" ca="1" si="20"/>
        <v>NA</v>
      </c>
      <c r="BD190" s="12" t="str">
        <f t="shared" ca="1" si="21"/>
        <v>NA</v>
      </c>
      <c r="BE190" s="5"/>
      <c r="BF190" s="5"/>
      <c r="BG190" s="5"/>
      <c r="BH190" s="12" t="str">
        <f t="shared" ca="1" si="22"/>
        <v>NA</v>
      </c>
      <c r="BI190" s="12" t="str">
        <f t="shared" ca="1" si="23"/>
        <v>NA</v>
      </c>
      <c r="BJ190" s="12" t="str">
        <f t="shared" ca="1" si="24"/>
        <v>NA</v>
      </c>
      <c r="BK190" s="5"/>
      <c r="BL190" s="5"/>
      <c r="BM190" s="12" t="str">
        <f t="shared" ca="1" si="25"/>
        <v>NA</v>
      </c>
      <c r="BN190" s="12" t="str">
        <f t="shared" ca="1" si="26"/>
        <v>NA</v>
      </c>
      <c r="BO190" s="12" t="str">
        <f t="shared" ca="1" si="27"/>
        <v>NA</v>
      </c>
      <c r="BP190" s="5"/>
      <c r="BQ190" s="5"/>
      <c r="BR190" s="5"/>
      <c r="BS190" s="12" t="str">
        <f t="shared" ca="1" si="28"/>
        <v>NA</v>
      </c>
      <c r="BT190" s="12" t="str">
        <f t="shared" ca="1" si="29"/>
        <v>NA</v>
      </c>
      <c r="BU190" s="12" t="str">
        <f t="shared" ca="1" si="30"/>
        <v>NA</v>
      </c>
      <c r="BV190" s="5"/>
      <c r="BW190" s="5"/>
      <c r="BX190" s="12" t="str">
        <f t="shared" ca="1" si="31"/>
        <v>NA</v>
      </c>
      <c r="BY190" s="12" t="str">
        <f t="shared" ca="1" si="32"/>
        <v>NA</v>
      </c>
      <c r="BZ190" s="12" t="str">
        <f t="shared" ca="1" si="33"/>
        <v>NA</v>
      </c>
      <c r="CA190" s="5"/>
    </row>
    <row r="191" spans="1:79" ht="12.75" customHeight="1" x14ac:dyDescent="0.15">
      <c r="A191" s="4">
        <v>2616</v>
      </c>
      <c r="B191" s="5" t="s">
        <v>79</v>
      </c>
      <c r="C191" s="5" t="s">
        <v>79</v>
      </c>
      <c r="D191" s="6" t="s">
        <v>1052</v>
      </c>
      <c r="E191" s="7">
        <v>22298</v>
      </c>
      <c r="F191" s="6" t="s">
        <v>1053</v>
      </c>
      <c r="G191" s="8"/>
      <c r="H191" s="8"/>
      <c r="I191" s="8"/>
      <c r="J191" s="8"/>
      <c r="K191" s="8"/>
      <c r="L191" s="8" t="s">
        <v>82</v>
      </c>
      <c r="M191" s="7">
        <v>1142</v>
      </c>
      <c r="N191" s="7">
        <v>2411</v>
      </c>
      <c r="O191" s="13">
        <v>39928</v>
      </c>
      <c r="P191" s="10">
        <f t="shared" ca="1" si="0"/>
        <v>0</v>
      </c>
      <c r="Q191" s="5">
        <f t="shared" ca="1" si="1"/>
        <v>0</v>
      </c>
      <c r="R191" s="5">
        <f t="shared" ca="1" si="2"/>
        <v>0</v>
      </c>
      <c r="S191" s="7">
        <f t="shared" ca="1" si="3"/>
        <v>2009</v>
      </c>
      <c r="T191" s="7">
        <f t="shared" ca="1" si="4"/>
        <v>4</v>
      </c>
      <c r="U191" s="7">
        <f t="shared" ca="1" si="5"/>
        <v>25</v>
      </c>
      <c r="V191" s="6" t="s">
        <v>1054</v>
      </c>
      <c r="W191" s="14" t="s">
        <v>96</v>
      </c>
      <c r="X191" s="15"/>
      <c r="Y191" s="5">
        <f t="shared" ca="1" si="35"/>
        <v>0</v>
      </c>
      <c r="Z191" s="6"/>
      <c r="AA191" s="12" t="str">
        <f t="shared" ca="1" si="7"/>
        <v>NA</v>
      </c>
      <c r="AB191" s="12" t="str">
        <f t="shared" ca="1" si="8"/>
        <v>NA</v>
      </c>
      <c r="AC191" s="12" t="str">
        <f t="shared" ca="1" si="9"/>
        <v>NA</v>
      </c>
      <c r="AD191" s="6"/>
      <c r="AE191" s="5"/>
      <c r="AF191" s="6"/>
      <c r="AG191" s="11">
        <v>39928</v>
      </c>
      <c r="AH191" s="12">
        <f t="shared" ca="1" si="10"/>
        <v>2009</v>
      </c>
      <c r="AI191" s="12">
        <f t="shared" ca="1" si="11"/>
        <v>4</v>
      </c>
      <c r="AJ191" s="12">
        <f t="shared" ca="1" si="12"/>
        <v>25</v>
      </c>
      <c r="AK191" s="8" t="s">
        <v>1055</v>
      </c>
      <c r="AL191" s="8"/>
      <c r="AM191" s="5"/>
      <c r="AN191" s="5"/>
      <c r="AO191" s="5"/>
      <c r="AP191" s="12" t="str">
        <f t="shared" ca="1" si="13"/>
        <v>NA</v>
      </c>
      <c r="AQ191" s="12" t="str">
        <f t="shared" ca="1" si="14"/>
        <v>NA</v>
      </c>
      <c r="AR191" s="12" t="str">
        <f t="shared" ca="1" si="15"/>
        <v>NA</v>
      </c>
      <c r="AS191" s="5"/>
      <c r="AT191" s="5"/>
      <c r="AU191" s="5"/>
      <c r="AV191" s="12" t="str">
        <f t="shared" ca="1" si="16"/>
        <v>NA</v>
      </c>
      <c r="AW191" s="12" t="str">
        <f t="shared" ca="1" si="17"/>
        <v>NA</v>
      </c>
      <c r="AX191" s="12" t="str">
        <f t="shared" ca="1" si="18"/>
        <v>NA</v>
      </c>
      <c r="AY191" s="5"/>
      <c r="AZ191" s="5"/>
      <c r="BA191" s="6"/>
      <c r="BB191" s="12" t="str">
        <f t="shared" ca="1" si="19"/>
        <v>NA</v>
      </c>
      <c r="BC191" s="12" t="str">
        <f t="shared" ca="1" si="20"/>
        <v>NA</v>
      </c>
      <c r="BD191" s="12" t="str">
        <f t="shared" ca="1" si="21"/>
        <v>NA</v>
      </c>
      <c r="BE191" s="5"/>
      <c r="BF191" s="5"/>
      <c r="BG191" s="5"/>
      <c r="BH191" s="12" t="str">
        <f t="shared" ca="1" si="22"/>
        <v>NA</v>
      </c>
      <c r="BI191" s="12" t="str">
        <f t="shared" ca="1" si="23"/>
        <v>NA</v>
      </c>
      <c r="BJ191" s="12" t="str">
        <f t="shared" ca="1" si="24"/>
        <v>NA</v>
      </c>
      <c r="BK191" s="5"/>
      <c r="BL191" s="5"/>
      <c r="BM191" s="12" t="str">
        <f t="shared" ca="1" si="25"/>
        <v>NA</v>
      </c>
      <c r="BN191" s="12" t="str">
        <f t="shared" ca="1" si="26"/>
        <v>NA</v>
      </c>
      <c r="BO191" s="12" t="str">
        <f t="shared" ca="1" si="27"/>
        <v>NA</v>
      </c>
      <c r="BP191" s="5"/>
      <c r="BQ191" s="5"/>
      <c r="BR191" s="5"/>
      <c r="BS191" s="12" t="str">
        <f t="shared" ca="1" si="28"/>
        <v>NA</v>
      </c>
      <c r="BT191" s="12" t="str">
        <f t="shared" ca="1" si="29"/>
        <v>NA</v>
      </c>
      <c r="BU191" s="12" t="str">
        <f t="shared" ca="1" si="30"/>
        <v>NA</v>
      </c>
      <c r="BV191" s="5"/>
      <c r="BW191" s="5"/>
      <c r="BX191" s="12" t="str">
        <f t="shared" ca="1" si="31"/>
        <v>NA</v>
      </c>
      <c r="BY191" s="12" t="str">
        <f t="shared" ca="1" si="32"/>
        <v>NA</v>
      </c>
      <c r="BZ191" s="12" t="str">
        <f t="shared" ca="1" si="33"/>
        <v>NA</v>
      </c>
      <c r="CA191" s="5"/>
    </row>
    <row r="192" spans="1:79" ht="12.75" customHeight="1" x14ac:dyDescent="0.15">
      <c r="A192" s="4">
        <v>2622</v>
      </c>
      <c r="B192" s="5" t="s">
        <v>852</v>
      </c>
      <c r="C192" s="5" t="s">
        <v>852</v>
      </c>
      <c r="D192" s="6" t="s">
        <v>1056</v>
      </c>
      <c r="E192" s="7">
        <v>119021</v>
      </c>
      <c r="F192" s="6" t="s">
        <v>1057</v>
      </c>
      <c r="G192" s="8" t="s">
        <v>856</v>
      </c>
      <c r="H192" s="6" t="s">
        <v>1058</v>
      </c>
      <c r="I192" s="8">
        <v>2630</v>
      </c>
      <c r="J192" s="8"/>
      <c r="K192" s="8"/>
      <c r="L192" s="8" t="s">
        <v>82</v>
      </c>
      <c r="M192" s="7">
        <v>2498</v>
      </c>
      <c r="N192" s="7">
        <v>2502</v>
      </c>
      <c r="O192" s="13">
        <v>40438</v>
      </c>
      <c r="P192" s="10" t="str">
        <f t="shared" ca="1" si="0"/>
        <v>NA</v>
      </c>
      <c r="Q192" s="5" t="str">
        <f t="shared" ca="1" si="1"/>
        <v>NA</v>
      </c>
      <c r="R192" s="5" t="str">
        <f t="shared" ca="1" si="2"/>
        <v>NA</v>
      </c>
      <c r="S192" s="7">
        <f t="shared" ca="1" si="3"/>
        <v>2010</v>
      </c>
      <c r="T192" s="7">
        <f t="shared" ca="1" si="4"/>
        <v>9</v>
      </c>
      <c r="U192" s="7">
        <f t="shared" ca="1" si="5"/>
        <v>17</v>
      </c>
      <c r="V192" s="6" t="s">
        <v>1059</v>
      </c>
      <c r="W192" s="14" t="s">
        <v>96</v>
      </c>
      <c r="X192" s="15"/>
      <c r="Y192" s="5">
        <f ca="1">COUNT(AP192,AV192,BB192,BH192,BM192,BS193,BX193)</f>
        <v>2</v>
      </c>
      <c r="Z192" s="6"/>
      <c r="AA192" s="12" t="str">
        <f t="shared" ca="1" si="7"/>
        <v>NA</v>
      </c>
      <c r="AB192" s="12" t="str">
        <f t="shared" ca="1" si="8"/>
        <v>NA</v>
      </c>
      <c r="AC192" s="12" t="str">
        <f t="shared" ca="1" si="9"/>
        <v>NA</v>
      </c>
      <c r="AD192" s="6"/>
      <c r="AE192" s="5"/>
      <c r="AF192" s="6"/>
      <c r="AG192" s="5"/>
      <c r="AH192" s="12" t="str">
        <f t="shared" ca="1" si="10"/>
        <v>NA</v>
      </c>
      <c r="AI192" s="12" t="str">
        <f t="shared" ca="1" si="11"/>
        <v>NA</v>
      </c>
      <c r="AJ192" s="12" t="str">
        <f t="shared" ca="1" si="12"/>
        <v>NA</v>
      </c>
      <c r="AK192" s="5"/>
      <c r="AL192" s="5"/>
      <c r="AM192" s="5"/>
      <c r="AN192" s="5"/>
      <c r="AO192" s="11">
        <v>42408</v>
      </c>
      <c r="AP192" s="12">
        <f t="shared" ca="1" si="13"/>
        <v>2016</v>
      </c>
      <c r="AQ192" s="12">
        <f t="shared" ca="1" si="14"/>
        <v>2</v>
      </c>
      <c r="AR192" s="12">
        <f t="shared" ca="1" si="15"/>
        <v>8</v>
      </c>
      <c r="AS192" s="8" t="s">
        <v>1060</v>
      </c>
      <c r="AT192" s="8"/>
      <c r="AU192" s="11">
        <v>43601</v>
      </c>
      <c r="AV192" s="12">
        <f t="shared" ca="1" si="16"/>
        <v>2019</v>
      </c>
      <c r="AW192" s="12">
        <f t="shared" ca="1" si="17"/>
        <v>5</v>
      </c>
      <c r="AX192" s="12">
        <f t="shared" ca="1" si="18"/>
        <v>16</v>
      </c>
      <c r="AY192" s="8" t="s">
        <v>1061</v>
      </c>
      <c r="AZ192" s="8"/>
      <c r="BA192" s="18"/>
      <c r="BB192" s="12" t="str">
        <f t="shared" ca="1" si="19"/>
        <v>NA</v>
      </c>
      <c r="BC192" s="12" t="str">
        <f t="shared" ca="1" si="20"/>
        <v>NA</v>
      </c>
      <c r="BD192" s="12" t="str">
        <f t="shared" ca="1" si="21"/>
        <v>NA</v>
      </c>
      <c r="BE192" s="5"/>
      <c r="BF192" s="5"/>
      <c r="BG192" s="5"/>
      <c r="BH192" s="12" t="str">
        <f t="shared" ca="1" si="22"/>
        <v>NA</v>
      </c>
      <c r="BI192" s="12" t="str">
        <f t="shared" ca="1" si="23"/>
        <v>NA</v>
      </c>
      <c r="BJ192" s="12" t="str">
        <f t="shared" ca="1" si="24"/>
        <v>NA</v>
      </c>
      <c r="BK192" s="5"/>
      <c r="BL192" s="5"/>
      <c r="BM192" s="12" t="str">
        <f t="shared" ca="1" si="25"/>
        <v>NA</v>
      </c>
      <c r="BN192" s="12" t="str">
        <f t="shared" ca="1" si="26"/>
        <v>NA</v>
      </c>
      <c r="BO192" s="12" t="str">
        <f t="shared" ca="1" si="27"/>
        <v>NA</v>
      </c>
      <c r="BP192" s="5"/>
      <c r="BQ192" s="5"/>
      <c r="BR192" s="5"/>
      <c r="BS192" s="12" t="str">
        <f t="shared" ca="1" si="28"/>
        <v>NA</v>
      </c>
      <c r="BT192" s="12" t="str">
        <f t="shared" ca="1" si="29"/>
        <v>NA</v>
      </c>
      <c r="BU192" s="12" t="str">
        <f t="shared" ca="1" si="30"/>
        <v>NA</v>
      </c>
      <c r="BV192" s="5"/>
      <c r="BW192" s="5"/>
      <c r="BX192" s="12" t="str">
        <f t="shared" ca="1" si="31"/>
        <v>NA</v>
      </c>
      <c r="BY192" s="12" t="str">
        <f t="shared" ca="1" si="32"/>
        <v>NA</v>
      </c>
      <c r="BZ192" s="12" t="str">
        <f t="shared" ca="1" si="33"/>
        <v>NA</v>
      </c>
      <c r="CA192" s="5"/>
    </row>
    <row r="193" spans="1:79" ht="12.75" customHeight="1" x14ac:dyDescent="0.15">
      <c r="A193" s="4">
        <v>2617</v>
      </c>
      <c r="B193" s="5" t="s">
        <v>79</v>
      </c>
      <c r="C193" s="5" t="s">
        <v>79</v>
      </c>
      <c r="D193" s="6" t="s">
        <v>1062</v>
      </c>
      <c r="E193" s="7">
        <v>104733</v>
      </c>
      <c r="F193" s="6" t="s">
        <v>1063</v>
      </c>
      <c r="G193" s="8"/>
      <c r="H193" s="8"/>
      <c r="I193" s="8"/>
      <c r="J193" s="8"/>
      <c r="K193" s="8"/>
      <c r="L193" s="8" t="s">
        <v>82</v>
      </c>
      <c r="M193" s="7">
        <v>1130</v>
      </c>
      <c r="N193" s="7">
        <v>2436</v>
      </c>
      <c r="O193" s="13">
        <v>40214</v>
      </c>
      <c r="P193" s="10" t="str">
        <f t="shared" ca="1" si="0"/>
        <v>NA</v>
      </c>
      <c r="Q193" s="5" t="str">
        <f t="shared" ca="1" si="1"/>
        <v>NA</v>
      </c>
      <c r="R193" s="5" t="str">
        <f t="shared" ca="1" si="2"/>
        <v>NA</v>
      </c>
      <c r="S193" s="7">
        <f t="shared" ca="1" si="3"/>
        <v>2010</v>
      </c>
      <c r="T193" s="7">
        <f t="shared" ca="1" si="4"/>
        <v>2</v>
      </c>
      <c r="U193" s="7">
        <f t="shared" ca="1" si="5"/>
        <v>5</v>
      </c>
      <c r="V193" s="6" t="s">
        <v>1064</v>
      </c>
      <c r="W193" s="14" t="s">
        <v>96</v>
      </c>
      <c r="X193" s="15"/>
      <c r="Y193" s="5">
        <f t="shared" ref="Y193:Y194" ca="1" si="36">COUNT(AP193,AV193,BB193,BH193,BM193,BS195,BX195)</f>
        <v>0</v>
      </c>
      <c r="Z193" s="6"/>
      <c r="AA193" s="12" t="str">
        <f t="shared" ca="1" si="7"/>
        <v>NA</v>
      </c>
      <c r="AB193" s="12" t="str">
        <f t="shared" ca="1" si="8"/>
        <v>NA</v>
      </c>
      <c r="AC193" s="12" t="str">
        <f t="shared" ca="1" si="9"/>
        <v>NA</v>
      </c>
      <c r="AD193" s="6"/>
      <c r="AE193" s="5"/>
      <c r="AF193" s="6"/>
      <c r="AG193" s="5"/>
      <c r="AH193" s="12" t="str">
        <f t="shared" ca="1" si="10"/>
        <v>NA</v>
      </c>
      <c r="AI193" s="12" t="str">
        <f t="shared" ca="1" si="11"/>
        <v>NA</v>
      </c>
      <c r="AJ193" s="12" t="str">
        <f t="shared" ca="1" si="12"/>
        <v>NA</v>
      </c>
      <c r="AK193" s="5"/>
      <c r="AL193" s="5"/>
      <c r="AM193" s="5"/>
      <c r="AN193" s="5"/>
      <c r="AO193" s="5"/>
      <c r="AP193" s="12" t="str">
        <f t="shared" ca="1" si="13"/>
        <v>NA</v>
      </c>
      <c r="AQ193" s="12" t="str">
        <f t="shared" ca="1" si="14"/>
        <v>NA</v>
      </c>
      <c r="AR193" s="12" t="str">
        <f t="shared" ca="1" si="15"/>
        <v>NA</v>
      </c>
      <c r="AS193" s="5"/>
      <c r="AT193" s="5"/>
      <c r="AU193" s="5"/>
      <c r="AV193" s="12" t="str">
        <f t="shared" ca="1" si="16"/>
        <v>NA</v>
      </c>
      <c r="AW193" s="12" t="str">
        <f t="shared" ca="1" si="17"/>
        <v>NA</v>
      </c>
      <c r="AX193" s="12" t="str">
        <f t="shared" ca="1" si="18"/>
        <v>NA</v>
      </c>
      <c r="AY193" s="24"/>
      <c r="AZ193" s="5"/>
      <c r="BA193" s="6"/>
      <c r="BB193" s="12" t="str">
        <f t="shared" ca="1" si="19"/>
        <v>NA</v>
      </c>
      <c r="BC193" s="12" t="str">
        <f t="shared" ca="1" si="20"/>
        <v>NA</v>
      </c>
      <c r="BD193" s="12" t="str">
        <f t="shared" ca="1" si="21"/>
        <v>NA</v>
      </c>
      <c r="BE193" s="5"/>
      <c r="BF193" s="5"/>
      <c r="BG193" s="5"/>
      <c r="BH193" s="12" t="str">
        <f t="shared" ca="1" si="22"/>
        <v>NA</v>
      </c>
      <c r="BI193" s="12" t="str">
        <f t="shared" ca="1" si="23"/>
        <v>NA</v>
      </c>
      <c r="BJ193" s="12" t="str">
        <f t="shared" ca="1" si="24"/>
        <v>NA</v>
      </c>
      <c r="BK193" s="5"/>
      <c r="BL193" s="5"/>
      <c r="BM193" s="12" t="str">
        <f t="shared" ca="1" si="25"/>
        <v>NA</v>
      </c>
      <c r="BN193" s="12" t="str">
        <f t="shared" ca="1" si="26"/>
        <v>NA</v>
      </c>
      <c r="BO193" s="12" t="str">
        <f t="shared" ca="1" si="27"/>
        <v>NA</v>
      </c>
      <c r="BP193" s="5"/>
      <c r="BQ193" s="5"/>
      <c r="BR193" s="5"/>
      <c r="BS193" s="12" t="str">
        <f t="shared" ca="1" si="28"/>
        <v>NA</v>
      </c>
      <c r="BT193" s="12" t="str">
        <f t="shared" ca="1" si="29"/>
        <v>NA</v>
      </c>
      <c r="BU193" s="12" t="str">
        <f t="shared" ca="1" si="30"/>
        <v>NA</v>
      </c>
      <c r="BV193" s="5"/>
      <c r="BW193" s="5"/>
      <c r="BX193" s="12" t="str">
        <f t="shared" ca="1" si="31"/>
        <v>NA</v>
      </c>
      <c r="BY193" s="12" t="str">
        <f t="shared" ca="1" si="32"/>
        <v>NA</v>
      </c>
      <c r="BZ193" s="12" t="str">
        <f t="shared" ca="1" si="33"/>
        <v>NA</v>
      </c>
      <c r="CA193" s="5"/>
    </row>
    <row r="194" spans="1:79" ht="12.75" customHeight="1" x14ac:dyDescent="0.15">
      <c r="A194" s="4">
        <v>2618</v>
      </c>
      <c r="B194" s="5" t="s">
        <v>79</v>
      </c>
      <c r="C194" s="5" t="s">
        <v>79</v>
      </c>
      <c r="D194" s="6" t="s">
        <v>1065</v>
      </c>
      <c r="E194" s="7">
        <v>104734</v>
      </c>
      <c r="F194" s="6" t="s">
        <v>1066</v>
      </c>
      <c r="G194" s="8"/>
      <c r="H194" s="8"/>
      <c r="I194" s="8"/>
      <c r="J194" s="8"/>
      <c r="K194" s="8"/>
      <c r="L194" s="8" t="s">
        <v>82</v>
      </c>
      <c r="M194" s="7">
        <v>1130</v>
      </c>
      <c r="N194" s="7">
        <v>2436</v>
      </c>
      <c r="O194" s="13">
        <v>40214</v>
      </c>
      <c r="P194" s="10">
        <f t="shared" ca="1" si="0"/>
        <v>5.5555555555555558E-3</v>
      </c>
      <c r="Q194" s="5">
        <f t="shared" ca="1" si="1"/>
        <v>0</v>
      </c>
      <c r="R194" s="5">
        <f t="shared" ca="1" si="2"/>
        <v>2</v>
      </c>
      <c r="S194" s="7">
        <f t="shared" ca="1" si="3"/>
        <v>2010</v>
      </c>
      <c r="T194" s="7">
        <f t="shared" ca="1" si="4"/>
        <v>2</v>
      </c>
      <c r="U194" s="7">
        <f t="shared" ca="1" si="5"/>
        <v>5</v>
      </c>
      <c r="V194" s="6" t="s">
        <v>1067</v>
      </c>
      <c r="W194" s="14" t="s">
        <v>96</v>
      </c>
      <c r="X194" s="15"/>
      <c r="Y194" s="5">
        <f t="shared" ca="1" si="36"/>
        <v>0</v>
      </c>
      <c r="Z194" s="6"/>
      <c r="AA194" s="12" t="str">
        <f t="shared" ca="1" si="7"/>
        <v>NA</v>
      </c>
      <c r="AB194" s="12" t="str">
        <f t="shared" ca="1" si="8"/>
        <v>NA</v>
      </c>
      <c r="AC194" s="12" t="str">
        <f t="shared" ca="1" si="9"/>
        <v>NA</v>
      </c>
      <c r="AD194" s="6"/>
      <c r="AE194" s="5"/>
      <c r="AF194" s="6"/>
      <c r="AG194" s="11">
        <v>40216</v>
      </c>
      <c r="AH194" s="12">
        <f t="shared" ca="1" si="10"/>
        <v>2010</v>
      </c>
      <c r="AI194" s="12">
        <f t="shared" ca="1" si="11"/>
        <v>2</v>
      </c>
      <c r="AJ194" s="12">
        <f t="shared" ca="1" si="12"/>
        <v>7</v>
      </c>
      <c r="AK194" s="8" t="s">
        <v>1068</v>
      </c>
      <c r="AL194" s="8"/>
      <c r="AM194" s="5"/>
      <c r="AN194" s="5"/>
      <c r="AO194" s="5"/>
      <c r="AP194" s="12" t="str">
        <f t="shared" ca="1" si="13"/>
        <v>NA</v>
      </c>
      <c r="AQ194" s="12" t="str">
        <f t="shared" ca="1" si="14"/>
        <v>NA</v>
      </c>
      <c r="AR194" s="12" t="str">
        <f t="shared" ca="1" si="15"/>
        <v>NA</v>
      </c>
      <c r="AS194" s="5"/>
      <c r="AT194" s="5"/>
      <c r="AU194" s="5"/>
      <c r="AV194" s="12" t="str">
        <f t="shared" ca="1" si="16"/>
        <v>NA</v>
      </c>
      <c r="AW194" s="12" t="str">
        <f t="shared" ca="1" si="17"/>
        <v>NA</v>
      </c>
      <c r="AX194" s="12" t="str">
        <f t="shared" ca="1" si="18"/>
        <v>NA</v>
      </c>
      <c r="AY194" s="24"/>
      <c r="AZ194" s="5"/>
      <c r="BA194" s="6"/>
      <c r="BB194" s="12" t="str">
        <f t="shared" ca="1" si="19"/>
        <v>NA</v>
      </c>
      <c r="BC194" s="12" t="str">
        <f t="shared" ca="1" si="20"/>
        <v>NA</v>
      </c>
      <c r="BD194" s="12" t="str">
        <f t="shared" ca="1" si="21"/>
        <v>NA</v>
      </c>
      <c r="BE194" s="5"/>
      <c r="BF194" s="5"/>
      <c r="BG194" s="5"/>
      <c r="BH194" s="12" t="str">
        <f t="shared" ca="1" si="22"/>
        <v>NA</v>
      </c>
      <c r="BI194" s="12" t="str">
        <f t="shared" ca="1" si="23"/>
        <v>NA</v>
      </c>
      <c r="BJ194" s="12" t="str">
        <f t="shared" ca="1" si="24"/>
        <v>NA</v>
      </c>
      <c r="BK194" s="5"/>
      <c r="BL194" s="5"/>
      <c r="BM194" s="12" t="str">
        <f t="shared" ca="1" si="25"/>
        <v>NA</v>
      </c>
      <c r="BN194" s="12" t="str">
        <f t="shared" ca="1" si="26"/>
        <v>NA</v>
      </c>
      <c r="BO194" s="12" t="str">
        <f t="shared" ca="1" si="27"/>
        <v>NA</v>
      </c>
      <c r="BP194" s="5"/>
      <c r="BQ194" s="5"/>
      <c r="BR194" s="5"/>
      <c r="BS194" s="12" t="str">
        <f t="shared" ca="1" si="28"/>
        <v>NA</v>
      </c>
      <c r="BT194" s="12" t="str">
        <f t="shared" ca="1" si="29"/>
        <v>NA</v>
      </c>
      <c r="BU194" s="12" t="str">
        <f t="shared" ca="1" si="30"/>
        <v>NA</v>
      </c>
      <c r="BV194" s="5"/>
      <c r="BW194" s="5"/>
      <c r="BX194" s="12" t="str">
        <f t="shared" ca="1" si="31"/>
        <v>NA</v>
      </c>
      <c r="BY194" s="12" t="str">
        <f t="shared" ca="1" si="32"/>
        <v>NA</v>
      </c>
      <c r="BZ194" s="12" t="str">
        <f t="shared" ca="1" si="33"/>
        <v>NA</v>
      </c>
      <c r="CA194" s="5"/>
    </row>
    <row r="195" spans="1:79" ht="12.75" customHeight="1" x14ac:dyDescent="0.15">
      <c r="A195" s="4">
        <v>2630</v>
      </c>
      <c r="B195" s="5" t="s">
        <v>852</v>
      </c>
      <c r="C195" s="5" t="s">
        <v>852</v>
      </c>
      <c r="D195" s="6" t="s">
        <v>1069</v>
      </c>
      <c r="E195" s="7" t="s">
        <v>1070</v>
      </c>
      <c r="F195" s="6" t="s">
        <v>1071</v>
      </c>
      <c r="G195" s="8" t="s">
        <v>856</v>
      </c>
      <c r="H195" s="6" t="s">
        <v>1072</v>
      </c>
      <c r="I195" s="8">
        <v>2622</v>
      </c>
      <c r="J195" s="8"/>
      <c r="K195" s="8"/>
      <c r="L195" s="8" t="s">
        <v>82</v>
      </c>
      <c r="M195" s="7">
        <v>1121</v>
      </c>
      <c r="N195" s="7">
        <v>1145</v>
      </c>
      <c r="O195" s="13">
        <v>40259</v>
      </c>
      <c r="P195" s="10" t="str">
        <f t="shared" ca="1" si="0"/>
        <v>NA</v>
      </c>
      <c r="Q195" s="5" t="str">
        <f t="shared" ca="1" si="1"/>
        <v>NA</v>
      </c>
      <c r="R195" s="5" t="str">
        <f t="shared" ca="1" si="2"/>
        <v>NA</v>
      </c>
      <c r="S195" s="7">
        <f t="shared" ca="1" si="3"/>
        <v>2010</v>
      </c>
      <c r="T195" s="7">
        <f t="shared" ca="1" si="4"/>
        <v>3</v>
      </c>
      <c r="U195" s="7">
        <f t="shared" ca="1" si="5"/>
        <v>22</v>
      </c>
      <c r="V195" s="6" t="s">
        <v>1073</v>
      </c>
      <c r="W195" s="14" t="s">
        <v>96</v>
      </c>
      <c r="X195" s="15"/>
      <c r="Y195" s="5">
        <f ca="1">COUNT(AP195,AV195,BB195,BH195,BM195,BS196,BX196)</f>
        <v>0</v>
      </c>
      <c r="Z195" s="6"/>
      <c r="AA195" s="12" t="str">
        <f t="shared" ca="1" si="7"/>
        <v>NA</v>
      </c>
      <c r="AB195" s="12" t="str">
        <f t="shared" ca="1" si="8"/>
        <v>NA</v>
      </c>
      <c r="AC195" s="12" t="str">
        <f t="shared" ca="1" si="9"/>
        <v>NA</v>
      </c>
      <c r="AD195" s="6"/>
      <c r="AE195" s="5"/>
      <c r="AF195" s="6"/>
      <c r="AG195" s="5"/>
      <c r="AH195" s="12" t="str">
        <f t="shared" ca="1" si="10"/>
        <v>NA</v>
      </c>
      <c r="AI195" s="12" t="str">
        <f t="shared" ca="1" si="11"/>
        <v>NA</v>
      </c>
      <c r="AJ195" s="12" t="str">
        <f t="shared" ca="1" si="12"/>
        <v>NA</v>
      </c>
      <c r="AK195" s="5"/>
      <c r="AL195" s="5"/>
      <c r="AM195" s="5"/>
      <c r="AN195" s="5"/>
      <c r="AO195" s="5"/>
      <c r="AP195" s="12" t="str">
        <f t="shared" ca="1" si="13"/>
        <v>NA</v>
      </c>
      <c r="AQ195" s="12" t="str">
        <f t="shared" ca="1" si="14"/>
        <v>NA</v>
      </c>
      <c r="AR195" s="12" t="str">
        <f t="shared" ca="1" si="15"/>
        <v>NA</v>
      </c>
      <c r="AS195" s="5" t="s">
        <v>1074</v>
      </c>
      <c r="AT195" s="5"/>
      <c r="AU195" s="5"/>
      <c r="AV195" s="12" t="str">
        <f t="shared" ca="1" si="16"/>
        <v>NA</v>
      </c>
      <c r="AW195" s="12" t="str">
        <f t="shared" ca="1" si="17"/>
        <v>NA</v>
      </c>
      <c r="AX195" s="12" t="str">
        <f t="shared" ca="1" si="18"/>
        <v>NA</v>
      </c>
      <c r="AY195" s="5"/>
      <c r="AZ195" s="5"/>
      <c r="BA195" s="5"/>
      <c r="BB195" s="12" t="str">
        <f t="shared" ca="1" si="19"/>
        <v>NA</v>
      </c>
      <c r="BC195" s="12" t="str">
        <f t="shared" ca="1" si="20"/>
        <v>NA</v>
      </c>
      <c r="BD195" s="12" t="str">
        <f t="shared" ca="1" si="21"/>
        <v>NA</v>
      </c>
      <c r="BE195" s="5"/>
      <c r="BF195" s="5"/>
      <c r="BG195" s="5"/>
      <c r="BH195" s="12" t="str">
        <f t="shared" ca="1" si="22"/>
        <v>NA</v>
      </c>
      <c r="BI195" s="12" t="str">
        <f t="shared" ca="1" si="23"/>
        <v>NA</v>
      </c>
      <c r="BJ195" s="12" t="str">
        <f t="shared" ca="1" si="24"/>
        <v>NA</v>
      </c>
      <c r="BK195" s="5"/>
      <c r="BL195" s="5"/>
      <c r="BM195" s="12" t="str">
        <f t="shared" ca="1" si="25"/>
        <v>NA</v>
      </c>
      <c r="BN195" s="12" t="str">
        <f t="shared" ca="1" si="26"/>
        <v>NA</v>
      </c>
      <c r="BO195" s="12" t="str">
        <f t="shared" ca="1" si="27"/>
        <v>NA</v>
      </c>
      <c r="BP195" s="5"/>
      <c r="BQ195" s="5"/>
      <c r="BR195" s="5"/>
      <c r="BS195" s="12" t="str">
        <f t="shared" ca="1" si="28"/>
        <v>NA</v>
      </c>
      <c r="BT195" s="12" t="str">
        <f t="shared" ca="1" si="29"/>
        <v>NA</v>
      </c>
      <c r="BU195" s="12" t="str">
        <f t="shared" ca="1" si="30"/>
        <v>NA</v>
      </c>
      <c r="BV195" s="5"/>
      <c r="BW195" s="5"/>
      <c r="BX195" s="12" t="str">
        <f t="shared" ca="1" si="31"/>
        <v>NA</v>
      </c>
      <c r="BY195" s="12" t="str">
        <f t="shared" ca="1" si="32"/>
        <v>NA</v>
      </c>
      <c r="BZ195" s="12" t="str">
        <f t="shared" ca="1" si="33"/>
        <v>NA</v>
      </c>
      <c r="CA195" s="5"/>
    </row>
    <row r="196" spans="1:79" ht="12.75" customHeight="1" x14ac:dyDescent="0.15">
      <c r="A196" s="4">
        <v>2667</v>
      </c>
      <c r="B196" s="5" t="s">
        <v>852</v>
      </c>
      <c r="C196" s="5" t="s">
        <v>852</v>
      </c>
      <c r="D196" s="8" t="s">
        <v>1075</v>
      </c>
      <c r="E196" s="7">
        <v>101772</v>
      </c>
      <c r="F196" s="6" t="s">
        <v>1076</v>
      </c>
      <c r="G196" s="8" t="s">
        <v>1077</v>
      </c>
      <c r="H196" s="8" t="s">
        <v>1075</v>
      </c>
      <c r="I196" s="8">
        <v>2714</v>
      </c>
      <c r="J196" s="8"/>
      <c r="K196" s="8" t="s">
        <v>1078</v>
      </c>
      <c r="L196" s="8" t="s">
        <v>82</v>
      </c>
      <c r="M196" s="7">
        <v>2639</v>
      </c>
      <c r="N196" s="7">
        <v>2642</v>
      </c>
      <c r="O196" s="13">
        <v>42454</v>
      </c>
      <c r="P196" s="10" t="str">
        <f t="shared" ca="1" si="0"/>
        <v>NA</v>
      </c>
      <c r="Q196" s="5" t="str">
        <f t="shared" ca="1" si="1"/>
        <v>NA</v>
      </c>
      <c r="R196" s="5" t="str">
        <f t="shared" ca="1" si="2"/>
        <v>NA</v>
      </c>
      <c r="S196" s="7">
        <f t="shared" ca="1" si="3"/>
        <v>2016</v>
      </c>
      <c r="T196" s="7">
        <f t="shared" ca="1" si="4"/>
        <v>3</v>
      </c>
      <c r="U196" s="7">
        <f t="shared" ca="1" si="5"/>
        <v>25</v>
      </c>
      <c r="V196" s="6" t="s">
        <v>1079</v>
      </c>
      <c r="W196" s="14" t="s">
        <v>96</v>
      </c>
      <c r="X196" s="15"/>
      <c r="Y196" s="5">
        <f ca="1">COUNT(AP196,AV196,BB196,BH196,BM196,#REF!,#REF!)</f>
        <v>1</v>
      </c>
      <c r="Z196" s="6"/>
      <c r="AA196" s="12" t="str">
        <f t="shared" ca="1" si="7"/>
        <v>NA</v>
      </c>
      <c r="AB196" s="12" t="str">
        <f t="shared" ca="1" si="8"/>
        <v>NA</v>
      </c>
      <c r="AC196" s="12" t="str">
        <f t="shared" ca="1" si="9"/>
        <v>NA</v>
      </c>
      <c r="AD196" s="6"/>
      <c r="AE196" s="5"/>
      <c r="AF196" s="6"/>
      <c r="AG196" s="5"/>
      <c r="AH196" s="12" t="str">
        <f t="shared" ca="1" si="10"/>
        <v>NA</v>
      </c>
      <c r="AI196" s="12" t="str">
        <f t="shared" ca="1" si="11"/>
        <v>NA</v>
      </c>
      <c r="AJ196" s="12" t="str">
        <f t="shared" ca="1" si="12"/>
        <v>NA</v>
      </c>
      <c r="AK196" s="5"/>
      <c r="AL196" s="5"/>
      <c r="AM196" s="5"/>
      <c r="AN196" s="5"/>
      <c r="AO196" s="19">
        <v>42975</v>
      </c>
      <c r="AP196" s="12">
        <f t="shared" ca="1" si="13"/>
        <v>2017</v>
      </c>
      <c r="AQ196" s="12">
        <f t="shared" ca="1" si="14"/>
        <v>8</v>
      </c>
      <c r="AR196" s="12">
        <f t="shared" ca="1" si="15"/>
        <v>28</v>
      </c>
      <c r="AS196" s="5" t="s">
        <v>992</v>
      </c>
      <c r="AT196" s="5"/>
      <c r="AU196" s="5"/>
      <c r="AV196" s="12" t="str">
        <f t="shared" ca="1" si="16"/>
        <v>NA</v>
      </c>
      <c r="AW196" s="12" t="str">
        <f t="shared" ca="1" si="17"/>
        <v>NA</v>
      </c>
      <c r="AX196" s="12" t="str">
        <f t="shared" ca="1" si="18"/>
        <v>NA</v>
      </c>
      <c r="AY196" s="5" t="s">
        <v>1075</v>
      </c>
      <c r="AZ196" s="5"/>
      <c r="BA196" s="18"/>
      <c r="BB196" s="12" t="str">
        <f t="shared" ca="1" si="19"/>
        <v>NA</v>
      </c>
      <c r="BC196" s="12" t="str">
        <f t="shared" ca="1" si="20"/>
        <v>NA</v>
      </c>
      <c r="BD196" s="12" t="str">
        <f t="shared" ca="1" si="21"/>
        <v>NA</v>
      </c>
      <c r="BE196" s="5"/>
      <c r="BF196" s="5"/>
      <c r="BG196" s="5"/>
      <c r="BH196" s="12" t="str">
        <f t="shared" ca="1" si="22"/>
        <v>NA</v>
      </c>
      <c r="BI196" s="12" t="str">
        <f t="shared" ca="1" si="23"/>
        <v>NA</v>
      </c>
      <c r="BJ196" s="12" t="str">
        <f t="shared" ca="1" si="24"/>
        <v>NA</v>
      </c>
      <c r="BK196" s="5"/>
      <c r="BL196" s="5"/>
      <c r="BM196" s="12" t="str">
        <f t="shared" ca="1" si="25"/>
        <v>NA</v>
      </c>
      <c r="BN196" s="12" t="str">
        <f t="shared" ca="1" si="26"/>
        <v>NA</v>
      </c>
      <c r="BO196" s="12" t="str">
        <f t="shared" ca="1" si="27"/>
        <v>NA</v>
      </c>
      <c r="BP196" s="5"/>
      <c r="BQ196" s="5"/>
      <c r="BR196" s="5"/>
      <c r="BS196" s="12" t="str">
        <f t="shared" ca="1" si="28"/>
        <v>NA</v>
      </c>
      <c r="BT196" s="12" t="str">
        <f t="shared" ca="1" si="29"/>
        <v>NA</v>
      </c>
      <c r="BU196" s="12" t="str">
        <f t="shared" ca="1" si="30"/>
        <v>NA</v>
      </c>
      <c r="BV196" s="5"/>
      <c r="BW196" s="5"/>
      <c r="BX196" s="12" t="str">
        <f t="shared" ca="1" si="31"/>
        <v>NA</v>
      </c>
      <c r="BY196" s="12" t="str">
        <f t="shared" ca="1" si="32"/>
        <v>NA</v>
      </c>
      <c r="BZ196" s="12" t="str">
        <f t="shared" ca="1" si="33"/>
        <v>NA</v>
      </c>
      <c r="CA196" s="5"/>
    </row>
    <row r="197" spans="1:79" ht="12.75" customHeight="1" x14ac:dyDescent="0.15">
      <c r="A197" s="4">
        <v>2624</v>
      </c>
      <c r="B197" s="5" t="s">
        <v>79</v>
      </c>
      <c r="C197" s="5" t="s">
        <v>79</v>
      </c>
      <c r="D197" s="6" t="s">
        <v>1080</v>
      </c>
      <c r="E197" s="7">
        <v>7285</v>
      </c>
      <c r="F197" s="6" t="s">
        <v>1081</v>
      </c>
      <c r="G197" s="8"/>
      <c r="H197" s="8"/>
      <c r="I197" s="8"/>
      <c r="J197" s="8"/>
      <c r="K197" s="8"/>
      <c r="L197" s="8" t="s">
        <v>82</v>
      </c>
      <c r="M197" s="7">
        <v>2402</v>
      </c>
      <c r="N197" s="7">
        <v>2451</v>
      </c>
      <c r="O197" s="13">
        <v>40251</v>
      </c>
      <c r="P197" s="10">
        <f t="shared" ca="1" si="0"/>
        <v>7.6888888888888891</v>
      </c>
      <c r="Q197" s="5">
        <f t="shared" ca="1" si="1"/>
        <v>92</v>
      </c>
      <c r="R197" s="5">
        <f t="shared" ca="1" si="2"/>
        <v>2810</v>
      </c>
      <c r="S197" s="7">
        <f t="shared" ca="1" si="3"/>
        <v>2010</v>
      </c>
      <c r="T197" s="7">
        <f t="shared" ca="1" si="4"/>
        <v>3</v>
      </c>
      <c r="U197" s="7">
        <f t="shared" ca="1" si="5"/>
        <v>14</v>
      </c>
      <c r="V197" s="6" t="s">
        <v>1082</v>
      </c>
      <c r="W197" s="14" t="s">
        <v>96</v>
      </c>
      <c r="X197" s="15"/>
      <c r="Y197" s="5">
        <f t="shared" ref="Y197:Y199" ca="1" si="37">COUNT(AP197,AV197,BB197,BH197,BM197,BS199,BX199)</f>
        <v>1</v>
      </c>
      <c r="Z197" s="6"/>
      <c r="AA197" s="12" t="str">
        <f t="shared" ca="1" si="7"/>
        <v>NA</v>
      </c>
      <c r="AB197" s="12" t="str">
        <f t="shared" ca="1" si="8"/>
        <v>NA</v>
      </c>
      <c r="AC197" s="12" t="str">
        <f t="shared" ca="1" si="9"/>
        <v>NA</v>
      </c>
      <c r="AD197" s="6"/>
      <c r="AE197" s="5"/>
      <c r="AF197" s="6"/>
      <c r="AG197" s="11">
        <v>43061</v>
      </c>
      <c r="AH197" s="12">
        <f t="shared" ca="1" si="10"/>
        <v>2017</v>
      </c>
      <c r="AI197" s="12">
        <f t="shared" ca="1" si="11"/>
        <v>11</v>
      </c>
      <c r="AJ197" s="12">
        <f t="shared" ca="1" si="12"/>
        <v>22</v>
      </c>
      <c r="AK197" s="8" t="s">
        <v>1083</v>
      </c>
      <c r="AL197" s="8"/>
      <c r="AM197" s="5"/>
      <c r="AN197" s="5"/>
      <c r="AO197" s="11">
        <v>43033</v>
      </c>
      <c r="AP197" s="12">
        <f t="shared" ca="1" si="13"/>
        <v>2017</v>
      </c>
      <c r="AQ197" s="12">
        <f t="shared" ca="1" si="14"/>
        <v>10</v>
      </c>
      <c r="AR197" s="12">
        <f t="shared" ca="1" si="15"/>
        <v>25</v>
      </c>
      <c r="AS197" s="8" t="s">
        <v>1084</v>
      </c>
      <c r="AT197" s="8"/>
      <c r="AU197" s="5"/>
      <c r="AV197" s="12" t="str">
        <f t="shared" ca="1" si="16"/>
        <v>NA</v>
      </c>
      <c r="AW197" s="12" t="str">
        <f t="shared" ca="1" si="17"/>
        <v>NA</v>
      </c>
      <c r="AX197" s="12" t="str">
        <f t="shared" ca="1" si="18"/>
        <v>NA</v>
      </c>
      <c r="AY197" s="5"/>
      <c r="AZ197" s="5"/>
      <c r="BA197" s="6"/>
      <c r="BB197" s="12" t="str">
        <f t="shared" ca="1" si="19"/>
        <v>NA</v>
      </c>
      <c r="BC197" s="12" t="str">
        <f t="shared" ca="1" si="20"/>
        <v>NA</v>
      </c>
      <c r="BD197" s="12" t="str">
        <f t="shared" ca="1" si="21"/>
        <v>NA</v>
      </c>
      <c r="BE197" s="5"/>
      <c r="BF197" s="5"/>
      <c r="BG197" s="5"/>
      <c r="BH197" s="12" t="str">
        <f t="shared" ca="1" si="22"/>
        <v>NA</v>
      </c>
      <c r="BI197" s="12" t="str">
        <f t="shared" ca="1" si="23"/>
        <v>NA</v>
      </c>
      <c r="BJ197" s="12" t="str">
        <f t="shared" ca="1" si="24"/>
        <v>NA</v>
      </c>
      <c r="BK197" s="5"/>
      <c r="BL197" s="5"/>
      <c r="BM197" s="12" t="str">
        <f t="shared" ca="1" si="25"/>
        <v>NA</v>
      </c>
      <c r="BN197" s="12" t="str">
        <f t="shared" ca="1" si="26"/>
        <v>NA</v>
      </c>
      <c r="BO197" s="12" t="str">
        <f t="shared" ca="1" si="27"/>
        <v>NA</v>
      </c>
      <c r="BP197" s="5"/>
      <c r="BQ197" s="5"/>
      <c r="BR197" s="5"/>
      <c r="BS197" s="12" t="str">
        <f t="shared" ca="1" si="28"/>
        <v>NA</v>
      </c>
      <c r="BT197" s="12" t="str">
        <f t="shared" ca="1" si="29"/>
        <v>NA</v>
      </c>
      <c r="BU197" s="12" t="str">
        <f t="shared" ca="1" si="30"/>
        <v>NA</v>
      </c>
      <c r="BV197" s="5"/>
      <c r="BW197" s="5"/>
      <c r="BX197" s="12" t="str">
        <f t="shared" ca="1" si="31"/>
        <v>NA</v>
      </c>
      <c r="BY197" s="12" t="str">
        <f t="shared" ca="1" si="32"/>
        <v>NA</v>
      </c>
      <c r="BZ197" s="12" t="str">
        <f t="shared" ca="1" si="33"/>
        <v>NA</v>
      </c>
      <c r="CA197" s="5"/>
    </row>
    <row r="198" spans="1:79" ht="12.75" customHeight="1" x14ac:dyDescent="0.15">
      <c r="A198" s="4">
        <v>2625</v>
      </c>
      <c r="B198" s="5" t="s">
        <v>79</v>
      </c>
      <c r="C198" s="5" t="s">
        <v>79</v>
      </c>
      <c r="D198" s="6" t="s">
        <v>1085</v>
      </c>
      <c r="E198" s="7">
        <v>111053</v>
      </c>
      <c r="F198" s="6" t="s">
        <v>1086</v>
      </c>
      <c r="G198" s="8"/>
      <c r="H198" s="8"/>
      <c r="I198" s="8"/>
      <c r="J198" s="8"/>
      <c r="K198" s="8"/>
      <c r="L198" s="8" t="s">
        <v>82</v>
      </c>
      <c r="M198" s="7">
        <v>2402</v>
      </c>
      <c r="N198" s="7">
        <v>2451</v>
      </c>
      <c r="O198" s="13">
        <v>40518</v>
      </c>
      <c r="P198" s="10">
        <f t="shared" ca="1" si="0"/>
        <v>9.2416666666666671</v>
      </c>
      <c r="Q198" s="5">
        <f t="shared" ca="1" si="1"/>
        <v>110</v>
      </c>
      <c r="R198" s="5">
        <f t="shared" ca="1" si="2"/>
        <v>3375</v>
      </c>
      <c r="S198" s="7">
        <f t="shared" ca="1" si="3"/>
        <v>2010</v>
      </c>
      <c r="T198" s="7">
        <f t="shared" ca="1" si="4"/>
        <v>12</v>
      </c>
      <c r="U198" s="7">
        <f t="shared" ca="1" si="5"/>
        <v>6</v>
      </c>
      <c r="V198" s="6" t="s">
        <v>1087</v>
      </c>
      <c r="W198" s="14" t="s">
        <v>96</v>
      </c>
      <c r="X198" s="15"/>
      <c r="Y198" s="5">
        <f t="shared" ca="1" si="37"/>
        <v>1</v>
      </c>
      <c r="Z198" s="6"/>
      <c r="AA198" s="12" t="str">
        <f t="shared" ca="1" si="7"/>
        <v>NA</v>
      </c>
      <c r="AB198" s="12" t="str">
        <f t="shared" ca="1" si="8"/>
        <v>NA</v>
      </c>
      <c r="AC198" s="12" t="str">
        <f t="shared" ca="1" si="9"/>
        <v>NA</v>
      </c>
      <c r="AD198" s="6"/>
      <c r="AE198" s="5"/>
      <c r="AF198" s="6"/>
      <c r="AG198" s="11">
        <v>43893</v>
      </c>
      <c r="AH198" s="12">
        <f t="shared" ca="1" si="10"/>
        <v>2020</v>
      </c>
      <c r="AI198" s="12">
        <f t="shared" ca="1" si="11"/>
        <v>3</v>
      </c>
      <c r="AJ198" s="12">
        <f t="shared" ca="1" si="12"/>
        <v>3</v>
      </c>
      <c r="AK198" s="8" t="s">
        <v>1088</v>
      </c>
      <c r="AL198" s="8"/>
      <c r="AM198" s="5"/>
      <c r="AN198" s="5"/>
      <c r="AO198" s="11">
        <v>40829</v>
      </c>
      <c r="AP198" s="12">
        <f t="shared" ca="1" si="13"/>
        <v>2011</v>
      </c>
      <c r="AQ198" s="12">
        <f t="shared" ca="1" si="14"/>
        <v>10</v>
      </c>
      <c r="AR198" s="12">
        <f t="shared" ca="1" si="15"/>
        <v>13</v>
      </c>
      <c r="AS198" s="8" t="s">
        <v>1089</v>
      </c>
      <c r="AT198" s="8"/>
      <c r="AU198" s="5"/>
      <c r="AV198" s="12" t="str">
        <f t="shared" ca="1" si="16"/>
        <v>NA</v>
      </c>
      <c r="AW198" s="12" t="str">
        <f t="shared" ca="1" si="17"/>
        <v>NA</v>
      </c>
      <c r="AX198" s="12" t="str">
        <f t="shared" ca="1" si="18"/>
        <v>NA</v>
      </c>
      <c r="AY198" s="5"/>
      <c r="AZ198" s="5"/>
      <c r="BA198" s="6"/>
      <c r="BB198" s="12" t="str">
        <f t="shared" ca="1" si="19"/>
        <v>NA</v>
      </c>
      <c r="BC198" s="12" t="str">
        <f t="shared" ca="1" si="20"/>
        <v>NA</v>
      </c>
      <c r="BD198" s="12" t="str">
        <f t="shared" ca="1" si="21"/>
        <v>NA</v>
      </c>
      <c r="BE198" s="5"/>
      <c r="BF198" s="5"/>
      <c r="BG198" s="5"/>
      <c r="BH198" s="12" t="str">
        <f t="shared" ca="1" si="22"/>
        <v>NA</v>
      </c>
      <c r="BI198" s="12" t="str">
        <f t="shared" ca="1" si="23"/>
        <v>NA</v>
      </c>
      <c r="BJ198" s="12" t="str">
        <f t="shared" ca="1" si="24"/>
        <v>NA</v>
      </c>
      <c r="BK198" s="5"/>
      <c r="BL198" s="5"/>
      <c r="BM198" s="12" t="str">
        <f t="shared" ca="1" si="25"/>
        <v>NA</v>
      </c>
      <c r="BN198" s="12" t="str">
        <f t="shared" ca="1" si="26"/>
        <v>NA</v>
      </c>
      <c r="BO198" s="12" t="str">
        <f t="shared" ca="1" si="27"/>
        <v>NA</v>
      </c>
      <c r="BP198" s="5"/>
      <c r="BQ198" s="5"/>
      <c r="BR198" s="5"/>
      <c r="BS198" s="12" t="str">
        <f t="shared" ca="1" si="28"/>
        <v>NA</v>
      </c>
      <c r="BT198" s="12" t="str">
        <f t="shared" ca="1" si="29"/>
        <v>NA</v>
      </c>
      <c r="BU198" s="12" t="str">
        <f t="shared" ca="1" si="30"/>
        <v>NA</v>
      </c>
      <c r="BV198" s="5"/>
      <c r="BW198" s="5"/>
      <c r="BX198" s="12" t="str">
        <f t="shared" ca="1" si="31"/>
        <v>NA</v>
      </c>
      <c r="BY198" s="12" t="str">
        <f t="shared" ca="1" si="32"/>
        <v>NA</v>
      </c>
      <c r="BZ198" s="12" t="str">
        <f t="shared" ca="1" si="33"/>
        <v>NA</v>
      </c>
      <c r="CA198" s="5"/>
    </row>
    <row r="199" spans="1:79" ht="12.75" customHeight="1" x14ac:dyDescent="0.15">
      <c r="A199" s="4">
        <v>2626</v>
      </c>
      <c r="B199" s="5" t="s">
        <v>79</v>
      </c>
      <c r="C199" s="5" t="s">
        <v>79</v>
      </c>
      <c r="D199" s="6" t="s">
        <v>1090</v>
      </c>
      <c r="E199" s="7">
        <v>4920</v>
      </c>
      <c r="F199" s="6" t="s">
        <v>1091</v>
      </c>
      <c r="G199" s="8"/>
      <c r="H199" s="8"/>
      <c r="I199" s="8"/>
      <c r="J199" s="8"/>
      <c r="K199" s="8"/>
      <c r="L199" s="8" t="s">
        <v>82</v>
      </c>
      <c r="M199" s="7">
        <v>2402</v>
      </c>
      <c r="N199" s="7">
        <v>2451</v>
      </c>
      <c r="O199" s="13">
        <v>40518</v>
      </c>
      <c r="P199" s="10" t="str">
        <f t="shared" ca="1" si="0"/>
        <v>NA</v>
      </c>
      <c r="Q199" s="5" t="str">
        <f t="shared" ca="1" si="1"/>
        <v>NA</v>
      </c>
      <c r="R199" s="5" t="str">
        <f t="shared" ca="1" si="2"/>
        <v>NA</v>
      </c>
      <c r="S199" s="7">
        <f t="shared" ca="1" si="3"/>
        <v>2010</v>
      </c>
      <c r="T199" s="7">
        <f t="shared" ca="1" si="4"/>
        <v>12</v>
      </c>
      <c r="U199" s="7">
        <f t="shared" ca="1" si="5"/>
        <v>6</v>
      </c>
      <c r="V199" s="6" t="s">
        <v>1092</v>
      </c>
      <c r="W199" s="14" t="s">
        <v>96</v>
      </c>
      <c r="X199" s="15"/>
      <c r="Y199" s="5">
        <f t="shared" ca="1" si="37"/>
        <v>1</v>
      </c>
      <c r="Z199" s="6"/>
      <c r="AA199" s="12" t="str">
        <f t="shared" ca="1" si="7"/>
        <v>NA</v>
      </c>
      <c r="AB199" s="12" t="str">
        <f t="shared" ca="1" si="8"/>
        <v>NA</v>
      </c>
      <c r="AC199" s="12" t="str">
        <f t="shared" ca="1" si="9"/>
        <v>NA</v>
      </c>
      <c r="AD199" s="6"/>
      <c r="AE199" s="5"/>
      <c r="AF199" s="6"/>
      <c r="AG199" s="5"/>
      <c r="AH199" s="12" t="str">
        <f t="shared" ca="1" si="10"/>
        <v>NA</v>
      </c>
      <c r="AI199" s="12" t="str">
        <f t="shared" ca="1" si="11"/>
        <v>NA</v>
      </c>
      <c r="AJ199" s="12" t="str">
        <f t="shared" ca="1" si="12"/>
        <v>NA</v>
      </c>
      <c r="AK199" s="5"/>
      <c r="AL199" s="5"/>
      <c r="AM199" s="5"/>
      <c r="AN199" s="5"/>
      <c r="AO199" s="11">
        <v>41751</v>
      </c>
      <c r="AP199" s="12">
        <f t="shared" ca="1" si="13"/>
        <v>2014</v>
      </c>
      <c r="AQ199" s="12">
        <f t="shared" ca="1" si="14"/>
        <v>4</v>
      </c>
      <c r="AR199" s="12">
        <f t="shared" ca="1" si="15"/>
        <v>22</v>
      </c>
      <c r="AS199" s="8" t="s">
        <v>1093</v>
      </c>
      <c r="AT199" s="8"/>
      <c r="AU199" s="5"/>
      <c r="AV199" s="12" t="str">
        <f t="shared" ca="1" si="16"/>
        <v>NA</v>
      </c>
      <c r="AW199" s="12" t="str">
        <f t="shared" ca="1" si="17"/>
        <v>NA</v>
      </c>
      <c r="AX199" s="12" t="str">
        <f t="shared" ca="1" si="18"/>
        <v>NA</v>
      </c>
      <c r="AY199" s="5"/>
      <c r="AZ199" s="5"/>
      <c r="BA199" s="6"/>
      <c r="BB199" s="12" t="str">
        <f t="shared" ca="1" si="19"/>
        <v>NA</v>
      </c>
      <c r="BC199" s="12" t="str">
        <f t="shared" ca="1" si="20"/>
        <v>NA</v>
      </c>
      <c r="BD199" s="12" t="str">
        <f t="shared" ca="1" si="21"/>
        <v>NA</v>
      </c>
      <c r="BE199" s="5"/>
      <c r="BF199" s="5"/>
      <c r="BG199" s="5"/>
      <c r="BH199" s="12" t="str">
        <f t="shared" ca="1" si="22"/>
        <v>NA</v>
      </c>
      <c r="BI199" s="12" t="str">
        <f t="shared" ca="1" si="23"/>
        <v>NA</v>
      </c>
      <c r="BJ199" s="12" t="str">
        <f t="shared" ca="1" si="24"/>
        <v>NA</v>
      </c>
      <c r="BK199" s="5"/>
      <c r="BL199" s="5"/>
      <c r="BM199" s="12" t="str">
        <f t="shared" ca="1" si="25"/>
        <v>NA</v>
      </c>
      <c r="BN199" s="12" t="str">
        <f t="shared" ca="1" si="26"/>
        <v>NA</v>
      </c>
      <c r="BO199" s="12" t="str">
        <f t="shared" ca="1" si="27"/>
        <v>NA</v>
      </c>
      <c r="BP199" s="5"/>
      <c r="BQ199" s="5"/>
      <c r="BR199" s="5"/>
      <c r="BS199" s="12" t="str">
        <f t="shared" ca="1" si="28"/>
        <v>NA</v>
      </c>
      <c r="BT199" s="12" t="str">
        <f t="shared" ca="1" si="29"/>
        <v>NA</v>
      </c>
      <c r="BU199" s="12" t="str">
        <f t="shared" ca="1" si="30"/>
        <v>NA</v>
      </c>
      <c r="BV199" s="5"/>
      <c r="BW199" s="5"/>
      <c r="BX199" s="12" t="str">
        <f t="shared" ca="1" si="31"/>
        <v>NA</v>
      </c>
      <c r="BY199" s="12" t="str">
        <f t="shared" ca="1" si="32"/>
        <v>NA</v>
      </c>
      <c r="BZ199" s="12" t="str">
        <f t="shared" ca="1" si="33"/>
        <v>NA</v>
      </c>
      <c r="CA199" s="5"/>
    </row>
    <row r="200" spans="1:79" ht="12.75" customHeight="1" x14ac:dyDescent="0.15">
      <c r="A200" s="4">
        <v>2714</v>
      </c>
      <c r="B200" s="5" t="s">
        <v>852</v>
      </c>
      <c r="C200" s="5" t="s">
        <v>852</v>
      </c>
      <c r="D200" s="6" t="s">
        <v>1075</v>
      </c>
      <c r="E200" s="7">
        <v>7878</v>
      </c>
      <c r="F200" s="6" t="s">
        <v>1094</v>
      </c>
      <c r="G200" s="8" t="s">
        <v>1077</v>
      </c>
      <c r="H200" s="6" t="s">
        <v>1075</v>
      </c>
      <c r="I200" s="8">
        <v>2667</v>
      </c>
      <c r="J200" s="8"/>
      <c r="K200" s="8"/>
      <c r="L200" s="8" t="s">
        <v>82</v>
      </c>
      <c r="M200" s="7">
        <v>7403</v>
      </c>
      <c r="N200" s="7">
        <v>7508</v>
      </c>
      <c r="O200" s="13"/>
      <c r="P200" s="10"/>
      <c r="Q200" s="5"/>
      <c r="R200" s="5"/>
      <c r="S200" s="7"/>
      <c r="T200" s="7"/>
      <c r="U200" s="7"/>
      <c r="V200" s="6" t="s">
        <v>1095</v>
      </c>
      <c r="W200" s="14" t="s">
        <v>96</v>
      </c>
      <c r="X200" s="15"/>
      <c r="Y200" s="5"/>
      <c r="Z200" s="6"/>
      <c r="AA200" s="12"/>
      <c r="AB200" s="12"/>
      <c r="AC200" s="12"/>
      <c r="AD200" s="6"/>
      <c r="AE200" s="5"/>
      <c r="AF200" s="6"/>
      <c r="AG200" s="5"/>
      <c r="AH200" s="12"/>
      <c r="AI200" s="12"/>
      <c r="AJ200" s="12"/>
      <c r="AK200" s="5"/>
      <c r="AL200" s="5"/>
      <c r="AM200" s="5"/>
      <c r="AN200" s="5"/>
      <c r="AO200" s="11"/>
      <c r="AP200" s="12"/>
      <c r="AQ200" s="12"/>
      <c r="AR200" s="12"/>
      <c r="AS200" s="6" t="s">
        <v>1075</v>
      </c>
      <c r="AT200" s="8"/>
      <c r="AU200" s="5"/>
      <c r="AV200" s="12"/>
      <c r="AW200" s="12"/>
      <c r="AX200" s="12"/>
      <c r="AY200" s="24"/>
      <c r="AZ200" s="5"/>
      <c r="BA200" s="5"/>
      <c r="BB200" s="12"/>
      <c r="BC200" s="12"/>
      <c r="BD200" s="12"/>
      <c r="BE200" s="5"/>
      <c r="BF200" s="5"/>
      <c r="BG200" s="5"/>
      <c r="BH200" s="12"/>
      <c r="BI200" s="12"/>
      <c r="BJ200" s="12"/>
      <c r="BK200" s="5"/>
      <c r="BL200" s="5"/>
      <c r="BM200" s="12"/>
      <c r="BN200" s="12"/>
      <c r="BO200" s="12"/>
      <c r="BP200" s="5"/>
      <c r="BQ200" s="5"/>
      <c r="BR200" s="5"/>
      <c r="BS200" s="12"/>
      <c r="BT200" s="12"/>
      <c r="BU200" s="12"/>
      <c r="BV200" s="5"/>
      <c r="BW200" s="5"/>
      <c r="BX200" s="12"/>
      <c r="BY200" s="12"/>
      <c r="BZ200" s="12"/>
      <c r="CA200" s="5"/>
    </row>
    <row r="201" spans="1:79" ht="12.75" customHeight="1" x14ac:dyDescent="0.15">
      <c r="A201" s="4">
        <v>2627</v>
      </c>
      <c r="B201" s="5" t="s">
        <v>79</v>
      </c>
      <c r="C201" s="5" t="s">
        <v>79</v>
      </c>
      <c r="D201" s="6" t="s">
        <v>1096</v>
      </c>
      <c r="E201" s="6" t="s">
        <v>1097</v>
      </c>
      <c r="F201" s="6" t="s">
        <v>1098</v>
      </c>
      <c r="G201" s="8"/>
      <c r="H201" s="8"/>
      <c r="I201" s="8"/>
      <c r="J201" s="8"/>
      <c r="K201" s="8"/>
      <c r="L201" s="8" t="s">
        <v>82</v>
      </c>
      <c r="M201" s="7">
        <v>2208</v>
      </c>
      <c r="N201" s="7">
        <v>2418</v>
      </c>
      <c r="O201" s="13">
        <v>40446</v>
      </c>
      <c r="P201" s="10">
        <f t="shared" ref="P201:P269" ca="1" si="38">IF(AND(CELL("type", AG201)="v", CELL("type", O201)="v"), YEARFRAC(AG201,O201), "NA")</f>
        <v>0</v>
      </c>
      <c r="Q201" s="5">
        <f t="shared" ref="Q201:Q269" ca="1" si="39">IF(AND(CELL("type", AG201)="v", CELL("type", O201)="v"), DATEDIF(O201,AG201, "m"), "NA")</f>
        <v>0</v>
      </c>
      <c r="R201" s="5">
        <f t="shared" ref="R201:R269" ca="1" si="40">IF(AND(CELL("type", AG201)="v", CELL("type", O201)="v"), DATEDIF(O201,AG201, "d"), "NA")</f>
        <v>0</v>
      </c>
      <c r="S201" s="7">
        <f t="shared" ref="S201:S269" ca="1" si="41">IF(CELL("type", O201)="v", YEAR(O201), "NA")</f>
        <v>2010</v>
      </c>
      <c r="T201" s="7">
        <f t="shared" ref="T201:T269" ca="1" si="42">IF(CELL("type", O201)="v", MONTH(O201), "NA")</f>
        <v>9</v>
      </c>
      <c r="U201" s="7">
        <f t="shared" ref="U201:U269" ca="1" si="43">IF(CELL("type", O201)="v", DAY(O201), "NA")</f>
        <v>25</v>
      </c>
      <c r="V201" s="6" t="s">
        <v>1099</v>
      </c>
      <c r="W201" s="14" t="s">
        <v>96</v>
      </c>
      <c r="X201" s="15"/>
      <c r="Y201" s="5">
        <f t="shared" ref="Y201:Y202" ca="1" si="44">COUNT(AP201,AV201,BB201,BH201,BM201,BS203,BX203)</f>
        <v>0</v>
      </c>
      <c r="Z201" s="6"/>
      <c r="AA201" s="12" t="str">
        <f t="shared" ref="AA201:AA269" ca="1" si="45">IF(CELL("type", Z201)="v", YEAR(Z201), "NA")</f>
        <v>NA</v>
      </c>
      <c r="AB201" s="12" t="str">
        <f t="shared" ref="AB201:AB269" ca="1" si="46">IF(CELL("type", Z201)="v", MONTH(Z201), "NA")</f>
        <v>NA</v>
      </c>
      <c r="AC201" s="12" t="str">
        <f t="shared" ref="AC201:AC269" ca="1" si="47">IF(CELL("type", Z201)="v", DAY(Z201), "NA")</f>
        <v>NA</v>
      </c>
      <c r="AD201" s="6"/>
      <c r="AE201" s="5"/>
      <c r="AF201" s="6"/>
      <c r="AG201" s="11">
        <v>40446</v>
      </c>
      <c r="AH201" s="12">
        <f t="shared" ref="AH201:AH269" ca="1" si="48">IF(CELL("type", AG201)="v", YEAR(AG201), "NA")</f>
        <v>2010</v>
      </c>
      <c r="AI201" s="12">
        <f t="shared" ref="AI201:AI269" ca="1" si="49">IF(CELL("type", AG201)="v", MONTH(AG201), "NA")</f>
        <v>9</v>
      </c>
      <c r="AJ201" s="12">
        <f t="shared" ref="AJ201:AJ269" ca="1" si="50">IF(CELL("type", AG201)="v", DAY(AG201), "NA")</f>
        <v>25</v>
      </c>
      <c r="AK201" s="8" t="s">
        <v>1100</v>
      </c>
      <c r="AL201" s="8"/>
      <c r="AM201" s="5"/>
      <c r="AN201" s="5"/>
      <c r="AO201" s="5"/>
      <c r="AP201" s="12" t="str">
        <f t="shared" ref="AP201:AP269" ca="1" si="51">IF(CELL("type", AO201)="v", YEAR(AO201), "NA")</f>
        <v>NA</v>
      </c>
      <c r="AQ201" s="12" t="str">
        <f t="shared" ref="AQ201:AQ269" ca="1" si="52">IF(CELL("type", AO201)="v", MONTH(AO201), "NA")</f>
        <v>NA</v>
      </c>
      <c r="AR201" s="12" t="str">
        <f t="shared" ref="AR201:AR269" ca="1" si="53">IF(CELL("type", AO201)="v", DAY(AO201), "NA")</f>
        <v>NA</v>
      </c>
      <c r="AS201" s="5"/>
      <c r="AT201" s="5"/>
      <c r="AU201" s="5"/>
      <c r="AV201" s="12" t="str">
        <f t="shared" ref="AV201:AV269" ca="1" si="54">IF(CELL("type", AU201)="v", YEAR(AU201), "NA")</f>
        <v>NA</v>
      </c>
      <c r="AW201" s="12" t="str">
        <f t="shared" ref="AW201:AW269" ca="1" si="55">IF(CELL("type", AU201)="v", MONTH(AU201), "NA")</f>
        <v>NA</v>
      </c>
      <c r="AX201" s="12" t="str">
        <f t="shared" ref="AX201:AX269" ca="1" si="56">IF(CELL("type", AU201)="v", DAY(AU201), "NA")</f>
        <v>NA</v>
      </c>
      <c r="AY201" s="5"/>
      <c r="AZ201" s="5"/>
      <c r="BA201" s="6"/>
      <c r="BB201" s="12" t="str">
        <f t="shared" ref="BB201:BB269" ca="1" si="57">IF(CELL("type", BA201)="v", YEAR(BA201), "NA")</f>
        <v>NA</v>
      </c>
      <c r="BC201" s="12" t="str">
        <f t="shared" ref="BC201:BC269" ca="1" si="58">IF(CELL("type", BA201)="v", MONTH(BA201), "NA")</f>
        <v>NA</v>
      </c>
      <c r="BD201" s="12" t="str">
        <f t="shared" ref="BD201:BD269" ca="1" si="59">IF(CELL("type", BA201)="v", DAY(BA201), "NA")</f>
        <v>NA</v>
      </c>
      <c r="BE201" s="5"/>
      <c r="BF201" s="5"/>
      <c r="BG201" s="5"/>
      <c r="BH201" s="12" t="str">
        <f t="shared" ref="BH201:BH269" ca="1" si="60">IF(CELL("type", BG201)="v", YEAR(BG201), "NA")</f>
        <v>NA</v>
      </c>
      <c r="BI201" s="12" t="str">
        <f t="shared" ref="BI201:BI269" ca="1" si="61">IF(CELL("type", BG201)="v", MONTH(BG201), "NA")</f>
        <v>NA</v>
      </c>
      <c r="BJ201" s="12" t="str">
        <f t="shared" ref="BJ201:BJ269" ca="1" si="62">IF(CELL("type", BG201)="v", DAY(BG201), "NA")</f>
        <v>NA</v>
      </c>
      <c r="BK201" s="5"/>
      <c r="BL201" s="5"/>
      <c r="BM201" s="12" t="str">
        <f t="shared" ref="BM201:BM269" ca="1" si="63">IF(CELL("type", BL201)="v", YEAR(BL201), "NA")</f>
        <v>NA</v>
      </c>
      <c r="BN201" s="12" t="str">
        <f t="shared" ref="BN201:BN269" ca="1" si="64">IF(CELL("type", BL201)="v", MONTH(BL201), "NA")</f>
        <v>NA</v>
      </c>
      <c r="BO201" s="12" t="str">
        <f t="shared" ref="BO201:BO269" ca="1" si="65">IF(CELL("type", BL201)="v", DAY(BL201), "NA")</f>
        <v>NA</v>
      </c>
      <c r="BP201" s="5"/>
      <c r="BQ201" s="5"/>
      <c r="BR201" s="5"/>
      <c r="BS201" s="12" t="str">
        <f t="shared" ref="BS201:BS269" ca="1" si="66">IF(CELL("type", BR201)="v", YEAR(BR201), "NA")</f>
        <v>NA</v>
      </c>
      <c r="BT201" s="12" t="str">
        <f t="shared" ref="BT201:BT269" ca="1" si="67">IF(CELL("type", BR201)="v", MONTH(BR201), "NA")</f>
        <v>NA</v>
      </c>
      <c r="BU201" s="12" t="str">
        <f t="shared" ref="BU201:BU269" ca="1" si="68">IF(CELL("type", BR201)="v", DAY(BR201), "NA")</f>
        <v>NA</v>
      </c>
      <c r="BV201" s="5"/>
      <c r="BW201" s="5"/>
      <c r="BX201" s="12" t="str">
        <f t="shared" ref="BX201:BX269" ca="1" si="69">IF(CELL("type", BW201)="v", YEAR(BW201), "NA")</f>
        <v>NA</v>
      </c>
      <c r="BY201" s="12" t="str">
        <f t="shared" ref="BY201:BY269" ca="1" si="70">IF(CELL("type", BW201)="v", MONTH(BW201), "NA")</f>
        <v>NA</v>
      </c>
      <c r="BZ201" s="12" t="str">
        <f t="shared" ref="BZ201:BZ269" ca="1" si="71">IF(CELL("type", BW201)="v", DAY(BW201), "NA")</f>
        <v>NA</v>
      </c>
      <c r="CA201" s="5"/>
    </row>
    <row r="202" spans="1:79" ht="12.75" customHeight="1" x14ac:dyDescent="0.15">
      <c r="A202" s="4">
        <v>2628</v>
      </c>
      <c r="B202" s="5" t="s">
        <v>79</v>
      </c>
      <c r="C202" s="5" t="s">
        <v>79</v>
      </c>
      <c r="D202" s="6" t="s">
        <v>1101</v>
      </c>
      <c r="E202" s="6" t="s">
        <v>1102</v>
      </c>
      <c r="F202" s="6" t="s">
        <v>1103</v>
      </c>
      <c r="G202" s="8"/>
      <c r="H202" s="8"/>
      <c r="I202" s="8"/>
      <c r="J202" s="8"/>
      <c r="K202" s="8"/>
      <c r="L202" s="8" t="s">
        <v>82</v>
      </c>
      <c r="M202" s="7">
        <v>2208</v>
      </c>
      <c r="N202" s="7">
        <v>2418</v>
      </c>
      <c r="O202" s="13">
        <v>40446</v>
      </c>
      <c r="P202" s="10">
        <f t="shared" ca="1" si="38"/>
        <v>0</v>
      </c>
      <c r="Q202" s="5">
        <f t="shared" ca="1" si="39"/>
        <v>0</v>
      </c>
      <c r="R202" s="5">
        <f t="shared" ca="1" si="40"/>
        <v>0</v>
      </c>
      <c r="S202" s="7">
        <f t="shared" ca="1" si="41"/>
        <v>2010</v>
      </c>
      <c r="T202" s="7">
        <f t="shared" ca="1" si="42"/>
        <v>9</v>
      </c>
      <c r="U202" s="7">
        <f t="shared" ca="1" si="43"/>
        <v>25</v>
      </c>
      <c r="V202" s="6" t="s">
        <v>1104</v>
      </c>
      <c r="W202" s="14" t="s">
        <v>96</v>
      </c>
      <c r="X202" s="15"/>
      <c r="Y202" s="5">
        <f t="shared" ca="1" si="44"/>
        <v>0</v>
      </c>
      <c r="Z202" s="6"/>
      <c r="AA202" s="12" t="str">
        <f t="shared" ca="1" si="45"/>
        <v>NA</v>
      </c>
      <c r="AB202" s="12" t="str">
        <f t="shared" ca="1" si="46"/>
        <v>NA</v>
      </c>
      <c r="AC202" s="12" t="str">
        <f t="shared" ca="1" si="47"/>
        <v>NA</v>
      </c>
      <c r="AD202" s="6"/>
      <c r="AE202" s="5"/>
      <c r="AF202" s="6"/>
      <c r="AG202" s="11">
        <v>40446</v>
      </c>
      <c r="AH202" s="12">
        <f t="shared" ca="1" si="48"/>
        <v>2010</v>
      </c>
      <c r="AI202" s="12">
        <f t="shared" ca="1" si="49"/>
        <v>9</v>
      </c>
      <c r="AJ202" s="12">
        <f t="shared" ca="1" si="50"/>
        <v>25</v>
      </c>
      <c r="AK202" s="8" t="s">
        <v>1105</v>
      </c>
      <c r="AL202" s="8"/>
      <c r="AM202" s="5"/>
      <c r="AN202" s="5"/>
      <c r="AO202" s="5"/>
      <c r="AP202" s="12" t="str">
        <f t="shared" ca="1" si="51"/>
        <v>NA</v>
      </c>
      <c r="AQ202" s="12" t="str">
        <f t="shared" ca="1" si="52"/>
        <v>NA</v>
      </c>
      <c r="AR202" s="12" t="str">
        <f t="shared" ca="1" si="53"/>
        <v>NA</v>
      </c>
      <c r="AS202" s="5"/>
      <c r="AT202" s="5"/>
      <c r="AU202" s="5"/>
      <c r="AV202" s="12" t="str">
        <f t="shared" ca="1" si="54"/>
        <v>NA</v>
      </c>
      <c r="AW202" s="12" t="str">
        <f t="shared" ca="1" si="55"/>
        <v>NA</v>
      </c>
      <c r="AX202" s="12" t="str">
        <f t="shared" ca="1" si="56"/>
        <v>NA</v>
      </c>
      <c r="AY202" s="5"/>
      <c r="AZ202" s="5"/>
      <c r="BA202" s="6"/>
      <c r="BB202" s="12" t="str">
        <f t="shared" ca="1" si="57"/>
        <v>NA</v>
      </c>
      <c r="BC202" s="12" t="str">
        <f t="shared" ca="1" si="58"/>
        <v>NA</v>
      </c>
      <c r="BD202" s="12" t="str">
        <f t="shared" ca="1" si="59"/>
        <v>NA</v>
      </c>
      <c r="BE202" s="5"/>
      <c r="BF202" s="5"/>
      <c r="BG202" s="5"/>
      <c r="BH202" s="12" t="str">
        <f t="shared" ca="1" si="60"/>
        <v>NA</v>
      </c>
      <c r="BI202" s="12" t="str">
        <f t="shared" ca="1" si="61"/>
        <v>NA</v>
      </c>
      <c r="BJ202" s="12" t="str">
        <f t="shared" ca="1" si="62"/>
        <v>NA</v>
      </c>
      <c r="BK202" s="5"/>
      <c r="BL202" s="5"/>
      <c r="BM202" s="12" t="str">
        <f t="shared" ca="1" si="63"/>
        <v>NA</v>
      </c>
      <c r="BN202" s="12" t="str">
        <f t="shared" ca="1" si="64"/>
        <v>NA</v>
      </c>
      <c r="BO202" s="12" t="str">
        <f t="shared" ca="1" si="65"/>
        <v>NA</v>
      </c>
      <c r="BP202" s="5"/>
      <c r="BQ202" s="5"/>
      <c r="BR202" s="5"/>
      <c r="BS202" s="12" t="str">
        <f t="shared" ca="1" si="66"/>
        <v>NA</v>
      </c>
      <c r="BT202" s="12" t="str">
        <f t="shared" ca="1" si="67"/>
        <v>NA</v>
      </c>
      <c r="BU202" s="12" t="str">
        <f t="shared" ca="1" si="68"/>
        <v>NA</v>
      </c>
      <c r="BV202" s="5"/>
      <c r="BW202" s="5"/>
      <c r="BX202" s="12" t="str">
        <f t="shared" ca="1" si="69"/>
        <v>NA</v>
      </c>
      <c r="BY202" s="12" t="str">
        <f t="shared" ca="1" si="70"/>
        <v>NA</v>
      </c>
      <c r="BZ202" s="12" t="str">
        <f t="shared" ca="1" si="71"/>
        <v>NA</v>
      </c>
      <c r="CA202" s="5"/>
    </row>
    <row r="203" spans="1:79" ht="12.75" customHeight="1" x14ac:dyDescent="0.15">
      <c r="A203" s="4">
        <v>2629</v>
      </c>
      <c r="B203" s="5" t="s">
        <v>79</v>
      </c>
      <c r="C203" s="5" t="s">
        <v>79</v>
      </c>
      <c r="D203" s="6" t="s">
        <v>1106</v>
      </c>
      <c r="E203" s="6" t="s">
        <v>1107</v>
      </c>
      <c r="F203" s="6" t="s">
        <v>1108</v>
      </c>
      <c r="G203" s="8"/>
      <c r="H203" s="8"/>
      <c r="I203" s="8"/>
      <c r="J203" s="8"/>
      <c r="K203" s="8"/>
      <c r="L203" s="8" t="s">
        <v>82</v>
      </c>
      <c r="M203" s="7">
        <v>2208</v>
      </c>
      <c r="N203" s="7">
        <v>2418</v>
      </c>
      <c r="O203" s="13">
        <v>40446</v>
      </c>
      <c r="P203" s="10">
        <f t="shared" ca="1" si="38"/>
        <v>0</v>
      </c>
      <c r="Q203" s="5">
        <f t="shared" ca="1" si="39"/>
        <v>0</v>
      </c>
      <c r="R203" s="5">
        <f t="shared" ca="1" si="40"/>
        <v>0</v>
      </c>
      <c r="S203" s="7">
        <f t="shared" ca="1" si="41"/>
        <v>2010</v>
      </c>
      <c r="T203" s="7">
        <f t="shared" ca="1" si="42"/>
        <v>9</v>
      </c>
      <c r="U203" s="7">
        <f t="shared" ca="1" si="43"/>
        <v>25</v>
      </c>
      <c r="V203" s="6" t="s">
        <v>1109</v>
      </c>
      <c r="W203" s="14" t="s">
        <v>96</v>
      </c>
      <c r="X203" s="15"/>
      <c r="Y203" s="5">
        <f ca="1">COUNT(AP203,AV203,BB203,BH203,BM203,#REF!,#REF!)</f>
        <v>0</v>
      </c>
      <c r="Z203" s="6"/>
      <c r="AA203" s="12" t="str">
        <f t="shared" ca="1" si="45"/>
        <v>NA</v>
      </c>
      <c r="AB203" s="12" t="str">
        <f t="shared" ca="1" si="46"/>
        <v>NA</v>
      </c>
      <c r="AC203" s="12" t="str">
        <f t="shared" ca="1" si="47"/>
        <v>NA</v>
      </c>
      <c r="AD203" s="6"/>
      <c r="AE203" s="5"/>
      <c r="AF203" s="6"/>
      <c r="AG203" s="11">
        <v>40446</v>
      </c>
      <c r="AH203" s="12">
        <f t="shared" ca="1" si="48"/>
        <v>2010</v>
      </c>
      <c r="AI203" s="12">
        <f t="shared" ca="1" si="49"/>
        <v>9</v>
      </c>
      <c r="AJ203" s="12">
        <f t="shared" ca="1" si="50"/>
        <v>25</v>
      </c>
      <c r="AK203" s="8" t="s">
        <v>1110</v>
      </c>
      <c r="AL203" s="8"/>
      <c r="AM203" s="5"/>
      <c r="AN203" s="5"/>
      <c r="AO203" s="5"/>
      <c r="AP203" s="12" t="str">
        <f t="shared" ca="1" si="51"/>
        <v>NA</v>
      </c>
      <c r="AQ203" s="12" t="str">
        <f t="shared" ca="1" si="52"/>
        <v>NA</v>
      </c>
      <c r="AR203" s="12" t="str">
        <f t="shared" ca="1" si="53"/>
        <v>NA</v>
      </c>
      <c r="AS203" s="5"/>
      <c r="AT203" s="5"/>
      <c r="AU203" s="5"/>
      <c r="AV203" s="12" t="str">
        <f t="shared" ca="1" si="54"/>
        <v>NA</v>
      </c>
      <c r="AW203" s="12" t="str">
        <f t="shared" ca="1" si="55"/>
        <v>NA</v>
      </c>
      <c r="AX203" s="12" t="str">
        <f t="shared" ca="1" si="56"/>
        <v>NA</v>
      </c>
      <c r="AY203" s="5"/>
      <c r="AZ203" s="5"/>
      <c r="BA203" s="6"/>
      <c r="BB203" s="12" t="str">
        <f t="shared" ca="1" si="57"/>
        <v>NA</v>
      </c>
      <c r="BC203" s="12" t="str">
        <f t="shared" ca="1" si="58"/>
        <v>NA</v>
      </c>
      <c r="BD203" s="12" t="str">
        <f t="shared" ca="1" si="59"/>
        <v>NA</v>
      </c>
      <c r="BE203" s="5"/>
      <c r="BF203" s="5"/>
      <c r="BG203" s="5"/>
      <c r="BH203" s="12" t="str">
        <f t="shared" ca="1" si="60"/>
        <v>NA</v>
      </c>
      <c r="BI203" s="12" t="str">
        <f t="shared" ca="1" si="61"/>
        <v>NA</v>
      </c>
      <c r="BJ203" s="12" t="str">
        <f t="shared" ca="1" si="62"/>
        <v>NA</v>
      </c>
      <c r="BK203" s="5"/>
      <c r="BL203" s="5"/>
      <c r="BM203" s="12" t="str">
        <f t="shared" ca="1" si="63"/>
        <v>NA</v>
      </c>
      <c r="BN203" s="12" t="str">
        <f t="shared" ca="1" si="64"/>
        <v>NA</v>
      </c>
      <c r="BO203" s="12" t="str">
        <f t="shared" ca="1" si="65"/>
        <v>NA</v>
      </c>
      <c r="BP203" s="5"/>
      <c r="BQ203" s="5"/>
      <c r="BR203" s="5"/>
      <c r="BS203" s="12" t="str">
        <f t="shared" ca="1" si="66"/>
        <v>NA</v>
      </c>
      <c r="BT203" s="12" t="str">
        <f t="shared" ca="1" si="67"/>
        <v>NA</v>
      </c>
      <c r="BU203" s="12" t="str">
        <f t="shared" ca="1" si="68"/>
        <v>NA</v>
      </c>
      <c r="BV203" s="5"/>
      <c r="BW203" s="5"/>
      <c r="BX203" s="12" t="str">
        <f t="shared" ca="1" si="69"/>
        <v>NA</v>
      </c>
      <c r="BY203" s="12" t="str">
        <f t="shared" ca="1" si="70"/>
        <v>NA</v>
      </c>
      <c r="BZ203" s="12" t="str">
        <f t="shared" ca="1" si="71"/>
        <v>NA</v>
      </c>
      <c r="CA203" s="5"/>
    </row>
    <row r="204" spans="1:79" ht="12.75" customHeight="1" x14ac:dyDescent="0.15">
      <c r="A204" s="4">
        <v>2659</v>
      </c>
      <c r="B204" s="5" t="s">
        <v>852</v>
      </c>
      <c r="C204" s="5" t="s">
        <v>852</v>
      </c>
      <c r="D204" s="6" t="s">
        <v>1111</v>
      </c>
      <c r="E204" s="7">
        <v>216050</v>
      </c>
      <c r="F204" s="6" t="s">
        <v>1112</v>
      </c>
      <c r="G204" s="8"/>
      <c r="H204" s="8"/>
      <c r="I204" s="8">
        <v>2676</v>
      </c>
      <c r="J204" s="8"/>
      <c r="K204" s="8"/>
      <c r="L204" s="8" t="s">
        <v>82</v>
      </c>
      <c r="M204" s="7">
        <v>2450</v>
      </c>
      <c r="N204" s="7">
        <v>2414</v>
      </c>
      <c r="O204" s="13">
        <v>42142</v>
      </c>
      <c r="P204" s="10" t="str">
        <f t="shared" ca="1" si="38"/>
        <v>NA</v>
      </c>
      <c r="Q204" s="5" t="str">
        <f t="shared" ca="1" si="39"/>
        <v>NA</v>
      </c>
      <c r="R204" s="5" t="str">
        <f t="shared" ca="1" si="40"/>
        <v>NA</v>
      </c>
      <c r="S204" s="7">
        <f t="shared" ca="1" si="41"/>
        <v>2015</v>
      </c>
      <c r="T204" s="7">
        <f t="shared" ca="1" si="42"/>
        <v>5</v>
      </c>
      <c r="U204" s="7">
        <f t="shared" ca="1" si="43"/>
        <v>18</v>
      </c>
      <c r="V204" s="6" t="s">
        <v>1113</v>
      </c>
      <c r="W204" s="14" t="s">
        <v>96</v>
      </c>
      <c r="X204" s="15"/>
      <c r="Y204" s="5">
        <f t="shared" ref="Y204:Y205" ca="1" si="72">COUNT(AP204,AV204,BB204,BH204,BM204,BS206,BX206)</f>
        <v>1</v>
      </c>
      <c r="Z204" s="6"/>
      <c r="AA204" s="12" t="str">
        <f t="shared" ca="1" si="45"/>
        <v>NA</v>
      </c>
      <c r="AB204" s="12" t="str">
        <f t="shared" ca="1" si="46"/>
        <v>NA</v>
      </c>
      <c r="AC204" s="12" t="str">
        <f t="shared" ca="1" si="47"/>
        <v>NA</v>
      </c>
      <c r="AD204" s="6"/>
      <c r="AE204" s="5"/>
      <c r="AF204" s="6"/>
      <c r="AG204" s="5"/>
      <c r="AH204" s="12" t="str">
        <f t="shared" ca="1" si="48"/>
        <v>NA</v>
      </c>
      <c r="AI204" s="12" t="str">
        <f t="shared" ca="1" si="49"/>
        <v>NA</v>
      </c>
      <c r="AJ204" s="12" t="str">
        <f t="shared" ca="1" si="50"/>
        <v>NA</v>
      </c>
      <c r="AK204" s="5"/>
      <c r="AL204" s="5"/>
      <c r="AM204" s="5"/>
      <c r="AN204" s="5"/>
      <c r="AO204" s="11">
        <v>42524</v>
      </c>
      <c r="AP204" s="12">
        <f t="shared" ca="1" si="51"/>
        <v>2016</v>
      </c>
      <c r="AQ204" s="12">
        <f t="shared" ca="1" si="52"/>
        <v>6</v>
      </c>
      <c r="AR204" s="12">
        <f t="shared" ca="1" si="53"/>
        <v>3</v>
      </c>
      <c r="AS204" s="8" t="s">
        <v>1114</v>
      </c>
      <c r="AT204" s="8"/>
      <c r="AU204" s="5"/>
      <c r="AV204" s="12" t="str">
        <f t="shared" ca="1" si="54"/>
        <v>NA</v>
      </c>
      <c r="AW204" s="12" t="str">
        <f t="shared" ca="1" si="55"/>
        <v>NA</v>
      </c>
      <c r="AX204" s="12" t="str">
        <f t="shared" ca="1" si="56"/>
        <v>NA</v>
      </c>
      <c r="AY204" s="5"/>
      <c r="AZ204" s="5"/>
      <c r="BA204" s="5"/>
      <c r="BB204" s="12" t="str">
        <f t="shared" ca="1" si="57"/>
        <v>NA</v>
      </c>
      <c r="BC204" s="12" t="str">
        <f t="shared" ca="1" si="58"/>
        <v>NA</v>
      </c>
      <c r="BD204" s="12" t="str">
        <f t="shared" ca="1" si="59"/>
        <v>NA</v>
      </c>
      <c r="BE204" s="5"/>
      <c r="BF204" s="5"/>
      <c r="BG204" s="5"/>
      <c r="BH204" s="12" t="str">
        <f t="shared" ca="1" si="60"/>
        <v>NA</v>
      </c>
      <c r="BI204" s="12" t="str">
        <f t="shared" ca="1" si="61"/>
        <v>NA</v>
      </c>
      <c r="BJ204" s="12" t="str">
        <f t="shared" ca="1" si="62"/>
        <v>NA</v>
      </c>
      <c r="BK204" s="5"/>
      <c r="BL204" s="5"/>
      <c r="BM204" s="12" t="str">
        <f t="shared" ca="1" si="63"/>
        <v>NA</v>
      </c>
      <c r="BN204" s="12" t="str">
        <f t="shared" ca="1" si="64"/>
        <v>NA</v>
      </c>
      <c r="BO204" s="12" t="str">
        <f t="shared" ca="1" si="65"/>
        <v>NA</v>
      </c>
      <c r="BP204" s="5"/>
      <c r="BQ204" s="5"/>
      <c r="BR204" s="5"/>
      <c r="BS204" s="12" t="str">
        <f t="shared" ca="1" si="66"/>
        <v>NA</v>
      </c>
      <c r="BT204" s="12" t="str">
        <f t="shared" ca="1" si="67"/>
        <v>NA</v>
      </c>
      <c r="BU204" s="12" t="str">
        <f t="shared" ca="1" si="68"/>
        <v>NA</v>
      </c>
      <c r="BV204" s="5"/>
      <c r="BW204" s="5"/>
      <c r="BX204" s="12" t="str">
        <f t="shared" ca="1" si="69"/>
        <v>NA</v>
      </c>
      <c r="BY204" s="12" t="str">
        <f t="shared" ca="1" si="70"/>
        <v>NA</v>
      </c>
      <c r="BZ204" s="12" t="str">
        <f t="shared" ca="1" si="71"/>
        <v>NA</v>
      </c>
      <c r="CA204" s="5"/>
    </row>
    <row r="205" spans="1:79" ht="12.75" customHeight="1" x14ac:dyDescent="0.15">
      <c r="A205" s="4">
        <v>2631</v>
      </c>
      <c r="B205" s="5" t="s">
        <v>79</v>
      </c>
      <c r="C205" s="5" t="s">
        <v>79</v>
      </c>
      <c r="D205" s="6" t="s">
        <v>1115</v>
      </c>
      <c r="E205" s="7">
        <v>4919</v>
      </c>
      <c r="F205" s="6" t="s">
        <v>1116</v>
      </c>
      <c r="G205" s="8"/>
      <c r="H205" s="8"/>
      <c r="I205" s="8"/>
      <c r="J205" s="8"/>
      <c r="K205" s="8"/>
      <c r="L205" s="8" t="s">
        <v>82</v>
      </c>
      <c r="M205" s="7">
        <v>1121</v>
      </c>
      <c r="N205" s="7">
        <v>1145</v>
      </c>
      <c r="O205" s="13">
        <v>40259</v>
      </c>
      <c r="P205" s="10" t="str">
        <f t="shared" ca="1" si="38"/>
        <v>NA</v>
      </c>
      <c r="Q205" s="5" t="str">
        <f t="shared" ca="1" si="39"/>
        <v>NA</v>
      </c>
      <c r="R205" s="5" t="str">
        <f t="shared" ca="1" si="40"/>
        <v>NA</v>
      </c>
      <c r="S205" s="7">
        <f t="shared" ca="1" si="41"/>
        <v>2010</v>
      </c>
      <c r="T205" s="7">
        <f t="shared" ca="1" si="42"/>
        <v>3</v>
      </c>
      <c r="U205" s="7">
        <f t="shared" ca="1" si="43"/>
        <v>22</v>
      </c>
      <c r="V205" s="6" t="s">
        <v>1117</v>
      </c>
      <c r="W205" s="14" t="s">
        <v>96</v>
      </c>
      <c r="X205" s="15"/>
      <c r="Y205" s="5">
        <f t="shared" ca="1" si="72"/>
        <v>1</v>
      </c>
      <c r="Z205" s="6"/>
      <c r="AA205" s="12" t="str">
        <f t="shared" ca="1" si="45"/>
        <v>NA</v>
      </c>
      <c r="AB205" s="12" t="str">
        <f t="shared" ca="1" si="46"/>
        <v>NA</v>
      </c>
      <c r="AC205" s="12" t="str">
        <f t="shared" ca="1" si="47"/>
        <v>NA</v>
      </c>
      <c r="AD205" s="6"/>
      <c r="AE205" s="5"/>
      <c r="AF205" s="6"/>
      <c r="AG205" s="5"/>
      <c r="AH205" s="12" t="str">
        <f t="shared" ca="1" si="48"/>
        <v>NA</v>
      </c>
      <c r="AI205" s="12" t="str">
        <f t="shared" ca="1" si="49"/>
        <v>NA</v>
      </c>
      <c r="AJ205" s="12" t="str">
        <f t="shared" ca="1" si="50"/>
        <v>NA</v>
      </c>
      <c r="AK205" s="5"/>
      <c r="AL205" s="5"/>
      <c r="AM205" s="5"/>
      <c r="AN205" s="5"/>
      <c r="AO205" s="11">
        <v>41690</v>
      </c>
      <c r="AP205" s="12">
        <f t="shared" ca="1" si="51"/>
        <v>2014</v>
      </c>
      <c r="AQ205" s="12">
        <f t="shared" ca="1" si="52"/>
        <v>2</v>
      </c>
      <c r="AR205" s="12">
        <f t="shared" ca="1" si="53"/>
        <v>20</v>
      </c>
      <c r="AS205" s="8" t="s">
        <v>1118</v>
      </c>
      <c r="AT205" s="8"/>
      <c r="AU205" s="5"/>
      <c r="AV205" s="12" t="str">
        <f t="shared" ca="1" si="54"/>
        <v>NA</v>
      </c>
      <c r="AW205" s="12" t="str">
        <f t="shared" ca="1" si="55"/>
        <v>NA</v>
      </c>
      <c r="AX205" s="12" t="str">
        <f t="shared" ca="1" si="56"/>
        <v>NA</v>
      </c>
      <c r="AY205" s="5"/>
      <c r="AZ205" s="5"/>
      <c r="BA205" s="6"/>
      <c r="BB205" s="12" t="str">
        <f t="shared" ca="1" si="57"/>
        <v>NA</v>
      </c>
      <c r="BC205" s="12" t="str">
        <f t="shared" ca="1" si="58"/>
        <v>NA</v>
      </c>
      <c r="BD205" s="12" t="str">
        <f t="shared" ca="1" si="59"/>
        <v>NA</v>
      </c>
      <c r="BE205" s="5"/>
      <c r="BF205" s="5"/>
      <c r="BG205" s="5"/>
      <c r="BH205" s="12" t="str">
        <f t="shared" ca="1" si="60"/>
        <v>NA</v>
      </c>
      <c r="BI205" s="12" t="str">
        <f t="shared" ca="1" si="61"/>
        <v>NA</v>
      </c>
      <c r="BJ205" s="12" t="str">
        <f t="shared" ca="1" si="62"/>
        <v>NA</v>
      </c>
      <c r="BK205" s="5"/>
      <c r="BL205" s="5"/>
      <c r="BM205" s="12" t="str">
        <f t="shared" ca="1" si="63"/>
        <v>NA</v>
      </c>
      <c r="BN205" s="12" t="str">
        <f t="shared" ca="1" si="64"/>
        <v>NA</v>
      </c>
      <c r="BO205" s="12" t="str">
        <f t="shared" ca="1" si="65"/>
        <v>NA</v>
      </c>
      <c r="BP205" s="5"/>
      <c r="BQ205" s="5"/>
      <c r="BR205" s="5"/>
      <c r="BS205" s="12" t="str">
        <f t="shared" ca="1" si="66"/>
        <v>NA</v>
      </c>
      <c r="BT205" s="12" t="str">
        <f t="shared" ca="1" si="67"/>
        <v>NA</v>
      </c>
      <c r="BU205" s="12" t="str">
        <f t="shared" ca="1" si="68"/>
        <v>NA</v>
      </c>
      <c r="BV205" s="5"/>
      <c r="BW205" s="5"/>
      <c r="BX205" s="12" t="str">
        <f t="shared" ca="1" si="69"/>
        <v>NA</v>
      </c>
      <c r="BY205" s="12" t="str">
        <f t="shared" ca="1" si="70"/>
        <v>NA</v>
      </c>
      <c r="BZ205" s="12" t="str">
        <f t="shared" ca="1" si="71"/>
        <v>NA</v>
      </c>
      <c r="CA205" s="5"/>
    </row>
    <row r="206" spans="1:79" ht="12.75" customHeight="1" x14ac:dyDescent="0.15">
      <c r="A206" s="4">
        <v>2679</v>
      </c>
      <c r="B206" s="5" t="s">
        <v>852</v>
      </c>
      <c r="C206" s="5" t="s">
        <v>852</v>
      </c>
      <c r="D206" s="6" t="s">
        <v>1119</v>
      </c>
      <c r="E206" s="7">
        <v>100503</v>
      </c>
      <c r="F206" s="6" t="s">
        <v>1120</v>
      </c>
      <c r="G206" s="8" t="s">
        <v>856</v>
      </c>
      <c r="H206" s="6" t="s">
        <v>1121</v>
      </c>
      <c r="I206" s="8">
        <v>2685</v>
      </c>
      <c r="J206" s="8"/>
      <c r="K206" s="8"/>
      <c r="L206" s="8" t="s">
        <v>82</v>
      </c>
      <c r="M206" s="7">
        <v>2639</v>
      </c>
      <c r="N206" s="7">
        <v>2642</v>
      </c>
      <c r="O206" s="13">
        <v>42771</v>
      </c>
      <c r="P206" s="10" t="str">
        <f t="shared" ca="1" si="38"/>
        <v>NA</v>
      </c>
      <c r="Q206" s="5" t="str">
        <f t="shared" ca="1" si="39"/>
        <v>NA</v>
      </c>
      <c r="R206" s="5" t="str">
        <f t="shared" ca="1" si="40"/>
        <v>NA</v>
      </c>
      <c r="S206" s="7">
        <f t="shared" ca="1" si="41"/>
        <v>2017</v>
      </c>
      <c r="T206" s="7">
        <f t="shared" ca="1" si="42"/>
        <v>2</v>
      </c>
      <c r="U206" s="7">
        <f t="shared" ca="1" si="43"/>
        <v>5</v>
      </c>
      <c r="V206" s="6" t="s">
        <v>1122</v>
      </c>
      <c r="W206" s="14" t="s">
        <v>96</v>
      </c>
      <c r="X206" s="15"/>
      <c r="Y206" s="5">
        <f ca="1">COUNT(AP206,AV206,BB206,BH206,BM206,BS207,BX207)</f>
        <v>1</v>
      </c>
      <c r="Z206" s="6"/>
      <c r="AA206" s="12" t="str">
        <f t="shared" ca="1" si="45"/>
        <v>NA</v>
      </c>
      <c r="AB206" s="12" t="str">
        <f t="shared" ca="1" si="46"/>
        <v>NA</v>
      </c>
      <c r="AC206" s="12" t="str">
        <f t="shared" ca="1" si="47"/>
        <v>NA</v>
      </c>
      <c r="AD206" s="6"/>
      <c r="AE206" s="5"/>
      <c r="AF206" s="6"/>
      <c r="AG206" s="5"/>
      <c r="AH206" s="12" t="str">
        <f t="shared" ca="1" si="48"/>
        <v>NA</v>
      </c>
      <c r="AI206" s="12" t="str">
        <f t="shared" ca="1" si="49"/>
        <v>NA</v>
      </c>
      <c r="AJ206" s="12" t="str">
        <f t="shared" ca="1" si="50"/>
        <v>NA</v>
      </c>
      <c r="AK206" s="5"/>
      <c r="AL206" s="5"/>
      <c r="AM206" s="5"/>
      <c r="AN206" s="5"/>
      <c r="AO206" s="11">
        <v>43657</v>
      </c>
      <c r="AP206" s="12">
        <f t="shared" ca="1" si="51"/>
        <v>2019</v>
      </c>
      <c r="AQ206" s="12">
        <f t="shared" ca="1" si="52"/>
        <v>7</v>
      </c>
      <c r="AR206" s="12">
        <f t="shared" ca="1" si="53"/>
        <v>11</v>
      </c>
      <c r="AS206" s="8" t="s">
        <v>1123</v>
      </c>
      <c r="AT206" s="8"/>
      <c r="AU206" s="5"/>
      <c r="AV206" s="12" t="str">
        <f t="shared" ca="1" si="54"/>
        <v>NA</v>
      </c>
      <c r="AW206" s="12" t="str">
        <f t="shared" ca="1" si="55"/>
        <v>NA</v>
      </c>
      <c r="AX206" s="12" t="str">
        <f t="shared" ca="1" si="56"/>
        <v>NA</v>
      </c>
      <c r="AY206" s="5"/>
      <c r="AZ206" s="5"/>
      <c r="BA206" s="5"/>
      <c r="BB206" s="12" t="str">
        <f t="shared" ca="1" si="57"/>
        <v>NA</v>
      </c>
      <c r="BC206" s="12" t="str">
        <f t="shared" ca="1" si="58"/>
        <v>NA</v>
      </c>
      <c r="BD206" s="12" t="str">
        <f t="shared" ca="1" si="59"/>
        <v>NA</v>
      </c>
      <c r="BE206" s="5"/>
      <c r="BF206" s="5"/>
      <c r="BG206" s="5"/>
      <c r="BH206" s="12" t="str">
        <f t="shared" ca="1" si="60"/>
        <v>NA</v>
      </c>
      <c r="BI206" s="12" t="str">
        <f t="shared" ca="1" si="61"/>
        <v>NA</v>
      </c>
      <c r="BJ206" s="12" t="str">
        <f t="shared" ca="1" si="62"/>
        <v>NA</v>
      </c>
      <c r="BK206" s="5"/>
      <c r="BL206" s="5"/>
      <c r="BM206" s="12" t="str">
        <f t="shared" ca="1" si="63"/>
        <v>NA</v>
      </c>
      <c r="BN206" s="12" t="str">
        <f t="shared" ca="1" si="64"/>
        <v>NA</v>
      </c>
      <c r="BO206" s="12" t="str">
        <f t="shared" ca="1" si="65"/>
        <v>NA</v>
      </c>
      <c r="BP206" s="5"/>
      <c r="BQ206" s="5"/>
      <c r="BR206" s="5"/>
      <c r="BS206" s="12" t="str">
        <f t="shared" ca="1" si="66"/>
        <v>NA</v>
      </c>
      <c r="BT206" s="12" t="str">
        <f t="shared" ca="1" si="67"/>
        <v>NA</v>
      </c>
      <c r="BU206" s="12" t="str">
        <f t="shared" ca="1" si="68"/>
        <v>NA</v>
      </c>
      <c r="BV206" s="5"/>
      <c r="BW206" s="5"/>
      <c r="BX206" s="12" t="str">
        <f t="shared" ca="1" si="69"/>
        <v>NA</v>
      </c>
      <c r="BY206" s="12" t="str">
        <f t="shared" ca="1" si="70"/>
        <v>NA</v>
      </c>
      <c r="BZ206" s="12" t="str">
        <f t="shared" ca="1" si="71"/>
        <v>NA</v>
      </c>
      <c r="CA206" s="5"/>
    </row>
    <row r="207" spans="1:79" ht="12.75" customHeight="1" x14ac:dyDescent="0.15">
      <c r="A207" s="4">
        <v>2685</v>
      </c>
      <c r="B207" s="5" t="s">
        <v>852</v>
      </c>
      <c r="C207" s="5" t="s">
        <v>852</v>
      </c>
      <c r="D207" s="6" t="s">
        <v>1124</v>
      </c>
      <c r="E207" s="7">
        <v>100504</v>
      </c>
      <c r="F207" s="6" t="s">
        <v>1125</v>
      </c>
      <c r="G207" s="8" t="s">
        <v>856</v>
      </c>
      <c r="H207" s="6" t="s">
        <v>1126</v>
      </c>
      <c r="I207" s="8">
        <v>2679</v>
      </c>
      <c r="J207" s="8"/>
      <c r="K207" s="8"/>
      <c r="L207" s="8" t="s">
        <v>82</v>
      </c>
      <c r="M207" s="7">
        <v>2646</v>
      </c>
      <c r="N207" s="7">
        <v>2637</v>
      </c>
      <c r="O207" s="13">
        <v>43067</v>
      </c>
      <c r="P207" s="10" t="str">
        <f t="shared" ca="1" si="38"/>
        <v>NA</v>
      </c>
      <c r="Q207" s="5" t="str">
        <f t="shared" ca="1" si="39"/>
        <v>NA</v>
      </c>
      <c r="R207" s="5" t="str">
        <f t="shared" ca="1" si="40"/>
        <v>NA</v>
      </c>
      <c r="S207" s="7">
        <f t="shared" ca="1" si="41"/>
        <v>2017</v>
      </c>
      <c r="T207" s="7">
        <f t="shared" ca="1" si="42"/>
        <v>11</v>
      </c>
      <c r="U207" s="7">
        <f t="shared" ca="1" si="43"/>
        <v>28</v>
      </c>
      <c r="V207" s="6" t="s">
        <v>1127</v>
      </c>
      <c r="W207" s="14" t="s">
        <v>96</v>
      </c>
      <c r="X207" s="15"/>
      <c r="Y207" s="5">
        <f t="shared" ref="Y207:Y210" ca="1" si="73">COUNT(AP207,AV207,BB207,BH207,BM207,BS209,BX209)</f>
        <v>1</v>
      </c>
      <c r="Z207" s="6"/>
      <c r="AA207" s="12" t="str">
        <f t="shared" ca="1" si="45"/>
        <v>NA</v>
      </c>
      <c r="AB207" s="12" t="str">
        <f t="shared" ca="1" si="46"/>
        <v>NA</v>
      </c>
      <c r="AC207" s="12" t="str">
        <f t="shared" ca="1" si="47"/>
        <v>NA</v>
      </c>
      <c r="AD207" s="6"/>
      <c r="AE207" s="5"/>
      <c r="AF207" s="6"/>
      <c r="AG207" s="5"/>
      <c r="AH207" s="12" t="str">
        <f t="shared" ca="1" si="48"/>
        <v>NA</v>
      </c>
      <c r="AI207" s="12" t="str">
        <f t="shared" ca="1" si="49"/>
        <v>NA</v>
      </c>
      <c r="AJ207" s="12" t="str">
        <f t="shared" ca="1" si="50"/>
        <v>NA</v>
      </c>
      <c r="AK207" s="5"/>
      <c r="AL207" s="5"/>
      <c r="AM207" s="5"/>
      <c r="AN207" s="5"/>
      <c r="AO207" s="11">
        <v>43657</v>
      </c>
      <c r="AP207" s="12">
        <f t="shared" ca="1" si="51"/>
        <v>2019</v>
      </c>
      <c r="AQ207" s="12">
        <f t="shared" ca="1" si="52"/>
        <v>7</v>
      </c>
      <c r="AR207" s="12">
        <f t="shared" ca="1" si="53"/>
        <v>11</v>
      </c>
      <c r="AS207" s="8" t="s">
        <v>1128</v>
      </c>
      <c r="AT207" s="8"/>
      <c r="AU207" s="5"/>
      <c r="AV207" s="12" t="str">
        <f t="shared" ca="1" si="54"/>
        <v>NA</v>
      </c>
      <c r="AW207" s="12" t="str">
        <f t="shared" ca="1" si="55"/>
        <v>NA</v>
      </c>
      <c r="AX207" s="12" t="str">
        <f t="shared" ca="1" si="56"/>
        <v>NA</v>
      </c>
      <c r="AY207" s="5"/>
      <c r="AZ207" s="5"/>
      <c r="BA207" s="5"/>
      <c r="BB207" s="12" t="str">
        <f t="shared" ca="1" si="57"/>
        <v>NA</v>
      </c>
      <c r="BC207" s="12" t="str">
        <f t="shared" ca="1" si="58"/>
        <v>NA</v>
      </c>
      <c r="BD207" s="12" t="str">
        <f t="shared" ca="1" si="59"/>
        <v>NA</v>
      </c>
      <c r="BE207" s="5"/>
      <c r="BF207" s="5"/>
      <c r="BG207" s="5"/>
      <c r="BH207" s="12" t="str">
        <f t="shared" ca="1" si="60"/>
        <v>NA</v>
      </c>
      <c r="BI207" s="12" t="str">
        <f t="shared" ca="1" si="61"/>
        <v>NA</v>
      </c>
      <c r="BJ207" s="12" t="str">
        <f t="shared" ca="1" si="62"/>
        <v>NA</v>
      </c>
      <c r="BK207" s="5"/>
      <c r="BL207" s="5"/>
      <c r="BM207" s="12" t="str">
        <f t="shared" ca="1" si="63"/>
        <v>NA</v>
      </c>
      <c r="BN207" s="12" t="str">
        <f t="shared" ca="1" si="64"/>
        <v>NA</v>
      </c>
      <c r="BO207" s="12" t="str">
        <f t="shared" ca="1" si="65"/>
        <v>NA</v>
      </c>
      <c r="BP207" s="5"/>
      <c r="BQ207" s="5"/>
      <c r="BR207" s="5"/>
      <c r="BS207" s="12" t="str">
        <f t="shared" ca="1" si="66"/>
        <v>NA</v>
      </c>
      <c r="BT207" s="12" t="str">
        <f t="shared" ca="1" si="67"/>
        <v>NA</v>
      </c>
      <c r="BU207" s="12" t="str">
        <f t="shared" ca="1" si="68"/>
        <v>NA</v>
      </c>
      <c r="BV207" s="5"/>
      <c r="BW207" s="5"/>
      <c r="BX207" s="12" t="str">
        <f t="shared" ca="1" si="69"/>
        <v>NA</v>
      </c>
      <c r="BY207" s="12" t="str">
        <f t="shared" ca="1" si="70"/>
        <v>NA</v>
      </c>
      <c r="BZ207" s="12" t="str">
        <f t="shared" ca="1" si="71"/>
        <v>NA</v>
      </c>
      <c r="CA207" s="5"/>
    </row>
    <row r="208" spans="1:79" ht="12.75" customHeight="1" x14ac:dyDescent="0.15">
      <c r="A208" s="4">
        <v>2632</v>
      </c>
      <c r="B208" s="5" t="s">
        <v>79</v>
      </c>
      <c r="C208" s="5" t="s">
        <v>79</v>
      </c>
      <c r="D208" s="6" t="s">
        <v>1129</v>
      </c>
      <c r="E208" s="7">
        <v>201291</v>
      </c>
      <c r="F208" s="6" t="s">
        <v>1130</v>
      </c>
      <c r="G208" s="8"/>
      <c r="H208" s="8"/>
      <c r="I208" s="8"/>
      <c r="J208" s="8"/>
      <c r="K208" s="8"/>
      <c r="L208" s="8" t="s">
        <v>82</v>
      </c>
      <c r="M208" s="7">
        <v>1130</v>
      </c>
      <c r="N208" s="7">
        <v>2436</v>
      </c>
      <c r="O208" s="13">
        <v>40399</v>
      </c>
      <c r="P208" s="10" t="str">
        <f t="shared" ca="1" si="38"/>
        <v>NA</v>
      </c>
      <c r="Q208" s="5" t="str">
        <f t="shared" ca="1" si="39"/>
        <v>NA</v>
      </c>
      <c r="R208" s="5" t="str">
        <f t="shared" ca="1" si="40"/>
        <v>NA</v>
      </c>
      <c r="S208" s="7">
        <f t="shared" ca="1" si="41"/>
        <v>2010</v>
      </c>
      <c r="T208" s="7">
        <f t="shared" ca="1" si="42"/>
        <v>8</v>
      </c>
      <c r="U208" s="7">
        <f t="shared" ca="1" si="43"/>
        <v>9</v>
      </c>
      <c r="V208" s="6" t="s">
        <v>1131</v>
      </c>
      <c r="W208" s="14" t="s">
        <v>96</v>
      </c>
      <c r="X208" s="15"/>
      <c r="Y208" s="5">
        <f t="shared" ca="1" si="73"/>
        <v>1</v>
      </c>
      <c r="Z208" s="6"/>
      <c r="AA208" s="12" t="str">
        <f t="shared" ca="1" si="45"/>
        <v>NA</v>
      </c>
      <c r="AB208" s="12" t="str">
        <f t="shared" ca="1" si="46"/>
        <v>NA</v>
      </c>
      <c r="AC208" s="12" t="str">
        <f t="shared" ca="1" si="47"/>
        <v>NA</v>
      </c>
      <c r="AD208" s="6"/>
      <c r="AE208" s="5"/>
      <c r="AF208" s="6"/>
      <c r="AG208" s="5"/>
      <c r="AH208" s="12" t="str">
        <f t="shared" ca="1" si="48"/>
        <v>NA</v>
      </c>
      <c r="AI208" s="12" t="str">
        <f t="shared" ca="1" si="49"/>
        <v>NA</v>
      </c>
      <c r="AJ208" s="12" t="str">
        <f t="shared" ca="1" si="50"/>
        <v>NA</v>
      </c>
      <c r="AK208" s="5"/>
      <c r="AL208" s="5"/>
      <c r="AM208" s="5"/>
      <c r="AN208" s="5"/>
      <c r="AO208" s="11">
        <v>40940</v>
      </c>
      <c r="AP208" s="12">
        <f t="shared" ca="1" si="51"/>
        <v>2012</v>
      </c>
      <c r="AQ208" s="12">
        <f t="shared" ca="1" si="52"/>
        <v>2</v>
      </c>
      <c r="AR208" s="12">
        <f t="shared" ca="1" si="53"/>
        <v>1</v>
      </c>
      <c r="AS208" s="8" t="s">
        <v>1132</v>
      </c>
      <c r="AT208" s="8"/>
      <c r="AU208" s="5"/>
      <c r="AV208" s="12" t="str">
        <f t="shared" ca="1" si="54"/>
        <v>NA</v>
      </c>
      <c r="AW208" s="12" t="str">
        <f t="shared" ca="1" si="55"/>
        <v>NA</v>
      </c>
      <c r="AX208" s="12" t="str">
        <f t="shared" ca="1" si="56"/>
        <v>NA</v>
      </c>
      <c r="AY208" s="5"/>
      <c r="AZ208" s="5"/>
      <c r="BA208" s="6"/>
      <c r="BB208" s="12" t="str">
        <f t="shared" ca="1" si="57"/>
        <v>NA</v>
      </c>
      <c r="BC208" s="12" t="str">
        <f t="shared" ca="1" si="58"/>
        <v>NA</v>
      </c>
      <c r="BD208" s="12" t="str">
        <f t="shared" ca="1" si="59"/>
        <v>NA</v>
      </c>
      <c r="BE208" s="5"/>
      <c r="BF208" s="5"/>
      <c r="BG208" s="5"/>
      <c r="BH208" s="12" t="str">
        <f t="shared" ca="1" si="60"/>
        <v>NA</v>
      </c>
      <c r="BI208" s="12" t="str">
        <f t="shared" ca="1" si="61"/>
        <v>NA</v>
      </c>
      <c r="BJ208" s="12" t="str">
        <f t="shared" ca="1" si="62"/>
        <v>NA</v>
      </c>
      <c r="BK208" s="5"/>
      <c r="BL208" s="5"/>
      <c r="BM208" s="12" t="str">
        <f t="shared" ca="1" si="63"/>
        <v>NA</v>
      </c>
      <c r="BN208" s="12" t="str">
        <f t="shared" ca="1" si="64"/>
        <v>NA</v>
      </c>
      <c r="BO208" s="12" t="str">
        <f t="shared" ca="1" si="65"/>
        <v>NA</v>
      </c>
      <c r="BP208" s="5"/>
      <c r="BQ208" s="5"/>
      <c r="BR208" s="5"/>
      <c r="BS208" s="12" t="str">
        <f t="shared" ca="1" si="66"/>
        <v>NA</v>
      </c>
      <c r="BT208" s="12" t="str">
        <f t="shared" ca="1" si="67"/>
        <v>NA</v>
      </c>
      <c r="BU208" s="12" t="str">
        <f t="shared" ca="1" si="68"/>
        <v>NA</v>
      </c>
      <c r="BV208" s="5"/>
      <c r="BW208" s="5"/>
      <c r="BX208" s="12" t="str">
        <f t="shared" ca="1" si="69"/>
        <v>NA</v>
      </c>
      <c r="BY208" s="12" t="str">
        <f t="shared" ca="1" si="70"/>
        <v>NA</v>
      </c>
      <c r="BZ208" s="12" t="str">
        <f t="shared" ca="1" si="71"/>
        <v>NA</v>
      </c>
      <c r="CA208" s="5"/>
    </row>
    <row r="209" spans="1:79" ht="12.75" customHeight="1" x14ac:dyDescent="0.15">
      <c r="A209" s="4">
        <v>2633</v>
      </c>
      <c r="B209" s="5" t="s">
        <v>79</v>
      </c>
      <c r="C209" s="5" t="s">
        <v>79</v>
      </c>
      <c r="D209" s="6" t="s">
        <v>1133</v>
      </c>
      <c r="E209" s="7">
        <v>104781</v>
      </c>
      <c r="F209" s="6" t="s">
        <v>1134</v>
      </c>
      <c r="G209" s="8"/>
      <c r="H209" s="8"/>
      <c r="I209" s="8"/>
      <c r="J209" s="8"/>
      <c r="K209" s="8"/>
      <c r="L209" s="8" t="s">
        <v>82</v>
      </c>
      <c r="M209" s="7">
        <v>1130</v>
      </c>
      <c r="N209" s="7">
        <v>2436</v>
      </c>
      <c r="O209" s="13">
        <v>40399</v>
      </c>
      <c r="P209" s="10">
        <f t="shared" ca="1" si="38"/>
        <v>0</v>
      </c>
      <c r="Q209" s="5">
        <f t="shared" ca="1" si="39"/>
        <v>0</v>
      </c>
      <c r="R209" s="5">
        <f t="shared" ca="1" si="40"/>
        <v>0</v>
      </c>
      <c r="S209" s="7">
        <f t="shared" ca="1" si="41"/>
        <v>2010</v>
      </c>
      <c r="T209" s="7">
        <f t="shared" ca="1" si="42"/>
        <v>8</v>
      </c>
      <c r="U209" s="7">
        <f t="shared" ca="1" si="43"/>
        <v>9</v>
      </c>
      <c r="V209" s="6" t="s">
        <v>1135</v>
      </c>
      <c r="W209" s="14" t="s">
        <v>96</v>
      </c>
      <c r="X209" s="15"/>
      <c r="Y209" s="5">
        <f t="shared" ca="1" si="73"/>
        <v>0</v>
      </c>
      <c r="Z209" s="6"/>
      <c r="AA209" s="12" t="str">
        <f t="shared" ca="1" si="45"/>
        <v>NA</v>
      </c>
      <c r="AB209" s="12" t="str">
        <f t="shared" ca="1" si="46"/>
        <v>NA</v>
      </c>
      <c r="AC209" s="12" t="str">
        <f t="shared" ca="1" si="47"/>
        <v>NA</v>
      </c>
      <c r="AD209" s="6"/>
      <c r="AE209" s="5"/>
      <c r="AF209" s="6"/>
      <c r="AG209" s="11">
        <v>40399</v>
      </c>
      <c r="AH209" s="12">
        <f t="shared" ca="1" si="48"/>
        <v>2010</v>
      </c>
      <c r="AI209" s="12">
        <f t="shared" ca="1" si="49"/>
        <v>8</v>
      </c>
      <c r="AJ209" s="12">
        <f t="shared" ca="1" si="50"/>
        <v>9</v>
      </c>
      <c r="AK209" s="8" t="s">
        <v>1136</v>
      </c>
      <c r="AL209" s="8"/>
      <c r="AM209" s="5"/>
      <c r="AN209" s="5"/>
      <c r="AO209" s="5"/>
      <c r="AP209" s="12" t="str">
        <f t="shared" ca="1" si="51"/>
        <v>NA</v>
      </c>
      <c r="AQ209" s="12" t="str">
        <f t="shared" ca="1" si="52"/>
        <v>NA</v>
      </c>
      <c r="AR209" s="12" t="str">
        <f t="shared" ca="1" si="53"/>
        <v>NA</v>
      </c>
      <c r="AS209" s="5"/>
      <c r="AT209" s="5"/>
      <c r="AU209" s="5"/>
      <c r="AV209" s="12" t="str">
        <f t="shared" ca="1" si="54"/>
        <v>NA</v>
      </c>
      <c r="AW209" s="12" t="str">
        <f t="shared" ca="1" si="55"/>
        <v>NA</v>
      </c>
      <c r="AX209" s="12" t="str">
        <f t="shared" ca="1" si="56"/>
        <v>NA</v>
      </c>
      <c r="AY209" s="24"/>
      <c r="AZ209" s="5"/>
      <c r="BA209" s="6"/>
      <c r="BB209" s="12" t="str">
        <f t="shared" ca="1" si="57"/>
        <v>NA</v>
      </c>
      <c r="BC209" s="12" t="str">
        <f t="shared" ca="1" si="58"/>
        <v>NA</v>
      </c>
      <c r="BD209" s="12" t="str">
        <f t="shared" ca="1" si="59"/>
        <v>NA</v>
      </c>
      <c r="BE209" s="5"/>
      <c r="BF209" s="5"/>
      <c r="BG209" s="5"/>
      <c r="BH209" s="12" t="str">
        <f t="shared" ca="1" si="60"/>
        <v>NA</v>
      </c>
      <c r="BI209" s="12" t="str">
        <f t="shared" ca="1" si="61"/>
        <v>NA</v>
      </c>
      <c r="BJ209" s="12" t="str">
        <f t="shared" ca="1" si="62"/>
        <v>NA</v>
      </c>
      <c r="BK209" s="5"/>
      <c r="BL209" s="5"/>
      <c r="BM209" s="12" t="str">
        <f t="shared" ca="1" si="63"/>
        <v>NA</v>
      </c>
      <c r="BN209" s="12" t="str">
        <f t="shared" ca="1" si="64"/>
        <v>NA</v>
      </c>
      <c r="BO209" s="12" t="str">
        <f t="shared" ca="1" si="65"/>
        <v>NA</v>
      </c>
      <c r="BP209" s="5"/>
      <c r="BQ209" s="5"/>
      <c r="BR209" s="5"/>
      <c r="BS209" s="12" t="str">
        <f t="shared" ca="1" si="66"/>
        <v>NA</v>
      </c>
      <c r="BT209" s="12" t="str">
        <f t="shared" ca="1" si="67"/>
        <v>NA</v>
      </c>
      <c r="BU209" s="12" t="str">
        <f t="shared" ca="1" si="68"/>
        <v>NA</v>
      </c>
      <c r="BV209" s="5"/>
      <c r="BW209" s="5"/>
      <c r="BX209" s="12" t="str">
        <f t="shared" ca="1" si="69"/>
        <v>NA</v>
      </c>
      <c r="BY209" s="12" t="str">
        <f t="shared" ca="1" si="70"/>
        <v>NA</v>
      </c>
      <c r="BZ209" s="12" t="str">
        <f t="shared" ca="1" si="71"/>
        <v>NA</v>
      </c>
      <c r="CA209" s="5"/>
    </row>
    <row r="210" spans="1:79" ht="12.75" customHeight="1" x14ac:dyDescent="0.15">
      <c r="A210" s="4">
        <v>2450</v>
      </c>
      <c r="B210" s="5" t="s">
        <v>852</v>
      </c>
      <c r="C210" s="5" t="s">
        <v>852</v>
      </c>
      <c r="D210" s="6" t="s">
        <v>1137</v>
      </c>
      <c r="E210" s="7">
        <v>202198</v>
      </c>
      <c r="F210" s="6" t="s">
        <v>1138</v>
      </c>
      <c r="G210" s="8" t="s">
        <v>856</v>
      </c>
      <c r="H210" s="6" t="s">
        <v>1139</v>
      </c>
      <c r="I210" s="8">
        <v>2632</v>
      </c>
      <c r="J210" s="8"/>
      <c r="K210" s="8" t="s">
        <v>1140</v>
      </c>
      <c r="L210" s="8" t="s">
        <v>82</v>
      </c>
      <c r="M210" s="7">
        <v>1108</v>
      </c>
      <c r="N210" s="7">
        <v>1146</v>
      </c>
      <c r="O210" s="13">
        <v>38612</v>
      </c>
      <c r="P210" s="10" t="str">
        <f t="shared" ca="1" si="38"/>
        <v>NA</v>
      </c>
      <c r="Q210" s="5" t="str">
        <f t="shared" ca="1" si="39"/>
        <v>NA</v>
      </c>
      <c r="R210" s="5" t="str">
        <f t="shared" ca="1" si="40"/>
        <v>NA</v>
      </c>
      <c r="S210" s="7">
        <f t="shared" ca="1" si="41"/>
        <v>2005</v>
      </c>
      <c r="T210" s="7">
        <f t="shared" ca="1" si="42"/>
        <v>9</v>
      </c>
      <c r="U210" s="7">
        <f t="shared" ca="1" si="43"/>
        <v>17</v>
      </c>
      <c r="V210" s="6" t="s">
        <v>1141</v>
      </c>
      <c r="W210" s="14" t="s">
        <v>96</v>
      </c>
      <c r="X210" s="15"/>
      <c r="Y210" s="5">
        <f t="shared" ca="1" si="73"/>
        <v>3</v>
      </c>
      <c r="Z210" s="6"/>
      <c r="AA210" s="12" t="str">
        <f t="shared" ca="1" si="45"/>
        <v>NA</v>
      </c>
      <c r="AB210" s="12" t="str">
        <f t="shared" ca="1" si="46"/>
        <v>NA</v>
      </c>
      <c r="AC210" s="12" t="str">
        <f t="shared" ca="1" si="47"/>
        <v>NA</v>
      </c>
      <c r="AD210" s="6"/>
      <c r="AE210" s="5"/>
      <c r="AF210" s="6"/>
      <c r="AG210" s="5"/>
      <c r="AH210" s="12" t="str">
        <f t="shared" ca="1" si="48"/>
        <v>NA</v>
      </c>
      <c r="AI210" s="12" t="str">
        <f t="shared" ca="1" si="49"/>
        <v>NA</v>
      </c>
      <c r="AJ210" s="12" t="str">
        <f t="shared" ca="1" si="50"/>
        <v>NA</v>
      </c>
      <c r="AK210" s="5"/>
      <c r="AL210" s="5"/>
      <c r="AM210" s="5"/>
      <c r="AN210" s="5"/>
      <c r="AO210" s="11">
        <v>39777</v>
      </c>
      <c r="AP210" s="12">
        <f t="shared" ca="1" si="51"/>
        <v>2008</v>
      </c>
      <c r="AQ210" s="12">
        <f t="shared" ca="1" si="52"/>
        <v>11</v>
      </c>
      <c r="AR210" s="12">
        <f t="shared" ca="1" si="53"/>
        <v>25</v>
      </c>
      <c r="AS210" s="8" t="s">
        <v>1142</v>
      </c>
      <c r="AT210" s="8"/>
      <c r="AU210" s="11">
        <v>40823</v>
      </c>
      <c r="AV210" s="12">
        <f t="shared" ca="1" si="54"/>
        <v>2011</v>
      </c>
      <c r="AW210" s="12">
        <f t="shared" ca="1" si="55"/>
        <v>10</v>
      </c>
      <c r="AX210" s="12">
        <f t="shared" ca="1" si="56"/>
        <v>7</v>
      </c>
      <c r="AY210" s="8" t="s">
        <v>1143</v>
      </c>
      <c r="AZ210" s="8"/>
      <c r="BA210" s="11">
        <v>44119</v>
      </c>
      <c r="BB210" s="12">
        <f t="shared" ca="1" si="57"/>
        <v>2020</v>
      </c>
      <c r="BC210" s="12">
        <f t="shared" ca="1" si="58"/>
        <v>10</v>
      </c>
      <c r="BD210" s="12">
        <f t="shared" ca="1" si="59"/>
        <v>15</v>
      </c>
      <c r="BE210" s="8" t="s">
        <v>1144</v>
      </c>
      <c r="BF210" s="8"/>
      <c r="BG210" s="5"/>
      <c r="BH210" s="12" t="str">
        <f t="shared" ca="1" si="60"/>
        <v>NA</v>
      </c>
      <c r="BI210" s="12" t="str">
        <f t="shared" ca="1" si="61"/>
        <v>NA</v>
      </c>
      <c r="BJ210" s="12" t="str">
        <f t="shared" ca="1" si="62"/>
        <v>NA</v>
      </c>
      <c r="BK210" s="5"/>
      <c r="BL210" s="5"/>
      <c r="BM210" s="12" t="str">
        <f t="shared" ca="1" si="63"/>
        <v>NA</v>
      </c>
      <c r="BN210" s="12" t="str">
        <f t="shared" ca="1" si="64"/>
        <v>NA</v>
      </c>
      <c r="BO210" s="12" t="str">
        <f t="shared" ca="1" si="65"/>
        <v>NA</v>
      </c>
      <c r="BP210" s="5"/>
      <c r="BQ210" s="5"/>
      <c r="BR210" s="5"/>
      <c r="BS210" s="12" t="str">
        <f t="shared" ca="1" si="66"/>
        <v>NA</v>
      </c>
      <c r="BT210" s="12" t="str">
        <f t="shared" ca="1" si="67"/>
        <v>NA</v>
      </c>
      <c r="BU210" s="12" t="str">
        <f t="shared" ca="1" si="68"/>
        <v>NA</v>
      </c>
      <c r="BV210" s="5"/>
      <c r="BW210" s="5"/>
      <c r="BX210" s="12" t="str">
        <f t="shared" ca="1" si="69"/>
        <v>NA</v>
      </c>
      <c r="BY210" s="12" t="str">
        <f t="shared" ca="1" si="70"/>
        <v>NA</v>
      </c>
      <c r="BZ210" s="12" t="str">
        <f t="shared" ca="1" si="71"/>
        <v>NA</v>
      </c>
      <c r="CA210" s="5"/>
    </row>
    <row r="211" spans="1:79" ht="12.75" customHeight="1" x14ac:dyDescent="0.15">
      <c r="A211" s="4">
        <v>2634</v>
      </c>
      <c r="B211" s="5" t="s">
        <v>79</v>
      </c>
      <c r="C211" s="5" t="s">
        <v>79</v>
      </c>
      <c r="D211" s="6" t="s">
        <v>1145</v>
      </c>
      <c r="E211" s="7">
        <v>7403</v>
      </c>
      <c r="F211" s="6" t="s">
        <v>1146</v>
      </c>
      <c r="G211" s="8"/>
      <c r="H211" s="8"/>
      <c r="I211" s="8"/>
      <c r="J211" s="8"/>
      <c r="K211" s="8"/>
      <c r="L211" s="8" t="s">
        <v>82</v>
      </c>
      <c r="M211" s="7">
        <v>1131</v>
      </c>
      <c r="N211" s="7">
        <v>2414</v>
      </c>
      <c r="O211" s="13">
        <v>40402</v>
      </c>
      <c r="P211" s="10" t="str">
        <f t="shared" ca="1" si="38"/>
        <v>NA</v>
      </c>
      <c r="Q211" s="5" t="str">
        <f t="shared" ca="1" si="39"/>
        <v>NA</v>
      </c>
      <c r="R211" s="5" t="str">
        <f t="shared" ca="1" si="40"/>
        <v>NA</v>
      </c>
      <c r="S211" s="7">
        <f t="shared" ca="1" si="41"/>
        <v>2010</v>
      </c>
      <c r="T211" s="7">
        <f t="shared" ca="1" si="42"/>
        <v>8</v>
      </c>
      <c r="U211" s="7">
        <f t="shared" ca="1" si="43"/>
        <v>12</v>
      </c>
      <c r="V211" s="6" t="s">
        <v>1147</v>
      </c>
      <c r="W211" s="14" t="s">
        <v>96</v>
      </c>
      <c r="X211" s="15"/>
      <c r="Y211" s="5">
        <f ca="1">COUNT(AP211,AV211,BB211,BH211,BM211,BS215,BX215)</f>
        <v>1</v>
      </c>
      <c r="Z211" s="6"/>
      <c r="AA211" s="12" t="str">
        <f t="shared" ca="1" si="45"/>
        <v>NA</v>
      </c>
      <c r="AB211" s="12" t="str">
        <f t="shared" ca="1" si="46"/>
        <v>NA</v>
      </c>
      <c r="AC211" s="12" t="str">
        <f t="shared" ca="1" si="47"/>
        <v>NA</v>
      </c>
      <c r="AD211" s="6"/>
      <c r="AE211" s="5"/>
      <c r="AF211" s="6"/>
      <c r="AG211" s="5"/>
      <c r="AH211" s="12" t="str">
        <f t="shared" ca="1" si="48"/>
        <v>NA</v>
      </c>
      <c r="AI211" s="12" t="str">
        <f t="shared" ca="1" si="49"/>
        <v>NA</v>
      </c>
      <c r="AJ211" s="12" t="str">
        <f t="shared" ca="1" si="50"/>
        <v>NA</v>
      </c>
      <c r="AK211" s="5"/>
      <c r="AL211" s="5"/>
      <c r="AM211" s="5"/>
      <c r="AN211" s="5"/>
      <c r="AO211" s="11">
        <v>41753</v>
      </c>
      <c r="AP211" s="12">
        <f t="shared" ca="1" si="51"/>
        <v>2014</v>
      </c>
      <c r="AQ211" s="12">
        <f t="shared" ca="1" si="52"/>
        <v>4</v>
      </c>
      <c r="AR211" s="12">
        <f t="shared" ca="1" si="53"/>
        <v>24</v>
      </c>
      <c r="AS211" s="8" t="s">
        <v>1148</v>
      </c>
      <c r="AT211" s="8"/>
      <c r="AU211" s="5"/>
      <c r="AV211" s="12" t="str">
        <f t="shared" ca="1" si="54"/>
        <v>NA</v>
      </c>
      <c r="AW211" s="12" t="str">
        <f t="shared" ca="1" si="55"/>
        <v>NA</v>
      </c>
      <c r="AX211" s="12" t="str">
        <f t="shared" ca="1" si="56"/>
        <v>NA</v>
      </c>
      <c r="AY211" s="5"/>
      <c r="AZ211" s="5"/>
      <c r="BA211" s="6"/>
      <c r="BB211" s="12" t="str">
        <f t="shared" ca="1" si="57"/>
        <v>NA</v>
      </c>
      <c r="BC211" s="12" t="str">
        <f t="shared" ca="1" si="58"/>
        <v>NA</v>
      </c>
      <c r="BD211" s="12" t="str">
        <f t="shared" ca="1" si="59"/>
        <v>NA</v>
      </c>
      <c r="BE211" s="5"/>
      <c r="BF211" s="5"/>
      <c r="BG211" s="5"/>
      <c r="BH211" s="12" t="str">
        <f t="shared" ca="1" si="60"/>
        <v>NA</v>
      </c>
      <c r="BI211" s="12" t="str">
        <f t="shared" ca="1" si="61"/>
        <v>NA</v>
      </c>
      <c r="BJ211" s="12" t="str">
        <f t="shared" ca="1" si="62"/>
        <v>NA</v>
      </c>
      <c r="BK211" s="5"/>
      <c r="BL211" s="5"/>
      <c r="BM211" s="12" t="str">
        <f t="shared" ca="1" si="63"/>
        <v>NA</v>
      </c>
      <c r="BN211" s="12" t="str">
        <f t="shared" ca="1" si="64"/>
        <v>NA</v>
      </c>
      <c r="BO211" s="12" t="str">
        <f t="shared" ca="1" si="65"/>
        <v>NA</v>
      </c>
      <c r="BP211" s="5"/>
      <c r="BQ211" s="5"/>
      <c r="BR211" s="5"/>
      <c r="BS211" s="12" t="str">
        <f t="shared" ca="1" si="66"/>
        <v>NA</v>
      </c>
      <c r="BT211" s="12" t="str">
        <f t="shared" ca="1" si="67"/>
        <v>NA</v>
      </c>
      <c r="BU211" s="12" t="str">
        <f t="shared" ca="1" si="68"/>
        <v>NA</v>
      </c>
      <c r="BV211" s="5"/>
      <c r="BW211" s="5"/>
      <c r="BX211" s="12" t="str">
        <f t="shared" ca="1" si="69"/>
        <v>NA</v>
      </c>
      <c r="BY211" s="12" t="str">
        <f t="shared" ca="1" si="70"/>
        <v>NA</v>
      </c>
      <c r="BZ211" s="12" t="str">
        <f t="shared" ca="1" si="71"/>
        <v>NA</v>
      </c>
      <c r="CA211" s="5"/>
    </row>
    <row r="212" spans="1:79" ht="12.75" customHeight="1" x14ac:dyDescent="0.15">
      <c r="A212" s="4">
        <v>2635</v>
      </c>
      <c r="B212" s="5" t="s">
        <v>79</v>
      </c>
      <c r="C212" s="5" t="s">
        <v>79</v>
      </c>
      <c r="D212" s="6" t="s">
        <v>1149</v>
      </c>
      <c r="E212" s="6" t="s">
        <v>1150</v>
      </c>
      <c r="F212" s="6" t="s">
        <v>1151</v>
      </c>
      <c r="G212" s="8"/>
      <c r="H212" s="8"/>
      <c r="I212" s="8"/>
      <c r="J212" s="8"/>
      <c r="K212" s="8"/>
      <c r="L212" s="8" t="s">
        <v>82</v>
      </c>
      <c r="M212" s="7">
        <v>1131</v>
      </c>
      <c r="N212" s="7">
        <v>2414</v>
      </c>
      <c r="O212" s="13">
        <v>40402</v>
      </c>
      <c r="P212" s="10">
        <f t="shared" ca="1" si="38"/>
        <v>7.5305555555555559</v>
      </c>
      <c r="Q212" s="5">
        <f t="shared" ca="1" si="39"/>
        <v>90</v>
      </c>
      <c r="R212" s="5">
        <f t="shared" ca="1" si="40"/>
        <v>2752</v>
      </c>
      <c r="S212" s="7">
        <f t="shared" ca="1" si="41"/>
        <v>2010</v>
      </c>
      <c r="T212" s="7">
        <f t="shared" ca="1" si="42"/>
        <v>8</v>
      </c>
      <c r="U212" s="7">
        <f t="shared" ca="1" si="43"/>
        <v>12</v>
      </c>
      <c r="V212" s="6" t="s">
        <v>1152</v>
      </c>
      <c r="W212" s="14" t="s">
        <v>96</v>
      </c>
      <c r="X212" s="15"/>
      <c r="Y212" s="5">
        <f ca="1">COUNT(AP212,AV212,BB212,BH212,BM212,BS213,BX213)</f>
        <v>2</v>
      </c>
      <c r="Z212" s="6"/>
      <c r="AA212" s="12" t="str">
        <f t="shared" ca="1" si="45"/>
        <v>NA</v>
      </c>
      <c r="AB212" s="12" t="str">
        <f t="shared" ca="1" si="46"/>
        <v>NA</v>
      </c>
      <c r="AC212" s="12" t="str">
        <f t="shared" ca="1" si="47"/>
        <v>NA</v>
      </c>
      <c r="AD212" s="6"/>
      <c r="AE212" s="5"/>
      <c r="AF212" s="6"/>
      <c r="AG212" s="11">
        <v>43154</v>
      </c>
      <c r="AH212" s="12">
        <f t="shared" ca="1" si="48"/>
        <v>2018</v>
      </c>
      <c r="AI212" s="12">
        <f t="shared" ca="1" si="49"/>
        <v>2</v>
      </c>
      <c r="AJ212" s="12">
        <f t="shared" ca="1" si="50"/>
        <v>23</v>
      </c>
      <c r="AK212" s="8" t="s">
        <v>1153</v>
      </c>
      <c r="AL212" s="8"/>
      <c r="AM212" s="5"/>
      <c r="AN212" s="5"/>
      <c r="AO212" s="11">
        <v>41620</v>
      </c>
      <c r="AP212" s="12">
        <f t="shared" ca="1" si="51"/>
        <v>2013</v>
      </c>
      <c r="AQ212" s="12">
        <f t="shared" ca="1" si="52"/>
        <v>12</v>
      </c>
      <c r="AR212" s="12">
        <f t="shared" ca="1" si="53"/>
        <v>12</v>
      </c>
      <c r="AS212" s="8" t="s">
        <v>1154</v>
      </c>
      <c r="AT212" s="8"/>
      <c r="AU212" s="11">
        <v>42738</v>
      </c>
      <c r="AV212" s="12">
        <f t="shared" ca="1" si="54"/>
        <v>2017</v>
      </c>
      <c r="AW212" s="12">
        <f t="shared" ca="1" si="55"/>
        <v>1</v>
      </c>
      <c r="AX212" s="12">
        <f t="shared" ca="1" si="56"/>
        <v>3</v>
      </c>
      <c r="AY212" s="8" t="s">
        <v>1155</v>
      </c>
      <c r="AZ212" s="8"/>
      <c r="BA212" s="6"/>
      <c r="BB212" s="12" t="str">
        <f t="shared" ca="1" si="57"/>
        <v>NA</v>
      </c>
      <c r="BC212" s="12" t="str">
        <f t="shared" ca="1" si="58"/>
        <v>NA</v>
      </c>
      <c r="BD212" s="12" t="str">
        <f t="shared" ca="1" si="59"/>
        <v>NA</v>
      </c>
      <c r="BE212" s="5"/>
      <c r="BF212" s="5"/>
      <c r="BG212" s="5"/>
      <c r="BH212" s="12" t="str">
        <f t="shared" ca="1" si="60"/>
        <v>NA</v>
      </c>
      <c r="BI212" s="12" t="str">
        <f t="shared" ca="1" si="61"/>
        <v>NA</v>
      </c>
      <c r="BJ212" s="12" t="str">
        <f t="shared" ca="1" si="62"/>
        <v>NA</v>
      </c>
      <c r="BK212" s="5"/>
      <c r="BL212" s="5"/>
      <c r="BM212" s="12" t="str">
        <f t="shared" ca="1" si="63"/>
        <v>NA</v>
      </c>
      <c r="BN212" s="12" t="str">
        <f t="shared" ca="1" si="64"/>
        <v>NA</v>
      </c>
      <c r="BO212" s="12" t="str">
        <f t="shared" ca="1" si="65"/>
        <v>NA</v>
      </c>
      <c r="BP212" s="5"/>
      <c r="BQ212" s="5"/>
      <c r="BR212" s="5"/>
      <c r="BS212" s="12" t="str">
        <f t="shared" ca="1" si="66"/>
        <v>NA</v>
      </c>
      <c r="BT212" s="12" t="str">
        <f t="shared" ca="1" si="67"/>
        <v>NA</v>
      </c>
      <c r="BU212" s="12" t="str">
        <f t="shared" ca="1" si="68"/>
        <v>NA</v>
      </c>
      <c r="BV212" s="5"/>
      <c r="BW212" s="5"/>
      <c r="BX212" s="12" t="str">
        <f t="shared" ca="1" si="69"/>
        <v>NA</v>
      </c>
      <c r="BY212" s="12" t="str">
        <f t="shared" ca="1" si="70"/>
        <v>NA</v>
      </c>
      <c r="BZ212" s="12" t="str">
        <f t="shared" ca="1" si="71"/>
        <v>NA</v>
      </c>
      <c r="CA212" s="5"/>
    </row>
    <row r="213" spans="1:79" ht="12.75" customHeight="1" x14ac:dyDescent="0.15">
      <c r="A213" s="4">
        <v>2636</v>
      </c>
      <c r="B213" s="5" t="s">
        <v>79</v>
      </c>
      <c r="C213" s="5" t="s">
        <v>79</v>
      </c>
      <c r="D213" s="6" t="s">
        <v>1156</v>
      </c>
      <c r="E213" s="18"/>
      <c r="F213" s="6" t="s">
        <v>1157</v>
      </c>
      <c r="G213" s="8"/>
      <c r="H213" s="8"/>
      <c r="I213" s="8"/>
      <c r="J213" s="8"/>
      <c r="K213" s="8"/>
      <c r="L213" s="8" t="s">
        <v>82</v>
      </c>
      <c r="M213" s="7">
        <v>2417</v>
      </c>
      <c r="N213" s="7">
        <v>2423</v>
      </c>
      <c r="O213" s="13">
        <v>40518</v>
      </c>
      <c r="P213" s="10">
        <f t="shared" ca="1" si="38"/>
        <v>0.46111111111111114</v>
      </c>
      <c r="Q213" s="5">
        <f t="shared" ca="1" si="39"/>
        <v>5</v>
      </c>
      <c r="R213" s="5">
        <f t="shared" ca="1" si="40"/>
        <v>167</v>
      </c>
      <c r="S213" s="7">
        <f t="shared" ca="1" si="41"/>
        <v>2010</v>
      </c>
      <c r="T213" s="7">
        <f t="shared" ca="1" si="42"/>
        <v>12</v>
      </c>
      <c r="U213" s="7">
        <f t="shared" ca="1" si="43"/>
        <v>6</v>
      </c>
      <c r="V213" s="6" t="s">
        <v>1158</v>
      </c>
      <c r="W213" s="14" t="s">
        <v>96</v>
      </c>
      <c r="X213" s="15"/>
      <c r="Y213" s="5">
        <f t="shared" ref="Y213:Y227" ca="1" si="74">COUNT(AP213,AV213,BB213,BH213,BM213,BS215,BX215)</f>
        <v>0</v>
      </c>
      <c r="Z213" s="6"/>
      <c r="AA213" s="12" t="str">
        <f t="shared" ca="1" si="45"/>
        <v>NA</v>
      </c>
      <c r="AB213" s="12" t="str">
        <f t="shared" ca="1" si="46"/>
        <v>NA</v>
      </c>
      <c r="AC213" s="12" t="str">
        <f t="shared" ca="1" si="47"/>
        <v>NA</v>
      </c>
      <c r="AD213" s="6"/>
      <c r="AE213" s="5"/>
      <c r="AF213" s="6"/>
      <c r="AG213" s="11">
        <v>40685</v>
      </c>
      <c r="AH213" s="12">
        <f t="shared" ca="1" si="48"/>
        <v>2011</v>
      </c>
      <c r="AI213" s="12">
        <f t="shared" ca="1" si="49"/>
        <v>5</v>
      </c>
      <c r="AJ213" s="12">
        <f t="shared" ca="1" si="50"/>
        <v>22</v>
      </c>
      <c r="AK213" s="8" t="s">
        <v>1159</v>
      </c>
      <c r="AL213" s="8"/>
      <c r="AM213" s="5"/>
      <c r="AN213" s="5"/>
      <c r="AO213" s="5"/>
      <c r="AP213" s="12" t="str">
        <f t="shared" ca="1" si="51"/>
        <v>NA</v>
      </c>
      <c r="AQ213" s="12" t="str">
        <f t="shared" ca="1" si="52"/>
        <v>NA</v>
      </c>
      <c r="AR213" s="12" t="str">
        <f t="shared" ca="1" si="53"/>
        <v>NA</v>
      </c>
      <c r="AS213" s="5"/>
      <c r="AT213" s="5"/>
      <c r="AU213" s="5"/>
      <c r="AV213" s="12" t="str">
        <f t="shared" ca="1" si="54"/>
        <v>NA</v>
      </c>
      <c r="AW213" s="12" t="str">
        <f t="shared" ca="1" si="55"/>
        <v>NA</v>
      </c>
      <c r="AX213" s="12" t="str">
        <f t="shared" ca="1" si="56"/>
        <v>NA</v>
      </c>
      <c r="AY213" s="5"/>
      <c r="AZ213" s="5"/>
      <c r="BA213" s="6"/>
      <c r="BB213" s="12" t="str">
        <f t="shared" ca="1" si="57"/>
        <v>NA</v>
      </c>
      <c r="BC213" s="12" t="str">
        <f t="shared" ca="1" si="58"/>
        <v>NA</v>
      </c>
      <c r="BD213" s="12" t="str">
        <f t="shared" ca="1" si="59"/>
        <v>NA</v>
      </c>
      <c r="BE213" s="5"/>
      <c r="BF213" s="5"/>
      <c r="BG213" s="5"/>
      <c r="BH213" s="12" t="str">
        <f t="shared" ca="1" si="60"/>
        <v>NA</v>
      </c>
      <c r="BI213" s="12" t="str">
        <f t="shared" ca="1" si="61"/>
        <v>NA</v>
      </c>
      <c r="BJ213" s="12" t="str">
        <f t="shared" ca="1" si="62"/>
        <v>NA</v>
      </c>
      <c r="BK213" s="5"/>
      <c r="BL213" s="5"/>
      <c r="BM213" s="12" t="str">
        <f t="shared" ca="1" si="63"/>
        <v>NA</v>
      </c>
      <c r="BN213" s="12" t="str">
        <f t="shared" ca="1" si="64"/>
        <v>NA</v>
      </c>
      <c r="BO213" s="12" t="str">
        <f t="shared" ca="1" si="65"/>
        <v>NA</v>
      </c>
      <c r="BP213" s="5"/>
      <c r="BQ213" s="5"/>
      <c r="BR213" s="5"/>
      <c r="BS213" s="12" t="str">
        <f t="shared" ca="1" si="66"/>
        <v>NA</v>
      </c>
      <c r="BT213" s="12" t="str">
        <f t="shared" ca="1" si="67"/>
        <v>NA</v>
      </c>
      <c r="BU213" s="12" t="str">
        <f t="shared" ca="1" si="68"/>
        <v>NA</v>
      </c>
      <c r="BV213" s="5"/>
      <c r="BW213" s="5"/>
      <c r="BX213" s="12" t="str">
        <f t="shared" ca="1" si="69"/>
        <v>NA</v>
      </c>
      <c r="BY213" s="12" t="str">
        <f t="shared" ca="1" si="70"/>
        <v>NA</v>
      </c>
      <c r="BZ213" s="12" t="str">
        <f t="shared" ca="1" si="71"/>
        <v>NA</v>
      </c>
      <c r="CA213" s="5"/>
    </row>
    <row r="214" spans="1:79" ht="12.75" customHeight="1" x14ac:dyDescent="0.15">
      <c r="A214" s="4">
        <v>2637</v>
      </c>
      <c r="B214" s="5" t="s">
        <v>79</v>
      </c>
      <c r="C214" s="5" t="s">
        <v>852</v>
      </c>
      <c r="D214" s="6" t="s">
        <v>1160</v>
      </c>
      <c r="E214" s="7">
        <v>23548</v>
      </c>
      <c r="F214" s="6" t="s">
        <v>1161</v>
      </c>
      <c r="G214" s="8" t="s">
        <v>856</v>
      </c>
      <c r="H214" s="6" t="s">
        <v>1162</v>
      </c>
      <c r="I214" s="8" t="s">
        <v>988</v>
      </c>
      <c r="J214" s="8"/>
      <c r="K214" s="8"/>
      <c r="L214" s="8" t="s">
        <v>82</v>
      </c>
      <c r="M214" s="7">
        <v>2406</v>
      </c>
      <c r="N214" s="7">
        <v>2608</v>
      </c>
      <c r="O214" s="13">
        <v>40578</v>
      </c>
      <c r="P214" s="10" t="str">
        <f t="shared" ca="1" si="38"/>
        <v>NA</v>
      </c>
      <c r="Q214" s="5" t="str">
        <f t="shared" ca="1" si="39"/>
        <v>NA</v>
      </c>
      <c r="R214" s="5" t="str">
        <f t="shared" ca="1" si="40"/>
        <v>NA</v>
      </c>
      <c r="S214" s="7">
        <f t="shared" ca="1" si="41"/>
        <v>2011</v>
      </c>
      <c r="T214" s="7">
        <f t="shared" ca="1" si="42"/>
        <v>2</v>
      </c>
      <c r="U214" s="7">
        <f t="shared" ca="1" si="43"/>
        <v>4</v>
      </c>
      <c r="V214" s="6" t="s">
        <v>1163</v>
      </c>
      <c r="W214" s="14" t="s">
        <v>96</v>
      </c>
      <c r="X214" s="15"/>
      <c r="Y214" s="5">
        <f t="shared" ca="1" si="74"/>
        <v>2</v>
      </c>
      <c r="Z214" s="6"/>
      <c r="AA214" s="12" t="str">
        <f t="shared" ca="1" si="45"/>
        <v>NA</v>
      </c>
      <c r="AB214" s="12" t="str">
        <f t="shared" ca="1" si="46"/>
        <v>NA</v>
      </c>
      <c r="AC214" s="12" t="str">
        <f t="shared" ca="1" si="47"/>
        <v>NA</v>
      </c>
      <c r="AD214" s="6"/>
      <c r="AE214" s="5"/>
      <c r="AF214" s="6"/>
      <c r="AG214" s="5"/>
      <c r="AH214" s="12" t="str">
        <f t="shared" ca="1" si="48"/>
        <v>NA</v>
      </c>
      <c r="AI214" s="12" t="str">
        <f t="shared" ca="1" si="49"/>
        <v>NA</v>
      </c>
      <c r="AJ214" s="12" t="str">
        <f t="shared" ca="1" si="50"/>
        <v>NA</v>
      </c>
      <c r="AK214" s="5"/>
      <c r="AL214" s="5"/>
      <c r="AM214" s="5"/>
      <c r="AN214" s="5"/>
      <c r="AO214" s="11">
        <v>40842</v>
      </c>
      <c r="AP214" s="12">
        <f t="shared" ca="1" si="51"/>
        <v>2011</v>
      </c>
      <c r="AQ214" s="12">
        <f t="shared" ca="1" si="52"/>
        <v>10</v>
      </c>
      <c r="AR214" s="12">
        <f t="shared" ca="1" si="53"/>
        <v>26</v>
      </c>
      <c r="AS214" s="8" t="s">
        <v>1164</v>
      </c>
      <c r="AT214" s="8"/>
      <c r="AU214" s="11">
        <v>42193</v>
      </c>
      <c r="AV214" s="12">
        <f t="shared" ca="1" si="54"/>
        <v>2015</v>
      </c>
      <c r="AW214" s="12">
        <f t="shared" ca="1" si="55"/>
        <v>7</v>
      </c>
      <c r="AX214" s="12">
        <f t="shared" ca="1" si="56"/>
        <v>8</v>
      </c>
      <c r="AY214" s="8" t="s">
        <v>1165</v>
      </c>
      <c r="AZ214" s="8"/>
      <c r="BA214" s="18"/>
      <c r="BB214" s="12" t="str">
        <f t="shared" ca="1" si="57"/>
        <v>NA</v>
      </c>
      <c r="BC214" s="12" t="str">
        <f t="shared" ca="1" si="58"/>
        <v>NA</v>
      </c>
      <c r="BD214" s="12" t="str">
        <f t="shared" ca="1" si="59"/>
        <v>NA</v>
      </c>
      <c r="BE214" s="5"/>
      <c r="BF214" s="5"/>
      <c r="BG214" s="5"/>
      <c r="BH214" s="12" t="str">
        <f t="shared" ca="1" si="60"/>
        <v>NA</v>
      </c>
      <c r="BI214" s="12" t="str">
        <f t="shared" ca="1" si="61"/>
        <v>NA</v>
      </c>
      <c r="BJ214" s="12" t="str">
        <f t="shared" ca="1" si="62"/>
        <v>NA</v>
      </c>
      <c r="BK214" s="5"/>
      <c r="BL214" s="5"/>
      <c r="BM214" s="12" t="str">
        <f t="shared" ca="1" si="63"/>
        <v>NA</v>
      </c>
      <c r="BN214" s="12" t="str">
        <f t="shared" ca="1" si="64"/>
        <v>NA</v>
      </c>
      <c r="BO214" s="12" t="str">
        <f t="shared" ca="1" si="65"/>
        <v>NA</v>
      </c>
      <c r="BP214" s="5"/>
      <c r="BQ214" s="5"/>
      <c r="BR214" s="5"/>
      <c r="BS214" s="12" t="str">
        <f t="shared" ca="1" si="66"/>
        <v>NA</v>
      </c>
      <c r="BT214" s="12" t="str">
        <f t="shared" ca="1" si="67"/>
        <v>NA</v>
      </c>
      <c r="BU214" s="12" t="str">
        <f t="shared" ca="1" si="68"/>
        <v>NA</v>
      </c>
      <c r="BV214" s="5"/>
      <c r="BW214" s="5"/>
      <c r="BX214" s="12" t="str">
        <f t="shared" ca="1" si="69"/>
        <v>NA</v>
      </c>
      <c r="BY214" s="12" t="str">
        <f t="shared" ca="1" si="70"/>
        <v>NA</v>
      </c>
      <c r="BZ214" s="12" t="str">
        <f t="shared" ca="1" si="71"/>
        <v>NA</v>
      </c>
      <c r="CA214" s="5"/>
    </row>
    <row r="215" spans="1:79" ht="12.75" customHeight="1" x14ac:dyDescent="0.15">
      <c r="A215" s="4">
        <v>2637</v>
      </c>
      <c r="B215" s="5" t="s">
        <v>79</v>
      </c>
      <c r="C215" s="5" t="s">
        <v>79</v>
      </c>
      <c r="D215" s="6" t="s">
        <v>1166</v>
      </c>
      <c r="E215" s="7">
        <v>23548</v>
      </c>
      <c r="F215" s="6" t="s">
        <v>1167</v>
      </c>
      <c r="G215" s="8"/>
      <c r="H215" s="8"/>
      <c r="I215" s="8"/>
      <c r="J215" s="8"/>
      <c r="K215" s="8"/>
      <c r="L215" s="8" t="s">
        <v>82</v>
      </c>
      <c r="M215" s="7">
        <v>2406</v>
      </c>
      <c r="N215" s="7">
        <v>2608</v>
      </c>
      <c r="O215" s="13">
        <v>40578</v>
      </c>
      <c r="P215" s="10" t="str">
        <f t="shared" ca="1" si="38"/>
        <v>NA</v>
      </c>
      <c r="Q215" s="5" t="str">
        <f t="shared" ca="1" si="39"/>
        <v>NA</v>
      </c>
      <c r="R215" s="5" t="str">
        <f t="shared" ca="1" si="40"/>
        <v>NA</v>
      </c>
      <c r="S215" s="7">
        <f t="shared" ca="1" si="41"/>
        <v>2011</v>
      </c>
      <c r="T215" s="7">
        <f t="shared" ca="1" si="42"/>
        <v>2</v>
      </c>
      <c r="U215" s="7">
        <f t="shared" ca="1" si="43"/>
        <v>4</v>
      </c>
      <c r="V215" s="6" t="s">
        <v>1168</v>
      </c>
      <c r="W215" s="14" t="s">
        <v>96</v>
      </c>
      <c r="X215" s="15"/>
      <c r="Y215" s="5">
        <f t="shared" ca="1" si="74"/>
        <v>2</v>
      </c>
      <c r="Z215" s="6"/>
      <c r="AA215" s="12" t="str">
        <f t="shared" ca="1" si="45"/>
        <v>NA</v>
      </c>
      <c r="AB215" s="12" t="str">
        <f t="shared" ca="1" si="46"/>
        <v>NA</v>
      </c>
      <c r="AC215" s="12" t="str">
        <f t="shared" ca="1" si="47"/>
        <v>NA</v>
      </c>
      <c r="AD215" s="6"/>
      <c r="AE215" s="5"/>
      <c r="AF215" s="6"/>
      <c r="AG215" s="5"/>
      <c r="AH215" s="12" t="str">
        <f t="shared" ca="1" si="48"/>
        <v>NA</v>
      </c>
      <c r="AI215" s="12" t="str">
        <f t="shared" ca="1" si="49"/>
        <v>NA</v>
      </c>
      <c r="AJ215" s="12" t="str">
        <f t="shared" ca="1" si="50"/>
        <v>NA</v>
      </c>
      <c r="AK215" s="5"/>
      <c r="AL215" s="5"/>
      <c r="AM215" s="5"/>
      <c r="AN215" s="5"/>
      <c r="AO215" s="11">
        <v>40842</v>
      </c>
      <c r="AP215" s="12">
        <f t="shared" ca="1" si="51"/>
        <v>2011</v>
      </c>
      <c r="AQ215" s="12">
        <f t="shared" ca="1" si="52"/>
        <v>10</v>
      </c>
      <c r="AR215" s="12">
        <f t="shared" ca="1" si="53"/>
        <v>26</v>
      </c>
      <c r="AS215" s="8" t="s">
        <v>1169</v>
      </c>
      <c r="AT215" s="8"/>
      <c r="AU215" s="11">
        <v>42193</v>
      </c>
      <c r="AV215" s="12">
        <f t="shared" ca="1" si="54"/>
        <v>2015</v>
      </c>
      <c r="AW215" s="12">
        <f t="shared" ca="1" si="55"/>
        <v>7</v>
      </c>
      <c r="AX215" s="12">
        <f t="shared" ca="1" si="56"/>
        <v>8</v>
      </c>
      <c r="AY215" s="8" t="s">
        <v>1170</v>
      </c>
      <c r="AZ215" s="8"/>
      <c r="BA215" s="6"/>
      <c r="BB215" s="12" t="str">
        <f t="shared" ca="1" si="57"/>
        <v>NA</v>
      </c>
      <c r="BC215" s="12" t="str">
        <f t="shared" ca="1" si="58"/>
        <v>NA</v>
      </c>
      <c r="BD215" s="12" t="str">
        <f t="shared" ca="1" si="59"/>
        <v>NA</v>
      </c>
      <c r="BE215" s="5"/>
      <c r="BF215" s="5"/>
      <c r="BG215" s="5"/>
      <c r="BH215" s="12" t="str">
        <f t="shared" ca="1" si="60"/>
        <v>NA</v>
      </c>
      <c r="BI215" s="12" t="str">
        <f t="shared" ca="1" si="61"/>
        <v>NA</v>
      </c>
      <c r="BJ215" s="12" t="str">
        <f t="shared" ca="1" si="62"/>
        <v>NA</v>
      </c>
      <c r="BK215" s="5"/>
      <c r="BL215" s="5"/>
      <c r="BM215" s="12" t="str">
        <f t="shared" ca="1" si="63"/>
        <v>NA</v>
      </c>
      <c r="BN215" s="12" t="str">
        <f t="shared" ca="1" si="64"/>
        <v>NA</v>
      </c>
      <c r="BO215" s="12" t="str">
        <f t="shared" ca="1" si="65"/>
        <v>NA</v>
      </c>
      <c r="BP215" s="5"/>
      <c r="BQ215" s="5"/>
      <c r="BR215" s="5"/>
      <c r="BS215" s="12" t="str">
        <f t="shared" ca="1" si="66"/>
        <v>NA</v>
      </c>
      <c r="BT215" s="12" t="str">
        <f t="shared" ca="1" si="67"/>
        <v>NA</v>
      </c>
      <c r="BU215" s="12" t="str">
        <f t="shared" ca="1" si="68"/>
        <v>NA</v>
      </c>
      <c r="BV215" s="5"/>
      <c r="BW215" s="5"/>
      <c r="BX215" s="12" t="str">
        <f t="shared" ca="1" si="69"/>
        <v>NA</v>
      </c>
      <c r="BY215" s="12" t="str">
        <f t="shared" ca="1" si="70"/>
        <v>NA</v>
      </c>
      <c r="BZ215" s="12" t="str">
        <f t="shared" ca="1" si="71"/>
        <v>NA</v>
      </c>
      <c r="CA215" s="5"/>
    </row>
    <row r="216" spans="1:79" ht="12.75" customHeight="1" x14ac:dyDescent="0.15">
      <c r="A216" s="4">
        <v>2632</v>
      </c>
      <c r="B216" s="5" t="s">
        <v>852</v>
      </c>
      <c r="C216" s="5" t="s">
        <v>852</v>
      </c>
      <c r="D216" s="6" t="s">
        <v>1171</v>
      </c>
      <c r="E216" s="7">
        <v>201291</v>
      </c>
      <c r="F216" s="6" t="s">
        <v>1172</v>
      </c>
      <c r="G216" s="8" t="s">
        <v>856</v>
      </c>
      <c r="H216" s="6" t="s">
        <v>1173</v>
      </c>
      <c r="I216" s="8">
        <v>2450</v>
      </c>
      <c r="J216" s="8"/>
      <c r="K216" s="8"/>
      <c r="L216" s="8" t="s">
        <v>82</v>
      </c>
      <c r="M216" s="7">
        <v>1130</v>
      </c>
      <c r="N216" s="7">
        <v>2436</v>
      </c>
      <c r="O216" s="13">
        <v>40399</v>
      </c>
      <c r="P216" s="10" t="str">
        <f t="shared" ca="1" si="38"/>
        <v>NA</v>
      </c>
      <c r="Q216" s="5" t="str">
        <f t="shared" ca="1" si="39"/>
        <v>NA</v>
      </c>
      <c r="R216" s="5" t="str">
        <f t="shared" ca="1" si="40"/>
        <v>NA</v>
      </c>
      <c r="S216" s="7">
        <f t="shared" ca="1" si="41"/>
        <v>2010</v>
      </c>
      <c r="T216" s="7">
        <f t="shared" ca="1" si="42"/>
        <v>8</v>
      </c>
      <c r="U216" s="7">
        <f t="shared" ca="1" si="43"/>
        <v>9</v>
      </c>
      <c r="V216" s="6" t="s">
        <v>1174</v>
      </c>
      <c r="W216" s="14" t="s">
        <v>96</v>
      </c>
      <c r="X216" s="15"/>
      <c r="Y216" s="5">
        <f t="shared" ca="1" si="74"/>
        <v>1</v>
      </c>
      <c r="Z216" s="6"/>
      <c r="AA216" s="12" t="str">
        <f t="shared" ca="1" si="45"/>
        <v>NA</v>
      </c>
      <c r="AB216" s="12" t="str">
        <f t="shared" ca="1" si="46"/>
        <v>NA</v>
      </c>
      <c r="AC216" s="12" t="str">
        <f t="shared" ca="1" si="47"/>
        <v>NA</v>
      </c>
      <c r="AD216" s="6"/>
      <c r="AE216" s="5"/>
      <c r="AF216" s="6"/>
      <c r="AG216" s="5"/>
      <c r="AH216" s="12" t="str">
        <f t="shared" ca="1" si="48"/>
        <v>NA</v>
      </c>
      <c r="AI216" s="12" t="str">
        <f t="shared" ca="1" si="49"/>
        <v>NA</v>
      </c>
      <c r="AJ216" s="12" t="str">
        <f t="shared" ca="1" si="50"/>
        <v>NA</v>
      </c>
      <c r="AK216" s="5"/>
      <c r="AL216" s="5"/>
      <c r="AM216" s="5"/>
      <c r="AN216" s="5"/>
      <c r="AO216" s="11">
        <v>40940</v>
      </c>
      <c r="AP216" s="12">
        <f t="shared" ca="1" si="51"/>
        <v>2012</v>
      </c>
      <c r="AQ216" s="12">
        <f t="shared" ca="1" si="52"/>
        <v>2</v>
      </c>
      <c r="AR216" s="12">
        <f t="shared" ca="1" si="53"/>
        <v>1</v>
      </c>
      <c r="AS216" s="8" t="s">
        <v>1175</v>
      </c>
      <c r="AT216" s="8"/>
      <c r="AU216" s="5"/>
      <c r="AV216" s="12" t="str">
        <f t="shared" ca="1" si="54"/>
        <v>NA</v>
      </c>
      <c r="AW216" s="12" t="str">
        <f t="shared" ca="1" si="55"/>
        <v>NA</v>
      </c>
      <c r="AX216" s="12" t="str">
        <f t="shared" ca="1" si="56"/>
        <v>NA</v>
      </c>
      <c r="AY216" s="5"/>
      <c r="AZ216" s="5"/>
      <c r="BA216" s="5"/>
      <c r="BB216" s="12" t="str">
        <f t="shared" ca="1" si="57"/>
        <v>NA</v>
      </c>
      <c r="BC216" s="12" t="str">
        <f t="shared" ca="1" si="58"/>
        <v>NA</v>
      </c>
      <c r="BD216" s="12" t="str">
        <f t="shared" ca="1" si="59"/>
        <v>NA</v>
      </c>
      <c r="BE216" s="5"/>
      <c r="BF216" s="5"/>
      <c r="BG216" s="5"/>
      <c r="BH216" s="12" t="str">
        <f t="shared" ca="1" si="60"/>
        <v>NA</v>
      </c>
      <c r="BI216" s="12" t="str">
        <f t="shared" ca="1" si="61"/>
        <v>NA</v>
      </c>
      <c r="BJ216" s="12" t="str">
        <f t="shared" ca="1" si="62"/>
        <v>NA</v>
      </c>
      <c r="BK216" s="5"/>
      <c r="BL216" s="5"/>
      <c r="BM216" s="12" t="str">
        <f t="shared" ca="1" si="63"/>
        <v>NA</v>
      </c>
      <c r="BN216" s="12" t="str">
        <f t="shared" ca="1" si="64"/>
        <v>NA</v>
      </c>
      <c r="BO216" s="12" t="str">
        <f t="shared" ca="1" si="65"/>
        <v>NA</v>
      </c>
      <c r="BP216" s="5"/>
      <c r="BQ216" s="5"/>
      <c r="BR216" s="5"/>
      <c r="BS216" s="12" t="str">
        <f t="shared" ca="1" si="66"/>
        <v>NA</v>
      </c>
      <c r="BT216" s="12" t="str">
        <f t="shared" ca="1" si="67"/>
        <v>NA</v>
      </c>
      <c r="BU216" s="12" t="str">
        <f t="shared" ca="1" si="68"/>
        <v>NA</v>
      </c>
      <c r="BV216" s="5"/>
      <c r="BW216" s="5"/>
      <c r="BX216" s="12" t="str">
        <f t="shared" ca="1" si="69"/>
        <v>NA</v>
      </c>
      <c r="BY216" s="12" t="str">
        <f t="shared" ca="1" si="70"/>
        <v>NA</v>
      </c>
      <c r="BZ216" s="12" t="str">
        <f t="shared" ca="1" si="71"/>
        <v>NA</v>
      </c>
      <c r="CA216" s="5"/>
    </row>
    <row r="217" spans="1:79" ht="12.75" customHeight="1" x14ac:dyDescent="0.15">
      <c r="A217" s="4">
        <v>2638</v>
      </c>
      <c r="B217" s="5" t="s">
        <v>79</v>
      </c>
      <c r="C217" s="5" t="s">
        <v>79</v>
      </c>
      <c r="D217" s="6" t="s">
        <v>1176</v>
      </c>
      <c r="E217" s="7">
        <v>6379</v>
      </c>
      <c r="F217" s="6" t="s">
        <v>1177</v>
      </c>
      <c r="G217" s="8"/>
      <c r="H217" s="8"/>
      <c r="I217" s="8"/>
      <c r="J217" s="8"/>
      <c r="K217" s="8"/>
      <c r="L217" s="8" t="s">
        <v>82</v>
      </c>
      <c r="M217" s="7">
        <v>1121</v>
      </c>
      <c r="N217" s="7">
        <v>1145</v>
      </c>
      <c r="O217" s="13">
        <v>40708</v>
      </c>
      <c r="P217" s="10" t="str">
        <f t="shared" ca="1" si="38"/>
        <v>NA</v>
      </c>
      <c r="Q217" s="5" t="str">
        <f t="shared" ca="1" si="39"/>
        <v>NA</v>
      </c>
      <c r="R217" s="5" t="str">
        <f t="shared" ca="1" si="40"/>
        <v>NA</v>
      </c>
      <c r="S217" s="7">
        <f t="shared" ca="1" si="41"/>
        <v>2011</v>
      </c>
      <c r="T217" s="7">
        <f t="shared" ca="1" si="42"/>
        <v>6</v>
      </c>
      <c r="U217" s="7">
        <f t="shared" ca="1" si="43"/>
        <v>14</v>
      </c>
      <c r="V217" s="6" t="s">
        <v>1178</v>
      </c>
      <c r="W217" s="14" t="s">
        <v>96</v>
      </c>
      <c r="X217" s="15"/>
      <c r="Y217" s="5">
        <f t="shared" ca="1" si="74"/>
        <v>0</v>
      </c>
      <c r="Z217" s="6"/>
      <c r="AA217" s="12" t="str">
        <f t="shared" ca="1" si="45"/>
        <v>NA</v>
      </c>
      <c r="AB217" s="12" t="str">
        <f t="shared" ca="1" si="46"/>
        <v>NA</v>
      </c>
      <c r="AC217" s="12" t="str">
        <f t="shared" ca="1" si="47"/>
        <v>NA</v>
      </c>
      <c r="AD217" s="6"/>
      <c r="AE217" s="5"/>
      <c r="AF217" s="6"/>
      <c r="AG217" s="5"/>
      <c r="AH217" s="12" t="str">
        <f t="shared" ca="1" si="48"/>
        <v>NA</v>
      </c>
      <c r="AI217" s="12" t="str">
        <f t="shared" ca="1" si="49"/>
        <v>NA</v>
      </c>
      <c r="AJ217" s="12" t="str">
        <f t="shared" ca="1" si="50"/>
        <v>NA</v>
      </c>
      <c r="AK217" s="5"/>
      <c r="AL217" s="5"/>
      <c r="AM217" s="5"/>
      <c r="AN217" s="5"/>
      <c r="AO217" s="5"/>
      <c r="AP217" s="12" t="str">
        <f t="shared" ca="1" si="51"/>
        <v>NA</v>
      </c>
      <c r="AQ217" s="12" t="str">
        <f t="shared" ca="1" si="52"/>
        <v>NA</v>
      </c>
      <c r="AR217" s="12" t="str">
        <f t="shared" ca="1" si="53"/>
        <v>NA</v>
      </c>
      <c r="AS217" s="5"/>
      <c r="AT217" s="5"/>
      <c r="AU217" s="5"/>
      <c r="AV217" s="12" t="str">
        <f t="shared" ca="1" si="54"/>
        <v>NA</v>
      </c>
      <c r="AW217" s="12" t="str">
        <f t="shared" ca="1" si="55"/>
        <v>NA</v>
      </c>
      <c r="AX217" s="12" t="str">
        <f t="shared" ca="1" si="56"/>
        <v>NA</v>
      </c>
      <c r="AY217" s="5"/>
      <c r="AZ217" s="5"/>
      <c r="BA217" s="6"/>
      <c r="BB217" s="12" t="str">
        <f t="shared" ca="1" si="57"/>
        <v>NA</v>
      </c>
      <c r="BC217" s="12" t="str">
        <f t="shared" ca="1" si="58"/>
        <v>NA</v>
      </c>
      <c r="BD217" s="12" t="str">
        <f t="shared" ca="1" si="59"/>
        <v>NA</v>
      </c>
      <c r="BE217" s="5"/>
      <c r="BF217" s="5"/>
      <c r="BG217" s="5"/>
      <c r="BH217" s="12" t="str">
        <f t="shared" ca="1" si="60"/>
        <v>NA</v>
      </c>
      <c r="BI217" s="12" t="str">
        <f t="shared" ca="1" si="61"/>
        <v>NA</v>
      </c>
      <c r="BJ217" s="12" t="str">
        <f t="shared" ca="1" si="62"/>
        <v>NA</v>
      </c>
      <c r="BK217" s="5"/>
      <c r="BL217" s="5"/>
      <c r="BM217" s="12" t="str">
        <f t="shared" ca="1" si="63"/>
        <v>NA</v>
      </c>
      <c r="BN217" s="12" t="str">
        <f t="shared" ca="1" si="64"/>
        <v>NA</v>
      </c>
      <c r="BO217" s="12" t="str">
        <f t="shared" ca="1" si="65"/>
        <v>NA</v>
      </c>
      <c r="BP217" s="5"/>
      <c r="BQ217" s="5"/>
      <c r="BR217" s="5"/>
      <c r="BS217" s="12" t="str">
        <f t="shared" ca="1" si="66"/>
        <v>NA</v>
      </c>
      <c r="BT217" s="12" t="str">
        <f t="shared" ca="1" si="67"/>
        <v>NA</v>
      </c>
      <c r="BU217" s="12" t="str">
        <f t="shared" ca="1" si="68"/>
        <v>NA</v>
      </c>
      <c r="BV217" s="5"/>
      <c r="BW217" s="5"/>
      <c r="BX217" s="12" t="str">
        <f t="shared" ca="1" si="69"/>
        <v>NA</v>
      </c>
      <c r="BY217" s="12" t="str">
        <f t="shared" ca="1" si="70"/>
        <v>NA</v>
      </c>
      <c r="BZ217" s="12" t="str">
        <f t="shared" ca="1" si="71"/>
        <v>NA</v>
      </c>
      <c r="CA217" s="5"/>
    </row>
    <row r="218" spans="1:79" ht="12.75" customHeight="1" x14ac:dyDescent="0.15">
      <c r="A218" s="4">
        <v>2639</v>
      </c>
      <c r="B218" s="5" t="s">
        <v>79</v>
      </c>
      <c r="C218" s="5" t="s">
        <v>852</v>
      </c>
      <c r="D218" s="6" t="s">
        <v>1179</v>
      </c>
      <c r="E218" s="7">
        <v>213146</v>
      </c>
      <c r="F218" s="6" t="s">
        <v>1180</v>
      </c>
      <c r="G218" s="8"/>
      <c r="H218" s="8"/>
      <c r="I218" s="8"/>
      <c r="J218" s="8"/>
      <c r="K218" s="8"/>
      <c r="L218" s="8" t="s">
        <v>82</v>
      </c>
      <c r="M218" s="7">
        <v>1121</v>
      </c>
      <c r="N218" s="7">
        <v>1145</v>
      </c>
      <c r="O218" s="13">
        <v>40708</v>
      </c>
      <c r="P218" s="10" t="str">
        <f t="shared" ca="1" si="38"/>
        <v>NA</v>
      </c>
      <c r="Q218" s="5" t="str">
        <f t="shared" ca="1" si="39"/>
        <v>NA</v>
      </c>
      <c r="R218" s="5" t="str">
        <f t="shared" ca="1" si="40"/>
        <v>NA</v>
      </c>
      <c r="S218" s="7">
        <f t="shared" ca="1" si="41"/>
        <v>2011</v>
      </c>
      <c r="T218" s="7">
        <f t="shared" ca="1" si="42"/>
        <v>6</v>
      </c>
      <c r="U218" s="7">
        <f t="shared" ca="1" si="43"/>
        <v>14</v>
      </c>
      <c r="V218" s="6" t="s">
        <v>1181</v>
      </c>
      <c r="W218" s="14" t="s">
        <v>96</v>
      </c>
      <c r="X218" s="15"/>
      <c r="Y218" s="5">
        <f t="shared" ca="1" si="74"/>
        <v>1</v>
      </c>
      <c r="Z218" s="6"/>
      <c r="AA218" s="12" t="str">
        <f t="shared" ca="1" si="45"/>
        <v>NA</v>
      </c>
      <c r="AB218" s="12" t="str">
        <f t="shared" ca="1" si="46"/>
        <v>NA</v>
      </c>
      <c r="AC218" s="12" t="str">
        <f t="shared" ca="1" si="47"/>
        <v>NA</v>
      </c>
      <c r="AD218" s="6"/>
      <c r="AE218" s="5"/>
      <c r="AF218" s="6"/>
      <c r="AG218" s="5"/>
      <c r="AH218" s="12" t="str">
        <f t="shared" ca="1" si="48"/>
        <v>NA</v>
      </c>
      <c r="AI218" s="12" t="str">
        <f t="shared" ca="1" si="49"/>
        <v>NA</v>
      </c>
      <c r="AJ218" s="12" t="str">
        <f t="shared" ca="1" si="50"/>
        <v>NA</v>
      </c>
      <c r="AK218" s="5"/>
      <c r="AL218" s="5"/>
      <c r="AM218" s="5"/>
      <c r="AN218" s="5"/>
      <c r="AO218" s="11">
        <v>41612</v>
      </c>
      <c r="AP218" s="12">
        <f t="shared" ca="1" si="51"/>
        <v>2013</v>
      </c>
      <c r="AQ218" s="12">
        <f t="shared" ca="1" si="52"/>
        <v>12</v>
      </c>
      <c r="AR218" s="12">
        <f t="shared" ca="1" si="53"/>
        <v>4</v>
      </c>
      <c r="AS218" s="8" t="s">
        <v>1182</v>
      </c>
      <c r="AT218" s="8"/>
      <c r="AU218" s="5"/>
      <c r="AV218" s="12" t="str">
        <f t="shared" ca="1" si="54"/>
        <v>NA</v>
      </c>
      <c r="AW218" s="12" t="str">
        <f t="shared" ca="1" si="55"/>
        <v>NA</v>
      </c>
      <c r="AX218" s="12" t="str">
        <f t="shared" ca="1" si="56"/>
        <v>NA</v>
      </c>
      <c r="AY218" s="5"/>
      <c r="AZ218" s="5"/>
      <c r="BA218" s="5"/>
      <c r="BB218" s="12" t="str">
        <f t="shared" ca="1" si="57"/>
        <v>NA</v>
      </c>
      <c r="BC218" s="12" t="str">
        <f t="shared" ca="1" si="58"/>
        <v>NA</v>
      </c>
      <c r="BD218" s="12" t="str">
        <f t="shared" ca="1" si="59"/>
        <v>NA</v>
      </c>
      <c r="BE218" s="5"/>
      <c r="BF218" s="5"/>
      <c r="BG218" s="5"/>
      <c r="BH218" s="12" t="str">
        <f t="shared" ca="1" si="60"/>
        <v>NA</v>
      </c>
      <c r="BI218" s="12" t="str">
        <f t="shared" ca="1" si="61"/>
        <v>NA</v>
      </c>
      <c r="BJ218" s="12" t="str">
        <f t="shared" ca="1" si="62"/>
        <v>NA</v>
      </c>
      <c r="BK218" s="5"/>
      <c r="BL218" s="5"/>
      <c r="BM218" s="12" t="str">
        <f t="shared" ca="1" si="63"/>
        <v>NA</v>
      </c>
      <c r="BN218" s="12" t="str">
        <f t="shared" ca="1" si="64"/>
        <v>NA</v>
      </c>
      <c r="BO218" s="12" t="str">
        <f t="shared" ca="1" si="65"/>
        <v>NA</v>
      </c>
      <c r="BP218" s="5"/>
      <c r="BQ218" s="5"/>
      <c r="BR218" s="5"/>
      <c r="BS218" s="12" t="str">
        <f t="shared" ca="1" si="66"/>
        <v>NA</v>
      </c>
      <c r="BT218" s="12" t="str">
        <f t="shared" ca="1" si="67"/>
        <v>NA</v>
      </c>
      <c r="BU218" s="12" t="str">
        <f t="shared" ca="1" si="68"/>
        <v>NA</v>
      </c>
      <c r="BV218" s="5"/>
      <c r="BW218" s="5"/>
      <c r="BX218" s="12" t="str">
        <f t="shared" ca="1" si="69"/>
        <v>NA</v>
      </c>
      <c r="BY218" s="12" t="str">
        <f t="shared" ca="1" si="70"/>
        <v>NA</v>
      </c>
      <c r="BZ218" s="12" t="str">
        <f t="shared" ca="1" si="71"/>
        <v>NA</v>
      </c>
      <c r="CA218" s="5"/>
    </row>
    <row r="219" spans="1:79" ht="12.75" customHeight="1" x14ac:dyDescent="0.15">
      <c r="A219" s="4">
        <v>2639</v>
      </c>
      <c r="B219" s="5" t="s">
        <v>79</v>
      </c>
      <c r="C219" s="5" t="s">
        <v>79</v>
      </c>
      <c r="D219" s="6" t="s">
        <v>1183</v>
      </c>
      <c r="E219" s="7">
        <v>213146</v>
      </c>
      <c r="F219" s="6" t="s">
        <v>1184</v>
      </c>
      <c r="G219" s="8"/>
      <c r="H219" s="8"/>
      <c r="I219" s="8"/>
      <c r="J219" s="8"/>
      <c r="K219" s="8"/>
      <c r="L219" s="8" t="s">
        <v>82</v>
      </c>
      <c r="M219" s="7">
        <v>1121</v>
      </c>
      <c r="N219" s="7">
        <v>1145</v>
      </c>
      <c r="O219" s="13">
        <v>40708</v>
      </c>
      <c r="P219" s="10" t="str">
        <f t="shared" ca="1" si="38"/>
        <v>NA</v>
      </c>
      <c r="Q219" s="5" t="str">
        <f t="shared" ca="1" si="39"/>
        <v>NA</v>
      </c>
      <c r="R219" s="5" t="str">
        <f t="shared" ca="1" si="40"/>
        <v>NA</v>
      </c>
      <c r="S219" s="7">
        <f t="shared" ca="1" si="41"/>
        <v>2011</v>
      </c>
      <c r="T219" s="7">
        <f t="shared" ca="1" si="42"/>
        <v>6</v>
      </c>
      <c r="U219" s="7">
        <f t="shared" ca="1" si="43"/>
        <v>14</v>
      </c>
      <c r="V219" s="6" t="s">
        <v>1185</v>
      </c>
      <c r="W219" s="14" t="s">
        <v>96</v>
      </c>
      <c r="X219" s="15"/>
      <c r="Y219" s="5">
        <f t="shared" ca="1" si="74"/>
        <v>1</v>
      </c>
      <c r="Z219" s="6"/>
      <c r="AA219" s="12" t="str">
        <f t="shared" ca="1" si="45"/>
        <v>NA</v>
      </c>
      <c r="AB219" s="12" t="str">
        <f t="shared" ca="1" si="46"/>
        <v>NA</v>
      </c>
      <c r="AC219" s="12" t="str">
        <f t="shared" ca="1" si="47"/>
        <v>NA</v>
      </c>
      <c r="AD219" s="6"/>
      <c r="AE219" s="5"/>
      <c r="AF219" s="6"/>
      <c r="AG219" s="5"/>
      <c r="AH219" s="12" t="str">
        <f t="shared" ca="1" si="48"/>
        <v>NA</v>
      </c>
      <c r="AI219" s="12" t="str">
        <f t="shared" ca="1" si="49"/>
        <v>NA</v>
      </c>
      <c r="AJ219" s="12" t="str">
        <f t="shared" ca="1" si="50"/>
        <v>NA</v>
      </c>
      <c r="AK219" s="5"/>
      <c r="AL219" s="5"/>
      <c r="AM219" s="5"/>
      <c r="AN219" s="5"/>
      <c r="AO219" s="11">
        <v>41612</v>
      </c>
      <c r="AP219" s="12">
        <f t="shared" ca="1" si="51"/>
        <v>2013</v>
      </c>
      <c r="AQ219" s="12">
        <f t="shared" ca="1" si="52"/>
        <v>12</v>
      </c>
      <c r="AR219" s="12">
        <f t="shared" ca="1" si="53"/>
        <v>4</v>
      </c>
      <c r="AS219" s="8" t="s">
        <v>1186</v>
      </c>
      <c r="AT219" s="8"/>
      <c r="AU219" s="5"/>
      <c r="AV219" s="12" t="str">
        <f t="shared" ca="1" si="54"/>
        <v>NA</v>
      </c>
      <c r="AW219" s="12" t="str">
        <f t="shared" ca="1" si="55"/>
        <v>NA</v>
      </c>
      <c r="AX219" s="12" t="str">
        <f t="shared" ca="1" si="56"/>
        <v>NA</v>
      </c>
      <c r="AY219" s="5"/>
      <c r="AZ219" s="5"/>
      <c r="BA219" s="6"/>
      <c r="BB219" s="12" t="str">
        <f t="shared" ca="1" si="57"/>
        <v>NA</v>
      </c>
      <c r="BC219" s="12" t="str">
        <f t="shared" ca="1" si="58"/>
        <v>NA</v>
      </c>
      <c r="BD219" s="12" t="str">
        <f t="shared" ca="1" si="59"/>
        <v>NA</v>
      </c>
      <c r="BE219" s="5"/>
      <c r="BF219" s="5"/>
      <c r="BG219" s="5"/>
      <c r="BH219" s="12" t="str">
        <f t="shared" ca="1" si="60"/>
        <v>NA</v>
      </c>
      <c r="BI219" s="12" t="str">
        <f t="shared" ca="1" si="61"/>
        <v>NA</v>
      </c>
      <c r="BJ219" s="12" t="str">
        <f t="shared" ca="1" si="62"/>
        <v>NA</v>
      </c>
      <c r="BK219" s="5"/>
      <c r="BL219" s="5"/>
      <c r="BM219" s="12" t="str">
        <f t="shared" ca="1" si="63"/>
        <v>NA</v>
      </c>
      <c r="BN219" s="12" t="str">
        <f t="shared" ca="1" si="64"/>
        <v>NA</v>
      </c>
      <c r="BO219" s="12" t="str">
        <f t="shared" ca="1" si="65"/>
        <v>NA</v>
      </c>
      <c r="BP219" s="5"/>
      <c r="BQ219" s="5"/>
      <c r="BR219" s="5"/>
      <c r="BS219" s="12" t="str">
        <f t="shared" ca="1" si="66"/>
        <v>NA</v>
      </c>
      <c r="BT219" s="12" t="str">
        <f t="shared" ca="1" si="67"/>
        <v>NA</v>
      </c>
      <c r="BU219" s="12" t="str">
        <f t="shared" ca="1" si="68"/>
        <v>NA</v>
      </c>
      <c r="BV219" s="5"/>
      <c r="BW219" s="5"/>
      <c r="BX219" s="12" t="str">
        <f t="shared" ca="1" si="69"/>
        <v>NA</v>
      </c>
      <c r="BY219" s="12" t="str">
        <f t="shared" ca="1" si="70"/>
        <v>NA</v>
      </c>
      <c r="BZ219" s="12" t="str">
        <f t="shared" ca="1" si="71"/>
        <v>NA</v>
      </c>
      <c r="CA219" s="5"/>
    </row>
    <row r="220" spans="1:79" ht="12.75" customHeight="1" x14ac:dyDescent="0.15">
      <c r="A220" s="4">
        <v>2502</v>
      </c>
      <c r="B220" s="5" t="s">
        <v>852</v>
      </c>
      <c r="C220" s="5" t="s">
        <v>852</v>
      </c>
      <c r="D220" s="6" t="s">
        <v>1187</v>
      </c>
      <c r="E220" s="7">
        <v>119021</v>
      </c>
      <c r="F220" s="6" t="s">
        <v>1188</v>
      </c>
      <c r="G220" s="8" t="s">
        <v>856</v>
      </c>
      <c r="H220" s="6" t="s">
        <v>1189</v>
      </c>
      <c r="I220" s="8">
        <v>2641</v>
      </c>
      <c r="J220" s="8"/>
      <c r="K220" s="8"/>
      <c r="L220" s="8" t="s">
        <v>82</v>
      </c>
      <c r="M220" s="7">
        <v>1138</v>
      </c>
      <c r="N220" s="7">
        <v>2413</v>
      </c>
      <c r="O220" s="13">
        <v>39089</v>
      </c>
      <c r="P220" s="10" t="str">
        <f t="shared" ca="1" si="38"/>
        <v>NA</v>
      </c>
      <c r="Q220" s="5" t="str">
        <f t="shared" ca="1" si="39"/>
        <v>NA</v>
      </c>
      <c r="R220" s="5" t="str">
        <f t="shared" ca="1" si="40"/>
        <v>NA</v>
      </c>
      <c r="S220" s="7">
        <f t="shared" ca="1" si="41"/>
        <v>2007</v>
      </c>
      <c r="T220" s="7">
        <f t="shared" ca="1" si="42"/>
        <v>1</v>
      </c>
      <c r="U220" s="7">
        <f t="shared" ca="1" si="43"/>
        <v>7</v>
      </c>
      <c r="V220" s="6" t="s">
        <v>1190</v>
      </c>
      <c r="W220" s="14" t="s">
        <v>96</v>
      </c>
      <c r="X220" s="15"/>
      <c r="Y220" s="5">
        <f t="shared" ca="1" si="74"/>
        <v>2</v>
      </c>
      <c r="Z220" s="6"/>
      <c r="AA220" s="12" t="str">
        <f t="shared" ca="1" si="45"/>
        <v>NA</v>
      </c>
      <c r="AB220" s="12" t="str">
        <f t="shared" ca="1" si="46"/>
        <v>NA</v>
      </c>
      <c r="AC220" s="12" t="str">
        <f t="shared" ca="1" si="47"/>
        <v>NA</v>
      </c>
      <c r="AD220" s="6"/>
      <c r="AE220" s="5"/>
      <c r="AF220" s="6"/>
      <c r="AG220" s="5"/>
      <c r="AH220" s="12" t="str">
        <f t="shared" ca="1" si="48"/>
        <v>NA</v>
      </c>
      <c r="AI220" s="12" t="str">
        <f t="shared" ca="1" si="49"/>
        <v>NA</v>
      </c>
      <c r="AJ220" s="12" t="str">
        <f t="shared" ca="1" si="50"/>
        <v>NA</v>
      </c>
      <c r="AK220" s="5"/>
      <c r="AL220" s="5"/>
      <c r="AM220" s="5"/>
      <c r="AN220" s="5"/>
      <c r="AO220" s="11">
        <v>39938</v>
      </c>
      <c r="AP220" s="12">
        <f t="shared" ca="1" si="51"/>
        <v>2009</v>
      </c>
      <c r="AQ220" s="12">
        <f t="shared" ca="1" si="52"/>
        <v>5</v>
      </c>
      <c r="AR220" s="12">
        <f t="shared" ca="1" si="53"/>
        <v>5</v>
      </c>
      <c r="AS220" s="8" t="s">
        <v>1191</v>
      </c>
      <c r="AT220" s="8"/>
      <c r="AU220" s="11">
        <v>43718</v>
      </c>
      <c r="AV220" s="12">
        <f t="shared" ca="1" si="54"/>
        <v>2019</v>
      </c>
      <c r="AW220" s="12">
        <f t="shared" ca="1" si="55"/>
        <v>9</v>
      </c>
      <c r="AX220" s="12">
        <f t="shared" ca="1" si="56"/>
        <v>10</v>
      </c>
      <c r="AY220" s="8" t="s">
        <v>1192</v>
      </c>
      <c r="AZ220" s="8"/>
      <c r="BA220" s="5"/>
      <c r="BB220" s="12" t="str">
        <f t="shared" ca="1" si="57"/>
        <v>NA</v>
      </c>
      <c r="BC220" s="12" t="str">
        <f t="shared" ca="1" si="58"/>
        <v>NA</v>
      </c>
      <c r="BD220" s="12" t="str">
        <f t="shared" ca="1" si="59"/>
        <v>NA</v>
      </c>
      <c r="BE220" s="5"/>
      <c r="BF220" s="5"/>
      <c r="BG220" s="5"/>
      <c r="BH220" s="12" t="str">
        <f t="shared" ca="1" si="60"/>
        <v>NA</v>
      </c>
      <c r="BI220" s="12" t="str">
        <f t="shared" ca="1" si="61"/>
        <v>NA</v>
      </c>
      <c r="BJ220" s="12" t="str">
        <f t="shared" ca="1" si="62"/>
        <v>NA</v>
      </c>
      <c r="BK220" s="5"/>
      <c r="BL220" s="5"/>
      <c r="BM220" s="12" t="str">
        <f t="shared" ca="1" si="63"/>
        <v>NA</v>
      </c>
      <c r="BN220" s="12" t="str">
        <f t="shared" ca="1" si="64"/>
        <v>NA</v>
      </c>
      <c r="BO220" s="12" t="str">
        <f t="shared" ca="1" si="65"/>
        <v>NA</v>
      </c>
      <c r="BP220" s="5"/>
      <c r="BQ220" s="5"/>
      <c r="BR220" s="5"/>
      <c r="BS220" s="12" t="str">
        <f t="shared" ca="1" si="66"/>
        <v>NA</v>
      </c>
      <c r="BT220" s="12" t="str">
        <f t="shared" ca="1" si="67"/>
        <v>NA</v>
      </c>
      <c r="BU220" s="12" t="str">
        <f t="shared" ca="1" si="68"/>
        <v>NA</v>
      </c>
      <c r="BV220" s="5"/>
      <c r="BW220" s="5"/>
      <c r="BX220" s="12" t="str">
        <f t="shared" ca="1" si="69"/>
        <v>NA</v>
      </c>
      <c r="BY220" s="12" t="str">
        <f t="shared" ca="1" si="70"/>
        <v>NA</v>
      </c>
      <c r="BZ220" s="12" t="str">
        <f t="shared" ca="1" si="71"/>
        <v>NA</v>
      </c>
      <c r="CA220" s="5"/>
    </row>
    <row r="221" spans="1:79" ht="12.75" customHeight="1" x14ac:dyDescent="0.15">
      <c r="A221" s="4">
        <v>2640</v>
      </c>
      <c r="B221" s="5" t="s">
        <v>79</v>
      </c>
      <c r="C221" s="5" t="s">
        <v>79</v>
      </c>
      <c r="D221" s="6" t="s">
        <v>1193</v>
      </c>
      <c r="E221" s="6" t="s">
        <v>1194</v>
      </c>
      <c r="F221" s="6" t="s">
        <v>1195</v>
      </c>
      <c r="G221" s="8"/>
      <c r="H221" s="8"/>
      <c r="I221" s="8"/>
      <c r="J221" s="8"/>
      <c r="K221" s="8"/>
      <c r="L221" s="8" t="s">
        <v>82</v>
      </c>
      <c r="M221" s="7">
        <v>2420</v>
      </c>
      <c r="N221" s="7">
        <v>2608</v>
      </c>
      <c r="O221" s="13">
        <v>41008</v>
      </c>
      <c r="P221" s="10" t="str">
        <f t="shared" ca="1" si="38"/>
        <v>NA</v>
      </c>
      <c r="Q221" s="5" t="str">
        <f t="shared" ca="1" si="39"/>
        <v>NA</v>
      </c>
      <c r="R221" s="5" t="str">
        <f t="shared" ca="1" si="40"/>
        <v>NA</v>
      </c>
      <c r="S221" s="7">
        <f t="shared" ca="1" si="41"/>
        <v>2012</v>
      </c>
      <c r="T221" s="7">
        <f t="shared" ca="1" si="42"/>
        <v>4</v>
      </c>
      <c r="U221" s="7">
        <f t="shared" ca="1" si="43"/>
        <v>9</v>
      </c>
      <c r="V221" s="6" t="s">
        <v>1196</v>
      </c>
      <c r="W221" s="14" t="s">
        <v>96</v>
      </c>
      <c r="X221" s="15"/>
      <c r="Y221" s="5">
        <f t="shared" ca="1" si="74"/>
        <v>1</v>
      </c>
      <c r="Z221" s="6"/>
      <c r="AA221" s="12" t="str">
        <f t="shared" ca="1" si="45"/>
        <v>NA</v>
      </c>
      <c r="AB221" s="12" t="str">
        <f t="shared" ca="1" si="46"/>
        <v>NA</v>
      </c>
      <c r="AC221" s="12" t="str">
        <f t="shared" ca="1" si="47"/>
        <v>NA</v>
      </c>
      <c r="AD221" s="6"/>
      <c r="AE221" s="5"/>
      <c r="AF221" s="6"/>
      <c r="AG221" s="5"/>
      <c r="AH221" s="12" t="str">
        <f t="shared" ca="1" si="48"/>
        <v>NA</v>
      </c>
      <c r="AI221" s="12" t="str">
        <f t="shared" ca="1" si="49"/>
        <v>NA</v>
      </c>
      <c r="AJ221" s="12" t="str">
        <f t="shared" ca="1" si="50"/>
        <v>NA</v>
      </c>
      <c r="AK221" s="5"/>
      <c r="AL221" s="5"/>
      <c r="AM221" s="5"/>
      <c r="AN221" s="5"/>
      <c r="AO221" s="11">
        <v>41773</v>
      </c>
      <c r="AP221" s="12">
        <f t="shared" ca="1" si="51"/>
        <v>2014</v>
      </c>
      <c r="AQ221" s="12">
        <f t="shared" ca="1" si="52"/>
        <v>5</v>
      </c>
      <c r="AR221" s="12">
        <f t="shared" ca="1" si="53"/>
        <v>14</v>
      </c>
      <c r="AS221" s="8" t="s">
        <v>1197</v>
      </c>
      <c r="AT221" s="8"/>
      <c r="AU221" s="5"/>
      <c r="AV221" s="12" t="str">
        <f t="shared" ca="1" si="54"/>
        <v>NA</v>
      </c>
      <c r="AW221" s="12" t="str">
        <f t="shared" ca="1" si="55"/>
        <v>NA</v>
      </c>
      <c r="AX221" s="12" t="str">
        <f t="shared" ca="1" si="56"/>
        <v>NA</v>
      </c>
      <c r="AY221" s="5"/>
      <c r="AZ221" s="5"/>
      <c r="BA221" s="6"/>
      <c r="BB221" s="12" t="str">
        <f t="shared" ca="1" si="57"/>
        <v>NA</v>
      </c>
      <c r="BC221" s="12" t="str">
        <f t="shared" ca="1" si="58"/>
        <v>NA</v>
      </c>
      <c r="BD221" s="12" t="str">
        <f t="shared" ca="1" si="59"/>
        <v>NA</v>
      </c>
      <c r="BE221" s="5"/>
      <c r="BF221" s="5"/>
      <c r="BG221" s="5"/>
      <c r="BH221" s="12" t="str">
        <f t="shared" ca="1" si="60"/>
        <v>NA</v>
      </c>
      <c r="BI221" s="12" t="str">
        <f t="shared" ca="1" si="61"/>
        <v>NA</v>
      </c>
      <c r="BJ221" s="12" t="str">
        <f t="shared" ca="1" si="62"/>
        <v>NA</v>
      </c>
      <c r="BK221" s="5"/>
      <c r="BL221" s="5"/>
      <c r="BM221" s="12" t="str">
        <f t="shared" ca="1" si="63"/>
        <v>NA</v>
      </c>
      <c r="BN221" s="12" t="str">
        <f t="shared" ca="1" si="64"/>
        <v>NA</v>
      </c>
      <c r="BO221" s="12" t="str">
        <f t="shared" ca="1" si="65"/>
        <v>NA</v>
      </c>
      <c r="BP221" s="5"/>
      <c r="BQ221" s="5"/>
      <c r="BR221" s="5"/>
      <c r="BS221" s="12" t="str">
        <f t="shared" ca="1" si="66"/>
        <v>NA</v>
      </c>
      <c r="BT221" s="12" t="str">
        <f t="shared" ca="1" si="67"/>
        <v>NA</v>
      </c>
      <c r="BU221" s="12" t="str">
        <f t="shared" ca="1" si="68"/>
        <v>NA</v>
      </c>
      <c r="BV221" s="5"/>
      <c r="BW221" s="5"/>
      <c r="BX221" s="12" t="str">
        <f t="shared" ca="1" si="69"/>
        <v>NA</v>
      </c>
      <c r="BY221" s="12" t="str">
        <f t="shared" ca="1" si="70"/>
        <v>NA</v>
      </c>
      <c r="BZ221" s="12" t="str">
        <f t="shared" ca="1" si="71"/>
        <v>NA</v>
      </c>
      <c r="CA221" s="5"/>
    </row>
    <row r="222" spans="1:79" ht="12.75" customHeight="1" x14ac:dyDescent="0.15">
      <c r="A222" s="4">
        <v>2641</v>
      </c>
      <c r="B222" s="5" t="s">
        <v>852</v>
      </c>
      <c r="C222" s="5" t="s">
        <v>852</v>
      </c>
      <c r="D222" s="6" t="s">
        <v>1198</v>
      </c>
      <c r="E222" s="7">
        <v>118015</v>
      </c>
      <c r="F222" s="6" t="s">
        <v>1199</v>
      </c>
      <c r="G222" s="8" t="s">
        <v>856</v>
      </c>
      <c r="H222" s="6" t="s">
        <v>1200</v>
      </c>
      <c r="I222" s="8">
        <v>2502</v>
      </c>
      <c r="J222" s="8"/>
      <c r="K222" s="8"/>
      <c r="L222" s="8" t="s">
        <v>82</v>
      </c>
      <c r="M222" s="7">
        <v>2420</v>
      </c>
      <c r="N222" s="7">
        <v>2608</v>
      </c>
      <c r="O222" s="13">
        <v>41008</v>
      </c>
      <c r="P222" s="10" t="str">
        <f t="shared" ca="1" si="38"/>
        <v>NA</v>
      </c>
      <c r="Q222" s="5" t="str">
        <f t="shared" ca="1" si="39"/>
        <v>NA</v>
      </c>
      <c r="R222" s="5" t="str">
        <f t="shared" ca="1" si="40"/>
        <v>NA</v>
      </c>
      <c r="S222" s="7">
        <f t="shared" ca="1" si="41"/>
        <v>2012</v>
      </c>
      <c r="T222" s="7">
        <f t="shared" ca="1" si="42"/>
        <v>4</v>
      </c>
      <c r="U222" s="7">
        <f t="shared" ca="1" si="43"/>
        <v>9</v>
      </c>
      <c r="V222" s="6" t="s">
        <v>1201</v>
      </c>
      <c r="W222" s="14" t="s">
        <v>96</v>
      </c>
      <c r="X222" s="15"/>
      <c r="Y222" s="5">
        <f t="shared" ca="1" si="74"/>
        <v>2</v>
      </c>
      <c r="Z222" s="6"/>
      <c r="AA222" s="12" t="str">
        <f t="shared" ca="1" si="45"/>
        <v>NA</v>
      </c>
      <c r="AB222" s="12" t="str">
        <f t="shared" ca="1" si="46"/>
        <v>NA</v>
      </c>
      <c r="AC222" s="12" t="str">
        <f t="shared" ca="1" si="47"/>
        <v>NA</v>
      </c>
      <c r="AD222" s="6"/>
      <c r="AE222" s="5"/>
      <c r="AF222" s="6"/>
      <c r="AG222" s="5"/>
      <c r="AH222" s="12" t="str">
        <f t="shared" ca="1" si="48"/>
        <v>NA</v>
      </c>
      <c r="AI222" s="12" t="str">
        <f t="shared" ca="1" si="49"/>
        <v>NA</v>
      </c>
      <c r="AJ222" s="12" t="str">
        <f t="shared" ca="1" si="50"/>
        <v>NA</v>
      </c>
      <c r="AK222" s="5"/>
      <c r="AL222" s="5"/>
      <c r="AM222" s="5"/>
      <c r="AN222" s="5"/>
      <c r="AO222" s="11">
        <v>41801</v>
      </c>
      <c r="AP222" s="12">
        <f t="shared" ca="1" si="51"/>
        <v>2014</v>
      </c>
      <c r="AQ222" s="12">
        <f t="shared" ca="1" si="52"/>
        <v>6</v>
      </c>
      <c r="AR222" s="12">
        <f t="shared" ca="1" si="53"/>
        <v>11</v>
      </c>
      <c r="AS222" s="8" t="s">
        <v>1202</v>
      </c>
      <c r="AT222" s="8"/>
      <c r="AU222" s="11">
        <v>43243</v>
      </c>
      <c r="AV222" s="12">
        <f t="shared" ca="1" si="54"/>
        <v>2018</v>
      </c>
      <c r="AW222" s="12">
        <f t="shared" ca="1" si="55"/>
        <v>5</v>
      </c>
      <c r="AX222" s="12">
        <f t="shared" ca="1" si="56"/>
        <v>23</v>
      </c>
      <c r="AY222" s="8" t="s">
        <v>1203</v>
      </c>
      <c r="AZ222" s="8"/>
      <c r="BA222" s="5"/>
      <c r="BB222" s="12" t="str">
        <f t="shared" ca="1" si="57"/>
        <v>NA</v>
      </c>
      <c r="BC222" s="12" t="str">
        <f t="shared" ca="1" si="58"/>
        <v>NA</v>
      </c>
      <c r="BD222" s="12" t="str">
        <f t="shared" ca="1" si="59"/>
        <v>NA</v>
      </c>
      <c r="BE222" s="5"/>
      <c r="BF222" s="5"/>
      <c r="BG222" s="5"/>
      <c r="BH222" s="12" t="str">
        <f t="shared" ca="1" si="60"/>
        <v>NA</v>
      </c>
      <c r="BI222" s="12" t="str">
        <f t="shared" ca="1" si="61"/>
        <v>NA</v>
      </c>
      <c r="BJ222" s="12" t="str">
        <f t="shared" ca="1" si="62"/>
        <v>NA</v>
      </c>
      <c r="BK222" s="5"/>
      <c r="BL222" s="5"/>
      <c r="BM222" s="12" t="str">
        <f t="shared" ca="1" si="63"/>
        <v>NA</v>
      </c>
      <c r="BN222" s="12" t="str">
        <f t="shared" ca="1" si="64"/>
        <v>NA</v>
      </c>
      <c r="BO222" s="12" t="str">
        <f t="shared" ca="1" si="65"/>
        <v>NA</v>
      </c>
      <c r="BP222" s="5"/>
      <c r="BQ222" s="5"/>
      <c r="BR222" s="5"/>
      <c r="BS222" s="12" t="str">
        <f t="shared" ca="1" si="66"/>
        <v>NA</v>
      </c>
      <c r="BT222" s="12" t="str">
        <f t="shared" ca="1" si="67"/>
        <v>NA</v>
      </c>
      <c r="BU222" s="12" t="str">
        <f t="shared" ca="1" si="68"/>
        <v>NA</v>
      </c>
      <c r="BV222" s="5"/>
      <c r="BW222" s="5"/>
      <c r="BX222" s="12" t="str">
        <f t="shared" ca="1" si="69"/>
        <v>NA</v>
      </c>
      <c r="BY222" s="12" t="str">
        <f t="shared" ca="1" si="70"/>
        <v>NA</v>
      </c>
      <c r="BZ222" s="12" t="str">
        <f t="shared" ca="1" si="71"/>
        <v>NA</v>
      </c>
      <c r="CA222" s="5"/>
    </row>
    <row r="223" spans="1:79" ht="12.75" customHeight="1" x14ac:dyDescent="0.15">
      <c r="A223" s="4">
        <v>2641</v>
      </c>
      <c r="B223" s="5" t="s">
        <v>79</v>
      </c>
      <c r="C223" s="5" t="s">
        <v>79</v>
      </c>
      <c r="D223" s="6" t="s">
        <v>1204</v>
      </c>
      <c r="E223" s="7">
        <v>118015</v>
      </c>
      <c r="F223" s="6" t="s">
        <v>1205</v>
      </c>
      <c r="G223" s="8"/>
      <c r="H223" s="8"/>
      <c r="I223" s="8"/>
      <c r="J223" s="8"/>
      <c r="K223" s="8"/>
      <c r="L223" s="8" t="s">
        <v>82</v>
      </c>
      <c r="M223" s="7">
        <v>2420</v>
      </c>
      <c r="N223" s="7">
        <v>2608</v>
      </c>
      <c r="O223" s="13">
        <v>41008</v>
      </c>
      <c r="P223" s="10" t="str">
        <f t="shared" ca="1" si="38"/>
        <v>NA</v>
      </c>
      <c r="Q223" s="5" t="str">
        <f t="shared" ca="1" si="39"/>
        <v>NA</v>
      </c>
      <c r="R223" s="5" t="str">
        <f t="shared" ca="1" si="40"/>
        <v>NA</v>
      </c>
      <c r="S223" s="7">
        <f t="shared" ca="1" si="41"/>
        <v>2012</v>
      </c>
      <c r="T223" s="7">
        <f t="shared" ca="1" si="42"/>
        <v>4</v>
      </c>
      <c r="U223" s="7">
        <f t="shared" ca="1" si="43"/>
        <v>9</v>
      </c>
      <c r="V223" s="6" t="s">
        <v>1206</v>
      </c>
      <c r="W223" s="14" t="s">
        <v>96</v>
      </c>
      <c r="X223" s="15"/>
      <c r="Y223" s="5">
        <f t="shared" ca="1" si="74"/>
        <v>2</v>
      </c>
      <c r="Z223" s="6"/>
      <c r="AA223" s="12" t="str">
        <f t="shared" ca="1" si="45"/>
        <v>NA</v>
      </c>
      <c r="AB223" s="12" t="str">
        <f t="shared" ca="1" si="46"/>
        <v>NA</v>
      </c>
      <c r="AC223" s="12" t="str">
        <f t="shared" ca="1" si="47"/>
        <v>NA</v>
      </c>
      <c r="AD223" s="6"/>
      <c r="AE223" s="5"/>
      <c r="AF223" s="6"/>
      <c r="AG223" s="5"/>
      <c r="AH223" s="12" t="str">
        <f t="shared" ca="1" si="48"/>
        <v>NA</v>
      </c>
      <c r="AI223" s="12" t="str">
        <f t="shared" ca="1" si="49"/>
        <v>NA</v>
      </c>
      <c r="AJ223" s="12" t="str">
        <f t="shared" ca="1" si="50"/>
        <v>NA</v>
      </c>
      <c r="AK223" s="5"/>
      <c r="AL223" s="5"/>
      <c r="AM223" s="5"/>
      <c r="AN223" s="5"/>
      <c r="AO223" s="11">
        <v>41801</v>
      </c>
      <c r="AP223" s="12">
        <f t="shared" ca="1" si="51"/>
        <v>2014</v>
      </c>
      <c r="AQ223" s="12">
        <f t="shared" ca="1" si="52"/>
        <v>6</v>
      </c>
      <c r="AR223" s="12">
        <f t="shared" ca="1" si="53"/>
        <v>11</v>
      </c>
      <c r="AS223" s="8" t="s">
        <v>1207</v>
      </c>
      <c r="AT223" s="8"/>
      <c r="AU223" s="11">
        <v>43243</v>
      </c>
      <c r="AV223" s="12">
        <f t="shared" ca="1" si="54"/>
        <v>2018</v>
      </c>
      <c r="AW223" s="12">
        <f t="shared" ca="1" si="55"/>
        <v>5</v>
      </c>
      <c r="AX223" s="12">
        <f t="shared" ca="1" si="56"/>
        <v>23</v>
      </c>
      <c r="AY223" s="8" t="s">
        <v>1208</v>
      </c>
      <c r="AZ223" s="8"/>
      <c r="BA223" s="6"/>
      <c r="BB223" s="12" t="str">
        <f t="shared" ca="1" si="57"/>
        <v>NA</v>
      </c>
      <c r="BC223" s="12" t="str">
        <f t="shared" ca="1" si="58"/>
        <v>NA</v>
      </c>
      <c r="BD223" s="12" t="str">
        <f t="shared" ca="1" si="59"/>
        <v>NA</v>
      </c>
      <c r="BE223" s="5"/>
      <c r="BF223" s="5"/>
      <c r="BG223" s="5"/>
      <c r="BH223" s="12" t="str">
        <f t="shared" ca="1" si="60"/>
        <v>NA</v>
      </c>
      <c r="BI223" s="12" t="str">
        <f t="shared" ca="1" si="61"/>
        <v>NA</v>
      </c>
      <c r="BJ223" s="12" t="str">
        <f t="shared" ca="1" si="62"/>
        <v>NA</v>
      </c>
      <c r="BK223" s="5"/>
      <c r="BL223" s="5"/>
      <c r="BM223" s="12" t="str">
        <f t="shared" ca="1" si="63"/>
        <v>NA</v>
      </c>
      <c r="BN223" s="12" t="str">
        <f t="shared" ca="1" si="64"/>
        <v>NA</v>
      </c>
      <c r="BO223" s="12" t="str">
        <f t="shared" ca="1" si="65"/>
        <v>NA</v>
      </c>
      <c r="BP223" s="5"/>
      <c r="BQ223" s="5"/>
      <c r="BR223" s="5"/>
      <c r="BS223" s="12" t="str">
        <f t="shared" ca="1" si="66"/>
        <v>NA</v>
      </c>
      <c r="BT223" s="12" t="str">
        <f t="shared" ca="1" si="67"/>
        <v>NA</v>
      </c>
      <c r="BU223" s="12" t="str">
        <f t="shared" ca="1" si="68"/>
        <v>NA</v>
      </c>
      <c r="BV223" s="5"/>
      <c r="BW223" s="5"/>
      <c r="BX223" s="12" t="str">
        <f t="shared" ca="1" si="69"/>
        <v>NA</v>
      </c>
      <c r="BY223" s="12" t="str">
        <f t="shared" ca="1" si="70"/>
        <v>NA</v>
      </c>
      <c r="BZ223" s="12" t="str">
        <f t="shared" ca="1" si="71"/>
        <v>NA</v>
      </c>
      <c r="CA223" s="5"/>
    </row>
    <row r="224" spans="1:79" ht="12.75" customHeight="1" x14ac:dyDescent="0.15">
      <c r="A224" s="4">
        <v>2642</v>
      </c>
      <c r="B224" s="5" t="s">
        <v>79</v>
      </c>
      <c r="C224" s="5" t="s">
        <v>852</v>
      </c>
      <c r="D224" s="6" t="s">
        <v>1209</v>
      </c>
      <c r="E224" s="7">
        <v>213145</v>
      </c>
      <c r="F224" s="6" t="s">
        <v>1210</v>
      </c>
      <c r="G224" s="8"/>
      <c r="H224" s="8"/>
      <c r="I224" s="8"/>
      <c r="J224" s="8"/>
      <c r="K224" s="8"/>
      <c r="L224" s="8" t="s">
        <v>82</v>
      </c>
      <c r="M224" s="7">
        <v>2402</v>
      </c>
      <c r="N224" s="7">
        <v>2451</v>
      </c>
      <c r="O224" s="13">
        <v>40843</v>
      </c>
      <c r="P224" s="10" t="str">
        <f t="shared" ca="1" si="38"/>
        <v>NA</v>
      </c>
      <c r="Q224" s="5" t="str">
        <f t="shared" ca="1" si="39"/>
        <v>NA</v>
      </c>
      <c r="R224" s="5" t="str">
        <f t="shared" ca="1" si="40"/>
        <v>NA</v>
      </c>
      <c r="S224" s="7">
        <f t="shared" ca="1" si="41"/>
        <v>2011</v>
      </c>
      <c r="T224" s="7">
        <f t="shared" ca="1" si="42"/>
        <v>10</v>
      </c>
      <c r="U224" s="7">
        <f t="shared" ca="1" si="43"/>
        <v>27</v>
      </c>
      <c r="V224" s="6" t="s">
        <v>1211</v>
      </c>
      <c r="W224" s="14" t="s">
        <v>96</v>
      </c>
      <c r="X224" s="15"/>
      <c r="Y224" s="5">
        <f t="shared" ca="1" si="74"/>
        <v>1</v>
      </c>
      <c r="Z224" s="6"/>
      <c r="AA224" s="12" t="str">
        <f t="shared" ca="1" si="45"/>
        <v>NA</v>
      </c>
      <c r="AB224" s="12" t="str">
        <f t="shared" ca="1" si="46"/>
        <v>NA</v>
      </c>
      <c r="AC224" s="12" t="str">
        <f t="shared" ca="1" si="47"/>
        <v>NA</v>
      </c>
      <c r="AD224" s="6"/>
      <c r="AE224" s="5"/>
      <c r="AF224" s="6"/>
      <c r="AG224" s="5"/>
      <c r="AH224" s="12" t="str">
        <f t="shared" ca="1" si="48"/>
        <v>NA</v>
      </c>
      <c r="AI224" s="12" t="str">
        <f t="shared" ca="1" si="49"/>
        <v>NA</v>
      </c>
      <c r="AJ224" s="12" t="str">
        <f t="shared" ca="1" si="50"/>
        <v>NA</v>
      </c>
      <c r="AK224" s="5"/>
      <c r="AL224" s="5"/>
      <c r="AM224" s="5"/>
      <c r="AN224" s="5"/>
      <c r="AO224" s="11">
        <v>41601</v>
      </c>
      <c r="AP224" s="12">
        <f t="shared" ca="1" si="51"/>
        <v>2013</v>
      </c>
      <c r="AQ224" s="12">
        <f t="shared" ca="1" si="52"/>
        <v>11</v>
      </c>
      <c r="AR224" s="12">
        <f t="shared" ca="1" si="53"/>
        <v>23</v>
      </c>
      <c r="AS224" s="8" t="s">
        <v>1212</v>
      </c>
      <c r="AT224" s="8"/>
      <c r="AU224" s="5"/>
      <c r="AV224" s="12" t="str">
        <f t="shared" ca="1" si="54"/>
        <v>NA</v>
      </c>
      <c r="AW224" s="12" t="str">
        <f t="shared" ca="1" si="55"/>
        <v>NA</v>
      </c>
      <c r="AX224" s="12" t="str">
        <f t="shared" ca="1" si="56"/>
        <v>NA</v>
      </c>
      <c r="AY224" s="5"/>
      <c r="AZ224" s="5"/>
      <c r="BA224" s="5"/>
      <c r="BB224" s="12" t="str">
        <f t="shared" ca="1" si="57"/>
        <v>NA</v>
      </c>
      <c r="BC224" s="12" t="str">
        <f t="shared" ca="1" si="58"/>
        <v>NA</v>
      </c>
      <c r="BD224" s="12" t="str">
        <f t="shared" ca="1" si="59"/>
        <v>NA</v>
      </c>
      <c r="BE224" s="5"/>
      <c r="BF224" s="5"/>
      <c r="BG224" s="5"/>
      <c r="BH224" s="12" t="str">
        <f t="shared" ca="1" si="60"/>
        <v>NA</v>
      </c>
      <c r="BI224" s="12" t="str">
        <f t="shared" ca="1" si="61"/>
        <v>NA</v>
      </c>
      <c r="BJ224" s="12" t="str">
        <f t="shared" ca="1" si="62"/>
        <v>NA</v>
      </c>
      <c r="BK224" s="5"/>
      <c r="BL224" s="5"/>
      <c r="BM224" s="12" t="str">
        <f t="shared" ca="1" si="63"/>
        <v>NA</v>
      </c>
      <c r="BN224" s="12" t="str">
        <f t="shared" ca="1" si="64"/>
        <v>NA</v>
      </c>
      <c r="BO224" s="12" t="str">
        <f t="shared" ca="1" si="65"/>
        <v>NA</v>
      </c>
      <c r="BP224" s="5"/>
      <c r="BQ224" s="5"/>
      <c r="BR224" s="5"/>
      <c r="BS224" s="12" t="str">
        <f t="shared" ca="1" si="66"/>
        <v>NA</v>
      </c>
      <c r="BT224" s="12" t="str">
        <f t="shared" ca="1" si="67"/>
        <v>NA</v>
      </c>
      <c r="BU224" s="12" t="str">
        <f t="shared" ca="1" si="68"/>
        <v>NA</v>
      </c>
      <c r="BV224" s="5"/>
      <c r="BW224" s="5"/>
      <c r="BX224" s="12" t="str">
        <f t="shared" ca="1" si="69"/>
        <v>NA</v>
      </c>
      <c r="BY224" s="12" t="str">
        <f t="shared" ca="1" si="70"/>
        <v>NA</v>
      </c>
      <c r="BZ224" s="12" t="str">
        <f t="shared" ca="1" si="71"/>
        <v>NA</v>
      </c>
      <c r="CA224" s="5"/>
    </row>
    <row r="225" spans="1:79" ht="12.75" customHeight="1" x14ac:dyDescent="0.15">
      <c r="A225" s="4">
        <v>2642</v>
      </c>
      <c r="B225" s="5" t="s">
        <v>79</v>
      </c>
      <c r="C225" s="5" t="s">
        <v>79</v>
      </c>
      <c r="D225" s="6" t="s">
        <v>1213</v>
      </c>
      <c r="E225" s="7">
        <v>213145</v>
      </c>
      <c r="F225" s="6" t="s">
        <v>1214</v>
      </c>
      <c r="G225" s="8"/>
      <c r="H225" s="8"/>
      <c r="I225" s="8"/>
      <c r="J225" s="8"/>
      <c r="K225" s="8"/>
      <c r="L225" s="8" t="s">
        <v>82</v>
      </c>
      <c r="M225" s="7">
        <v>2402</v>
      </c>
      <c r="N225" s="7">
        <v>2451</v>
      </c>
      <c r="O225" s="13">
        <v>40843</v>
      </c>
      <c r="P225" s="10" t="str">
        <f t="shared" ca="1" si="38"/>
        <v>NA</v>
      </c>
      <c r="Q225" s="5" t="str">
        <f t="shared" ca="1" si="39"/>
        <v>NA</v>
      </c>
      <c r="R225" s="5" t="str">
        <f t="shared" ca="1" si="40"/>
        <v>NA</v>
      </c>
      <c r="S225" s="7">
        <f t="shared" ca="1" si="41"/>
        <v>2011</v>
      </c>
      <c r="T225" s="7">
        <f t="shared" ca="1" si="42"/>
        <v>10</v>
      </c>
      <c r="U225" s="7">
        <f t="shared" ca="1" si="43"/>
        <v>27</v>
      </c>
      <c r="V225" s="6" t="s">
        <v>1215</v>
      </c>
      <c r="W225" s="14" t="s">
        <v>96</v>
      </c>
      <c r="X225" s="15"/>
      <c r="Y225" s="5">
        <f t="shared" ca="1" si="74"/>
        <v>1</v>
      </c>
      <c r="Z225" s="6"/>
      <c r="AA225" s="12" t="str">
        <f t="shared" ca="1" si="45"/>
        <v>NA</v>
      </c>
      <c r="AB225" s="12" t="str">
        <f t="shared" ca="1" si="46"/>
        <v>NA</v>
      </c>
      <c r="AC225" s="12" t="str">
        <f t="shared" ca="1" si="47"/>
        <v>NA</v>
      </c>
      <c r="AD225" s="6"/>
      <c r="AE225" s="5"/>
      <c r="AF225" s="6"/>
      <c r="AG225" s="5"/>
      <c r="AH225" s="12" t="str">
        <f t="shared" ca="1" si="48"/>
        <v>NA</v>
      </c>
      <c r="AI225" s="12" t="str">
        <f t="shared" ca="1" si="49"/>
        <v>NA</v>
      </c>
      <c r="AJ225" s="12" t="str">
        <f t="shared" ca="1" si="50"/>
        <v>NA</v>
      </c>
      <c r="AK225" s="5"/>
      <c r="AL225" s="5"/>
      <c r="AM225" s="5"/>
      <c r="AN225" s="5"/>
      <c r="AO225" s="11">
        <v>41601</v>
      </c>
      <c r="AP225" s="12">
        <f t="shared" ca="1" si="51"/>
        <v>2013</v>
      </c>
      <c r="AQ225" s="12">
        <f t="shared" ca="1" si="52"/>
        <v>11</v>
      </c>
      <c r="AR225" s="12">
        <f t="shared" ca="1" si="53"/>
        <v>23</v>
      </c>
      <c r="AS225" s="8" t="s">
        <v>1216</v>
      </c>
      <c r="AT225" s="8"/>
      <c r="AU225" s="5"/>
      <c r="AV225" s="12" t="str">
        <f t="shared" ca="1" si="54"/>
        <v>NA</v>
      </c>
      <c r="AW225" s="12" t="str">
        <f t="shared" ca="1" si="55"/>
        <v>NA</v>
      </c>
      <c r="AX225" s="12" t="str">
        <f t="shared" ca="1" si="56"/>
        <v>NA</v>
      </c>
      <c r="AY225" s="5"/>
      <c r="AZ225" s="5"/>
      <c r="BA225" s="6"/>
      <c r="BB225" s="12" t="str">
        <f t="shared" ca="1" si="57"/>
        <v>NA</v>
      </c>
      <c r="BC225" s="12" t="str">
        <f t="shared" ca="1" si="58"/>
        <v>NA</v>
      </c>
      <c r="BD225" s="12" t="str">
        <f t="shared" ca="1" si="59"/>
        <v>NA</v>
      </c>
      <c r="BE225" s="5"/>
      <c r="BF225" s="5"/>
      <c r="BG225" s="5"/>
      <c r="BH225" s="12" t="str">
        <f t="shared" ca="1" si="60"/>
        <v>NA</v>
      </c>
      <c r="BI225" s="12" t="str">
        <f t="shared" ca="1" si="61"/>
        <v>NA</v>
      </c>
      <c r="BJ225" s="12" t="str">
        <f t="shared" ca="1" si="62"/>
        <v>NA</v>
      </c>
      <c r="BK225" s="5"/>
      <c r="BL225" s="5"/>
      <c r="BM225" s="12" t="str">
        <f t="shared" ca="1" si="63"/>
        <v>NA</v>
      </c>
      <c r="BN225" s="12" t="str">
        <f t="shared" ca="1" si="64"/>
        <v>NA</v>
      </c>
      <c r="BO225" s="12" t="str">
        <f t="shared" ca="1" si="65"/>
        <v>NA</v>
      </c>
      <c r="BP225" s="5"/>
      <c r="BQ225" s="5"/>
      <c r="BR225" s="5"/>
      <c r="BS225" s="12" t="str">
        <f t="shared" ca="1" si="66"/>
        <v>NA</v>
      </c>
      <c r="BT225" s="12" t="str">
        <f t="shared" ca="1" si="67"/>
        <v>NA</v>
      </c>
      <c r="BU225" s="12" t="str">
        <f t="shared" ca="1" si="68"/>
        <v>NA</v>
      </c>
      <c r="BV225" s="5"/>
      <c r="BW225" s="5"/>
      <c r="BX225" s="12" t="str">
        <f t="shared" ca="1" si="69"/>
        <v>NA</v>
      </c>
      <c r="BY225" s="12" t="str">
        <f t="shared" ca="1" si="70"/>
        <v>NA</v>
      </c>
      <c r="BZ225" s="12" t="str">
        <f t="shared" ca="1" si="71"/>
        <v>NA</v>
      </c>
      <c r="CA225" s="5"/>
    </row>
    <row r="226" spans="1:79" ht="12.75" customHeight="1" x14ac:dyDescent="0.15">
      <c r="A226" s="4">
        <v>2643</v>
      </c>
      <c r="B226" s="5" t="s">
        <v>79</v>
      </c>
      <c r="C226" s="5" t="s">
        <v>79</v>
      </c>
      <c r="D226" s="6" t="s">
        <v>1217</v>
      </c>
      <c r="E226" s="6" t="s">
        <v>1218</v>
      </c>
      <c r="F226" s="6" t="s">
        <v>1219</v>
      </c>
      <c r="G226" s="8"/>
      <c r="H226" s="8"/>
      <c r="I226" s="8"/>
      <c r="J226" s="8"/>
      <c r="K226" s="8"/>
      <c r="L226" s="8" t="s">
        <v>82</v>
      </c>
      <c r="M226" s="7">
        <v>2417</v>
      </c>
      <c r="N226" s="7">
        <v>2423</v>
      </c>
      <c r="O226" s="13">
        <v>40886</v>
      </c>
      <c r="P226" s="10">
        <f t="shared" ca="1" si="38"/>
        <v>5.5555555555555558E-3</v>
      </c>
      <c r="Q226" s="5">
        <f t="shared" ca="1" si="39"/>
        <v>0</v>
      </c>
      <c r="R226" s="5">
        <f t="shared" ca="1" si="40"/>
        <v>2</v>
      </c>
      <c r="S226" s="7">
        <f t="shared" ca="1" si="41"/>
        <v>2011</v>
      </c>
      <c r="T226" s="7">
        <f t="shared" ca="1" si="42"/>
        <v>12</v>
      </c>
      <c r="U226" s="7">
        <f t="shared" ca="1" si="43"/>
        <v>9</v>
      </c>
      <c r="V226" s="6" t="s">
        <v>1220</v>
      </c>
      <c r="W226" s="14" t="s">
        <v>96</v>
      </c>
      <c r="X226" s="15"/>
      <c r="Y226" s="5">
        <f t="shared" ca="1" si="74"/>
        <v>0</v>
      </c>
      <c r="Z226" s="6"/>
      <c r="AA226" s="12" t="str">
        <f t="shared" ca="1" si="45"/>
        <v>NA</v>
      </c>
      <c r="AB226" s="12" t="str">
        <f t="shared" ca="1" si="46"/>
        <v>NA</v>
      </c>
      <c r="AC226" s="12" t="str">
        <f t="shared" ca="1" si="47"/>
        <v>NA</v>
      </c>
      <c r="AD226" s="6"/>
      <c r="AE226" s="5"/>
      <c r="AF226" s="6"/>
      <c r="AG226" s="11">
        <v>40888</v>
      </c>
      <c r="AH226" s="12">
        <f t="shared" ca="1" si="48"/>
        <v>2011</v>
      </c>
      <c r="AI226" s="12">
        <f t="shared" ca="1" si="49"/>
        <v>12</v>
      </c>
      <c r="AJ226" s="12">
        <f t="shared" ca="1" si="50"/>
        <v>11</v>
      </c>
      <c r="AK226" s="8" t="s">
        <v>1221</v>
      </c>
      <c r="AL226" s="8"/>
      <c r="AM226" s="5"/>
      <c r="AN226" s="5"/>
      <c r="AO226" s="5"/>
      <c r="AP226" s="12" t="str">
        <f t="shared" ca="1" si="51"/>
        <v>NA</v>
      </c>
      <c r="AQ226" s="12" t="str">
        <f t="shared" ca="1" si="52"/>
        <v>NA</v>
      </c>
      <c r="AR226" s="12" t="str">
        <f t="shared" ca="1" si="53"/>
        <v>NA</v>
      </c>
      <c r="AS226" s="5"/>
      <c r="AT226" s="5"/>
      <c r="AU226" s="5"/>
      <c r="AV226" s="12" t="str">
        <f t="shared" ca="1" si="54"/>
        <v>NA</v>
      </c>
      <c r="AW226" s="12" t="str">
        <f t="shared" ca="1" si="55"/>
        <v>NA</v>
      </c>
      <c r="AX226" s="12" t="str">
        <f t="shared" ca="1" si="56"/>
        <v>NA</v>
      </c>
      <c r="AY226" s="5"/>
      <c r="AZ226" s="5"/>
      <c r="BA226" s="6"/>
      <c r="BB226" s="12" t="str">
        <f t="shared" ca="1" si="57"/>
        <v>NA</v>
      </c>
      <c r="BC226" s="12" t="str">
        <f t="shared" ca="1" si="58"/>
        <v>NA</v>
      </c>
      <c r="BD226" s="12" t="str">
        <f t="shared" ca="1" si="59"/>
        <v>NA</v>
      </c>
      <c r="BE226" s="5"/>
      <c r="BF226" s="5"/>
      <c r="BG226" s="5"/>
      <c r="BH226" s="12" t="str">
        <f t="shared" ca="1" si="60"/>
        <v>NA</v>
      </c>
      <c r="BI226" s="12" t="str">
        <f t="shared" ca="1" si="61"/>
        <v>NA</v>
      </c>
      <c r="BJ226" s="12" t="str">
        <f t="shared" ca="1" si="62"/>
        <v>NA</v>
      </c>
      <c r="BK226" s="5"/>
      <c r="BL226" s="5"/>
      <c r="BM226" s="12" t="str">
        <f t="shared" ca="1" si="63"/>
        <v>NA</v>
      </c>
      <c r="BN226" s="12" t="str">
        <f t="shared" ca="1" si="64"/>
        <v>NA</v>
      </c>
      <c r="BO226" s="12" t="str">
        <f t="shared" ca="1" si="65"/>
        <v>NA</v>
      </c>
      <c r="BP226" s="5"/>
      <c r="BQ226" s="5"/>
      <c r="BR226" s="5"/>
      <c r="BS226" s="12" t="str">
        <f t="shared" ca="1" si="66"/>
        <v>NA</v>
      </c>
      <c r="BT226" s="12" t="str">
        <f t="shared" ca="1" si="67"/>
        <v>NA</v>
      </c>
      <c r="BU226" s="12" t="str">
        <f t="shared" ca="1" si="68"/>
        <v>NA</v>
      </c>
      <c r="BV226" s="5"/>
      <c r="BW226" s="5"/>
      <c r="BX226" s="12" t="str">
        <f t="shared" ca="1" si="69"/>
        <v>NA</v>
      </c>
      <c r="BY226" s="12" t="str">
        <f t="shared" ca="1" si="70"/>
        <v>NA</v>
      </c>
      <c r="BZ226" s="12" t="str">
        <f t="shared" ca="1" si="71"/>
        <v>NA</v>
      </c>
      <c r="CA226" s="5"/>
    </row>
    <row r="227" spans="1:79" ht="12.75" customHeight="1" x14ac:dyDescent="0.15">
      <c r="A227" s="4">
        <v>2644</v>
      </c>
      <c r="B227" s="5" t="s">
        <v>79</v>
      </c>
      <c r="C227" s="5" t="s">
        <v>79</v>
      </c>
      <c r="D227" s="6" t="s">
        <v>1222</v>
      </c>
      <c r="E227" s="6" t="s">
        <v>1223</v>
      </c>
      <c r="F227" s="6" t="s">
        <v>1224</v>
      </c>
      <c r="G227" s="8"/>
      <c r="H227" s="8"/>
      <c r="I227" s="8"/>
      <c r="J227" s="8"/>
      <c r="K227" s="8"/>
      <c r="L227" s="8" t="s">
        <v>82</v>
      </c>
      <c r="M227" s="7">
        <v>2417</v>
      </c>
      <c r="N227" s="7">
        <v>2423</v>
      </c>
      <c r="O227" s="13">
        <v>40886</v>
      </c>
      <c r="P227" s="10">
        <f t="shared" ca="1" si="38"/>
        <v>8.3333333333333332E-3</v>
      </c>
      <c r="Q227" s="5">
        <f t="shared" ca="1" si="39"/>
        <v>0</v>
      </c>
      <c r="R227" s="5">
        <f t="shared" ca="1" si="40"/>
        <v>3</v>
      </c>
      <c r="S227" s="7">
        <f t="shared" ca="1" si="41"/>
        <v>2011</v>
      </c>
      <c r="T227" s="7">
        <f t="shared" ca="1" si="42"/>
        <v>12</v>
      </c>
      <c r="U227" s="7">
        <f t="shared" ca="1" si="43"/>
        <v>9</v>
      </c>
      <c r="V227" s="6" t="s">
        <v>1225</v>
      </c>
      <c r="W227" s="14" t="s">
        <v>96</v>
      </c>
      <c r="X227" s="15"/>
      <c r="Y227" s="5">
        <f t="shared" ca="1" si="74"/>
        <v>0</v>
      </c>
      <c r="Z227" s="6"/>
      <c r="AA227" s="12" t="str">
        <f t="shared" ca="1" si="45"/>
        <v>NA</v>
      </c>
      <c r="AB227" s="12" t="str">
        <f t="shared" ca="1" si="46"/>
        <v>NA</v>
      </c>
      <c r="AC227" s="12" t="str">
        <f t="shared" ca="1" si="47"/>
        <v>NA</v>
      </c>
      <c r="AD227" s="6"/>
      <c r="AE227" s="5"/>
      <c r="AF227" s="6"/>
      <c r="AG227" s="11">
        <v>40889</v>
      </c>
      <c r="AH227" s="12">
        <f t="shared" ca="1" si="48"/>
        <v>2011</v>
      </c>
      <c r="AI227" s="12">
        <f t="shared" ca="1" si="49"/>
        <v>12</v>
      </c>
      <c r="AJ227" s="12">
        <f t="shared" ca="1" si="50"/>
        <v>12</v>
      </c>
      <c r="AK227" s="8" t="s">
        <v>1226</v>
      </c>
      <c r="AL227" s="8"/>
      <c r="AM227" s="5"/>
      <c r="AN227" s="5"/>
      <c r="AO227" s="5"/>
      <c r="AP227" s="12" t="str">
        <f t="shared" ca="1" si="51"/>
        <v>NA</v>
      </c>
      <c r="AQ227" s="12" t="str">
        <f t="shared" ca="1" si="52"/>
        <v>NA</v>
      </c>
      <c r="AR227" s="12" t="str">
        <f t="shared" ca="1" si="53"/>
        <v>NA</v>
      </c>
      <c r="AS227" s="5"/>
      <c r="AT227" s="5"/>
      <c r="AU227" s="5"/>
      <c r="AV227" s="12" t="str">
        <f t="shared" ca="1" si="54"/>
        <v>NA</v>
      </c>
      <c r="AW227" s="12" t="str">
        <f t="shared" ca="1" si="55"/>
        <v>NA</v>
      </c>
      <c r="AX227" s="12" t="str">
        <f t="shared" ca="1" si="56"/>
        <v>NA</v>
      </c>
      <c r="AY227" s="5"/>
      <c r="AZ227" s="5"/>
      <c r="BA227" s="6"/>
      <c r="BB227" s="12" t="str">
        <f t="shared" ca="1" si="57"/>
        <v>NA</v>
      </c>
      <c r="BC227" s="12" t="str">
        <f t="shared" ca="1" si="58"/>
        <v>NA</v>
      </c>
      <c r="BD227" s="12" t="str">
        <f t="shared" ca="1" si="59"/>
        <v>NA</v>
      </c>
      <c r="BE227" s="5"/>
      <c r="BF227" s="5"/>
      <c r="BG227" s="5"/>
      <c r="BH227" s="12" t="str">
        <f t="shared" ca="1" si="60"/>
        <v>NA</v>
      </c>
      <c r="BI227" s="12" t="str">
        <f t="shared" ca="1" si="61"/>
        <v>NA</v>
      </c>
      <c r="BJ227" s="12" t="str">
        <f t="shared" ca="1" si="62"/>
        <v>NA</v>
      </c>
      <c r="BK227" s="5"/>
      <c r="BL227" s="5"/>
      <c r="BM227" s="12" t="str">
        <f t="shared" ca="1" si="63"/>
        <v>NA</v>
      </c>
      <c r="BN227" s="12" t="str">
        <f t="shared" ca="1" si="64"/>
        <v>NA</v>
      </c>
      <c r="BO227" s="12" t="str">
        <f t="shared" ca="1" si="65"/>
        <v>NA</v>
      </c>
      <c r="BP227" s="5"/>
      <c r="BQ227" s="5"/>
      <c r="BR227" s="5"/>
      <c r="BS227" s="12" t="str">
        <f t="shared" ca="1" si="66"/>
        <v>NA</v>
      </c>
      <c r="BT227" s="12" t="str">
        <f t="shared" ca="1" si="67"/>
        <v>NA</v>
      </c>
      <c r="BU227" s="12" t="str">
        <f t="shared" ca="1" si="68"/>
        <v>NA</v>
      </c>
      <c r="BV227" s="5"/>
      <c r="BW227" s="5"/>
      <c r="BX227" s="12" t="str">
        <f t="shared" ca="1" si="69"/>
        <v>NA</v>
      </c>
      <c r="BY227" s="12" t="str">
        <f t="shared" ca="1" si="70"/>
        <v>NA</v>
      </c>
      <c r="BZ227" s="12" t="str">
        <f t="shared" ca="1" si="71"/>
        <v>NA</v>
      </c>
      <c r="CA227" s="5"/>
    </row>
    <row r="228" spans="1:79" ht="12.75" customHeight="1" x14ac:dyDescent="0.15">
      <c r="A228" s="4">
        <v>2645</v>
      </c>
      <c r="B228" s="5" t="s">
        <v>79</v>
      </c>
      <c r="C228" s="5" t="s">
        <v>79</v>
      </c>
      <c r="D228" s="6" t="s">
        <v>1227</v>
      </c>
      <c r="E228" s="6" t="s">
        <v>1228</v>
      </c>
      <c r="F228" s="6" t="s">
        <v>1229</v>
      </c>
      <c r="G228" s="8"/>
      <c r="H228" s="8"/>
      <c r="I228" s="8"/>
      <c r="J228" s="8"/>
      <c r="K228" s="8"/>
      <c r="L228" s="8" t="s">
        <v>82</v>
      </c>
      <c r="M228" s="6" t="s">
        <v>1230</v>
      </c>
      <c r="N228" s="7">
        <v>2414</v>
      </c>
      <c r="O228" s="13">
        <v>40884</v>
      </c>
      <c r="P228" s="10">
        <f t="shared" ca="1" si="38"/>
        <v>3.1194444444444445</v>
      </c>
      <c r="Q228" s="5">
        <f t="shared" ca="1" si="39"/>
        <v>37</v>
      </c>
      <c r="R228" s="5">
        <f t="shared" ca="1" si="40"/>
        <v>1140</v>
      </c>
      <c r="S228" s="7">
        <f t="shared" ca="1" si="41"/>
        <v>2011</v>
      </c>
      <c r="T228" s="7">
        <f t="shared" ca="1" si="42"/>
        <v>12</v>
      </c>
      <c r="U228" s="7">
        <f t="shared" ca="1" si="43"/>
        <v>7</v>
      </c>
      <c r="V228" s="6" t="s">
        <v>1231</v>
      </c>
      <c r="W228" s="14" t="s">
        <v>96</v>
      </c>
      <c r="X228" s="15"/>
      <c r="Y228" s="5">
        <f ca="1">COUNT(AP228,AV228,BB228,BH228,BM228,#REF!,#REF!)</f>
        <v>0</v>
      </c>
      <c r="Z228" s="6"/>
      <c r="AA228" s="12" t="str">
        <f t="shared" ca="1" si="45"/>
        <v>NA</v>
      </c>
      <c r="AB228" s="12" t="str">
        <f t="shared" ca="1" si="46"/>
        <v>NA</v>
      </c>
      <c r="AC228" s="12" t="str">
        <f t="shared" ca="1" si="47"/>
        <v>NA</v>
      </c>
      <c r="AD228" s="6"/>
      <c r="AE228" s="5"/>
      <c r="AF228" s="6"/>
      <c r="AG228" s="11">
        <v>42024</v>
      </c>
      <c r="AH228" s="12">
        <f t="shared" ca="1" si="48"/>
        <v>2015</v>
      </c>
      <c r="AI228" s="12">
        <f t="shared" ca="1" si="49"/>
        <v>1</v>
      </c>
      <c r="AJ228" s="12">
        <f t="shared" ca="1" si="50"/>
        <v>20</v>
      </c>
      <c r="AK228" s="8" t="s">
        <v>1232</v>
      </c>
      <c r="AL228" s="8"/>
      <c r="AM228" s="5"/>
      <c r="AN228" s="5"/>
      <c r="AO228" s="5"/>
      <c r="AP228" s="12" t="str">
        <f t="shared" ca="1" si="51"/>
        <v>NA</v>
      </c>
      <c r="AQ228" s="12" t="str">
        <f t="shared" ca="1" si="52"/>
        <v>NA</v>
      </c>
      <c r="AR228" s="12" t="str">
        <f t="shared" ca="1" si="53"/>
        <v>NA</v>
      </c>
      <c r="AS228" s="5"/>
      <c r="AT228" s="5"/>
      <c r="AU228" s="5"/>
      <c r="AV228" s="12" t="str">
        <f t="shared" ca="1" si="54"/>
        <v>NA</v>
      </c>
      <c r="AW228" s="12" t="str">
        <f t="shared" ca="1" si="55"/>
        <v>NA</v>
      </c>
      <c r="AX228" s="12" t="str">
        <f t="shared" ca="1" si="56"/>
        <v>NA</v>
      </c>
      <c r="AY228" s="5"/>
      <c r="AZ228" s="5"/>
      <c r="BA228" s="6"/>
      <c r="BB228" s="12" t="str">
        <f t="shared" ca="1" si="57"/>
        <v>NA</v>
      </c>
      <c r="BC228" s="12" t="str">
        <f t="shared" ca="1" si="58"/>
        <v>NA</v>
      </c>
      <c r="BD228" s="12" t="str">
        <f t="shared" ca="1" si="59"/>
        <v>NA</v>
      </c>
      <c r="BE228" s="5"/>
      <c r="BF228" s="5"/>
      <c r="BG228" s="5"/>
      <c r="BH228" s="12" t="str">
        <f t="shared" ca="1" si="60"/>
        <v>NA</v>
      </c>
      <c r="BI228" s="12" t="str">
        <f t="shared" ca="1" si="61"/>
        <v>NA</v>
      </c>
      <c r="BJ228" s="12" t="str">
        <f t="shared" ca="1" si="62"/>
        <v>NA</v>
      </c>
      <c r="BK228" s="5"/>
      <c r="BL228" s="5"/>
      <c r="BM228" s="12" t="str">
        <f t="shared" ca="1" si="63"/>
        <v>NA</v>
      </c>
      <c r="BN228" s="12" t="str">
        <f t="shared" ca="1" si="64"/>
        <v>NA</v>
      </c>
      <c r="BO228" s="12" t="str">
        <f t="shared" ca="1" si="65"/>
        <v>NA</v>
      </c>
      <c r="BP228" s="5"/>
      <c r="BQ228" s="5"/>
      <c r="BR228" s="5"/>
      <c r="BS228" s="12" t="str">
        <f t="shared" ca="1" si="66"/>
        <v>NA</v>
      </c>
      <c r="BT228" s="12" t="str">
        <f t="shared" ca="1" si="67"/>
        <v>NA</v>
      </c>
      <c r="BU228" s="12" t="str">
        <f t="shared" ca="1" si="68"/>
        <v>NA</v>
      </c>
      <c r="BV228" s="5"/>
      <c r="BW228" s="5"/>
      <c r="BX228" s="12" t="str">
        <f t="shared" ca="1" si="69"/>
        <v>NA</v>
      </c>
      <c r="BY228" s="12" t="str">
        <f t="shared" ca="1" si="70"/>
        <v>NA</v>
      </c>
      <c r="BZ228" s="12" t="str">
        <f t="shared" ca="1" si="71"/>
        <v>NA</v>
      </c>
      <c r="CA228" s="5"/>
    </row>
    <row r="229" spans="1:79" ht="12.75" customHeight="1" x14ac:dyDescent="0.15">
      <c r="A229" s="4">
        <v>2646</v>
      </c>
      <c r="B229" s="5" t="s">
        <v>79</v>
      </c>
      <c r="C229" s="5" t="s">
        <v>852</v>
      </c>
      <c r="D229" s="6" t="s">
        <v>1233</v>
      </c>
      <c r="E229" s="7">
        <v>23550</v>
      </c>
      <c r="F229" s="6" t="s">
        <v>1234</v>
      </c>
      <c r="G229" s="8" t="s">
        <v>856</v>
      </c>
      <c r="H229" s="6" t="s">
        <v>1235</v>
      </c>
      <c r="I229" s="8" t="s">
        <v>988</v>
      </c>
      <c r="J229" s="8"/>
      <c r="K229" s="8"/>
      <c r="L229" s="8" t="s">
        <v>82</v>
      </c>
      <c r="M229" s="7">
        <v>2449</v>
      </c>
      <c r="N229" s="7">
        <v>2632</v>
      </c>
      <c r="O229" s="13">
        <v>41390</v>
      </c>
      <c r="P229" s="10" t="str">
        <f t="shared" ca="1" si="38"/>
        <v>NA</v>
      </c>
      <c r="Q229" s="5" t="str">
        <f t="shared" ca="1" si="39"/>
        <v>NA</v>
      </c>
      <c r="R229" s="5" t="str">
        <f t="shared" ca="1" si="40"/>
        <v>NA</v>
      </c>
      <c r="S229" s="7">
        <f t="shared" ca="1" si="41"/>
        <v>2013</v>
      </c>
      <c r="T229" s="7">
        <f t="shared" ca="1" si="42"/>
        <v>4</v>
      </c>
      <c r="U229" s="7">
        <f t="shared" ca="1" si="43"/>
        <v>26</v>
      </c>
      <c r="V229" s="6" t="s">
        <v>1236</v>
      </c>
      <c r="W229" s="14" t="s">
        <v>96</v>
      </c>
      <c r="X229" s="15"/>
      <c r="Y229" s="5">
        <f ca="1">COUNT(AP229,AV229,BB229,BH229,BM229,BS230,BX230)</f>
        <v>1</v>
      </c>
      <c r="Z229" s="6"/>
      <c r="AA229" s="12" t="str">
        <f t="shared" ca="1" si="45"/>
        <v>NA</v>
      </c>
      <c r="AB229" s="12" t="str">
        <f t="shared" ca="1" si="46"/>
        <v>NA</v>
      </c>
      <c r="AC229" s="12" t="str">
        <f t="shared" ca="1" si="47"/>
        <v>NA</v>
      </c>
      <c r="AD229" s="6"/>
      <c r="AE229" s="5"/>
      <c r="AF229" s="6"/>
      <c r="AG229" s="5"/>
      <c r="AH229" s="12" t="str">
        <f t="shared" ca="1" si="48"/>
        <v>NA</v>
      </c>
      <c r="AI229" s="12" t="str">
        <f t="shared" ca="1" si="49"/>
        <v>NA</v>
      </c>
      <c r="AJ229" s="12" t="str">
        <f t="shared" ca="1" si="50"/>
        <v>NA</v>
      </c>
      <c r="AK229" s="5"/>
      <c r="AL229" s="5"/>
      <c r="AM229" s="5"/>
      <c r="AN229" s="5"/>
      <c r="AO229" s="11">
        <v>42192</v>
      </c>
      <c r="AP229" s="12">
        <f t="shared" ca="1" si="51"/>
        <v>2015</v>
      </c>
      <c r="AQ229" s="12">
        <f t="shared" ca="1" si="52"/>
        <v>7</v>
      </c>
      <c r="AR229" s="12">
        <f t="shared" ca="1" si="53"/>
        <v>7</v>
      </c>
      <c r="AS229" s="8" t="s">
        <v>1237</v>
      </c>
      <c r="AT229" s="8"/>
      <c r="AU229" s="5"/>
      <c r="AV229" s="12" t="str">
        <f t="shared" ca="1" si="54"/>
        <v>NA</v>
      </c>
      <c r="AW229" s="12" t="str">
        <f t="shared" ca="1" si="55"/>
        <v>NA</v>
      </c>
      <c r="AX229" s="12" t="str">
        <f t="shared" ca="1" si="56"/>
        <v>NA</v>
      </c>
      <c r="AY229" s="5"/>
      <c r="AZ229" s="5"/>
      <c r="BA229" s="18"/>
      <c r="BB229" s="12" t="str">
        <f t="shared" ca="1" si="57"/>
        <v>NA</v>
      </c>
      <c r="BC229" s="12" t="str">
        <f t="shared" ca="1" si="58"/>
        <v>NA</v>
      </c>
      <c r="BD229" s="12" t="str">
        <f t="shared" ca="1" si="59"/>
        <v>NA</v>
      </c>
      <c r="BE229" s="5"/>
      <c r="BF229" s="5"/>
      <c r="BG229" s="5"/>
      <c r="BH229" s="12" t="str">
        <f t="shared" ca="1" si="60"/>
        <v>NA</v>
      </c>
      <c r="BI229" s="12" t="str">
        <f t="shared" ca="1" si="61"/>
        <v>NA</v>
      </c>
      <c r="BJ229" s="12" t="str">
        <f t="shared" ca="1" si="62"/>
        <v>NA</v>
      </c>
      <c r="BK229" s="5"/>
      <c r="BL229" s="5"/>
      <c r="BM229" s="12" t="str">
        <f t="shared" ca="1" si="63"/>
        <v>NA</v>
      </c>
      <c r="BN229" s="12" t="str">
        <f t="shared" ca="1" si="64"/>
        <v>NA</v>
      </c>
      <c r="BO229" s="12" t="str">
        <f t="shared" ca="1" si="65"/>
        <v>NA</v>
      </c>
      <c r="BP229" s="5"/>
      <c r="BQ229" s="5"/>
      <c r="BR229" s="5"/>
      <c r="BS229" s="12" t="str">
        <f t="shared" ca="1" si="66"/>
        <v>NA</v>
      </c>
      <c r="BT229" s="12" t="str">
        <f t="shared" ca="1" si="67"/>
        <v>NA</v>
      </c>
      <c r="BU229" s="12" t="str">
        <f t="shared" ca="1" si="68"/>
        <v>NA</v>
      </c>
      <c r="BV229" s="5"/>
      <c r="BW229" s="5"/>
      <c r="BX229" s="12" t="str">
        <f t="shared" ca="1" si="69"/>
        <v>NA</v>
      </c>
      <c r="BY229" s="12" t="str">
        <f t="shared" ca="1" si="70"/>
        <v>NA</v>
      </c>
      <c r="BZ229" s="12" t="str">
        <f t="shared" ca="1" si="71"/>
        <v>NA</v>
      </c>
      <c r="CA229" s="5"/>
    </row>
    <row r="230" spans="1:79" ht="12.75" customHeight="1" x14ac:dyDescent="0.15">
      <c r="A230" s="4">
        <v>2647</v>
      </c>
      <c r="B230" s="5" t="s">
        <v>79</v>
      </c>
      <c r="C230" s="5" t="s">
        <v>79</v>
      </c>
      <c r="D230" s="6" t="s">
        <v>1238</v>
      </c>
      <c r="E230" s="7">
        <v>115018</v>
      </c>
      <c r="F230" s="6" t="s">
        <v>1239</v>
      </c>
      <c r="G230" s="8"/>
      <c r="H230" s="8"/>
      <c r="I230" s="8"/>
      <c r="J230" s="8"/>
      <c r="K230" s="8"/>
      <c r="L230" s="8" t="s">
        <v>82</v>
      </c>
      <c r="M230" s="7">
        <v>2449</v>
      </c>
      <c r="N230" s="7">
        <v>2632</v>
      </c>
      <c r="O230" s="13">
        <v>41390</v>
      </c>
      <c r="P230" s="10">
        <f t="shared" ca="1" si="38"/>
        <v>3.8888888888888888</v>
      </c>
      <c r="Q230" s="5">
        <f t="shared" ca="1" si="39"/>
        <v>46</v>
      </c>
      <c r="R230" s="5">
        <f t="shared" ca="1" si="40"/>
        <v>1420</v>
      </c>
      <c r="S230" s="7">
        <f t="shared" ca="1" si="41"/>
        <v>2013</v>
      </c>
      <c r="T230" s="7">
        <f t="shared" ca="1" si="42"/>
        <v>4</v>
      </c>
      <c r="U230" s="7">
        <f t="shared" ca="1" si="43"/>
        <v>26</v>
      </c>
      <c r="V230" s="6" t="s">
        <v>1240</v>
      </c>
      <c r="W230" s="14" t="s">
        <v>96</v>
      </c>
      <c r="X230" s="15"/>
      <c r="Y230" s="5">
        <f t="shared" ref="Y230:Y231" ca="1" si="75">COUNT(AP230,AV230,BB230,BH230,BM230,#REF!,#REF!)</f>
        <v>1</v>
      </c>
      <c r="Z230" s="6"/>
      <c r="AA230" s="12" t="str">
        <f t="shared" ca="1" si="45"/>
        <v>NA</v>
      </c>
      <c r="AB230" s="12" t="str">
        <f t="shared" ca="1" si="46"/>
        <v>NA</v>
      </c>
      <c r="AC230" s="12" t="str">
        <f t="shared" ca="1" si="47"/>
        <v>NA</v>
      </c>
      <c r="AD230" s="6"/>
      <c r="AE230" s="5"/>
      <c r="AF230" s="6"/>
      <c r="AG230" s="11">
        <v>42810</v>
      </c>
      <c r="AH230" s="12">
        <f t="shared" ca="1" si="48"/>
        <v>2017</v>
      </c>
      <c r="AI230" s="12">
        <f t="shared" ca="1" si="49"/>
        <v>3</v>
      </c>
      <c r="AJ230" s="12">
        <f t="shared" ca="1" si="50"/>
        <v>16</v>
      </c>
      <c r="AK230" s="8" t="s">
        <v>1241</v>
      </c>
      <c r="AL230" s="8"/>
      <c r="AM230" s="5"/>
      <c r="AN230" s="5"/>
      <c r="AO230" s="11">
        <v>42151</v>
      </c>
      <c r="AP230" s="12">
        <f t="shared" ca="1" si="51"/>
        <v>2015</v>
      </c>
      <c r="AQ230" s="12">
        <f t="shared" ca="1" si="52"/>
        <v>5</v>
      </c>
      <c r="AR230" s="12">
        <f t="shared" ca="1" si="53"/>
        <v>27</v>
      </c>
      <c r="AS230" s="8" t="s">
        <v>1242</v>
      </c>
      <c r="AT230" s="8"/>
      <c r="AU230" s="5"/>
      <c r="AV230" s="12" t="str">
        <f t="shared" ca="1" si="54"/>
        <v>NA</v>
      </c>
      <c r="AW230" s="12" t="str">
        <f t="shared" ca="1" si="55"/>
        <v>NA</v>
      </c>
      <c r="AX230" s="12" t="str">
        <f t="shared" ca="1" si="56"/>
        <v>NA</v>
      </c>
      <c r="AY230" s="5"/>
      <c r="AZ230" s="5"/>
      <c r="BA230" s="6"/>
      <c r="BB230" s="12" t="str">
        <f t="shared" ca="1" si="57"/>
        <v>NA</v>
      </c>
      <c r="BC230" s="12" t="str">
        <f t="shared" ca="1" si="58"/>
        <v>NA</v>
      </c>
      <c r="BD230" s="12" t="str">
        <f t="shared" ca="1" si="59"/>
        <v>NA</v>
      </c>
      <c r="BE230" s="5"/>
      <c r="BF230" s="5"/>
      <c r="BG230" s="5"/>
      <c r="BH230" s="12" t="str">
        <f t="shared" ca="1" si="60"/>
        <v>NA</v>
      </c>
      <c r="BI230" s="12" t="str">
        <f t="shared" ca="1" si="61"/>
        <v>NA</v>
      </c>
      <c r="BJ230" s="12" t="str">
        <f t="shared" ca="1" si="62"/>
        <v>NA</v>
      </c>
      <c r="BK230" s="5"/>
      <c r="BL230" s="5"/>
      <c r="BM230" s="12" t="str">
        <f t="shared" ca="1" si="63"/>
        <v>NA</v>
      </c>
      <c r="BN230" s="12" t="str">
        <f t="shared" ca="1" si="64"/>
        <v>NA</v>
      </c>
      <c r="BO230" s="12" t="str">
        <f t="shared" ca="1" si="65"/>
        <v>NA</v>
      </c>
      <c r="BP230" s="5"/>
      <c r="BQ230" s="5"/>
      <c r="BR230" s="5"/>
      <c r="BS230" s="12" t="str">
        <f t="shared" ca="1" si="66"/>
        <v>NA</v>
      </c>
      <c r="BT230" s="12" t="str">
        <f t="shared" ca="1" si="67"/>
        <v>NA</v>
      </c>
      <c r="BU230" s="12" t="str">
        <f t="shared" ca="1" si="68"/>
        <v>NA</v>
      </c>
      <c r="BV230" s="5"/>
      <c r="BW230" s="5"/>
      <c r="BX230" s="12" t="str">
        <f t="shared" ca="1" si="69"/>
        <v>NA</v>
      </c>
      <c r="BY230" s="12" t="str">
        <f t="shared" ca="1" si="70"/>
        <v>NA</v>
      </c>
      <c r="BZ230" s="12" t="str">
        <f t="shared" ca="1" si="71"/>
        <v>NA</v>
      </c>
      <c r="CA230" s="5"/>
    </row>
    <row r="231" spans="1:79" ht="12.75" customHeight="1" x14ac:dyDescent="0.15">
      <c r="A231" s="4">
        <v>2648</v>
      </c>
      <c r="B231" s="5" t="s">
        <v>79</v>
      </c>
      <c r="C231" s="5" t="s">
        <v>79</v>
      </c>
      <c r="D231" s="6" t="s">
        <v>1243</v>
      </c>
      <c r="E231" s="7">
        <v>7102</v>
      </c>
      <c r="F231" s="6" t="s">
        <v>1244</v>
      </c>
      <c r="G231" s="8"/>
      <c r="H231" s="8"/>
      <c r="I231" s="8"/>
      <c r="J231" s="8"/>
      <c r="K231" s="8"/>
      <c r="L231" s="8" t="s">
        <v>82</v>
      </c>
      <c r="M231" s="7">
        <v>2498</v>
      </c>
      <c r="N231" s="7">
        <v>2502</v>
      </c>
      <c r="O231" s="13">
        <v>41080</v>
      </c>
      <c r="P231" s="10">
        <f t="shared" ca="1" si="38"/>
        <v>3.6111111111111108E-2</v>
      </c>
      <c r="Q231" s="5">
        <f t="shared" ca="1" si="39"/>
        <v>0</v>
      </c>
      <c r="R231" s="5">
        <f t="shared" ca="1" si="40"/>
        <v>13</v>
      </c>
      <c r="S231" s="7">
        <f t="shared" ca="1" si="41"/>
        <v>2012</v>
      </c>
      <c r="T231" s="7">
        <f t="shared" ca="1" si="42"/>
        <v>6</v>
      </c>
      <c r="U231" s="7">
        <f t="shared" ca="1" si="43"/>
        <v>20</v>
      </c>
      <c r="V231" s="6" t="s">
        <v>1245</v>
      </c>
      <c r="W231" s="14" t="s">
        <v>96</v>
      </c>
      <c r="X231" s="15"/>
      <c r="Y231" s="5">
        <f t="shared" ca="1" si="75"/>
        <v>0</v>
      </c>
      <c r="Z231" s="6"/>
      <c r="AA231" s="12" t="str">
        <f t="shared" ca="1" si="45"/>
        <v>NA</v>
      </c>
      <c r="AB231" s="12" t="str">
        <f t="shared" ca="1" si="46"/>
        <v>NA</v>
      </c>
      <c r="AC231" s="12" t="str">
        <f t="shared" ca="1" si="47"/>
        <v>NA</v>
      </c>
      <c r="AD231" s="6"/>
      <c r="AE231" s="5"/>
      <c r="AF231" s="6"/>
      <c r="AG231" s="11">
        <v>41093</v>
      </c>
      <c r="AH231" s="12">
        <f t="shared" ca="1" si="48"/>
        <v>2012</v>
      </c>
      <c r="AI231" s="12">
        <f t="shared" ca="1" si="49"/>
        <v>7</v>
      </c>
      <c r="AJ231" s="12">
        <f t="shared" ca="1" si="50"/>
        <v>3</v>
      </c>
      <c r="AK231" s="8" t="s">
        <v>1246</v>
      </c>
      <c r="AL231" s="8"/>
      <c r="AM231" s="5"/>
      <c r="AN231" s="5"/>
      <c r="AO231" s="5"/>
      <c r="AP231" s="12" t="str">
        <f t="shared" ca="1" si="51"/>
        <v>NA</v>
      </c>
      <c r="AQ231" s="12" t="str">
        <f t="shared" ca="1" si="52"/>
        <v>NA</v>
      </c>
      <c r="AR231" s="12" t="str">
        <f t="shared" ca="1" si="53"/>
        <v>NA</v>
      </c>
      <c r="AS231" s="5"/>
      <c r="AT231" s="5"/>
      <c r="AU231" s="5"/>
      <c r="AV231" s="12" t="str">
        <f t="shared" ca="1" si="54"/>
        <v>NA</v>
      </c>
      <c r="AW231" s="12" t="str">
        <f t="shared" ca="1" si="55"/>
        <v>NA</v>
      </c>
      <c r="AX231" s="12" t="str">
        <f t="shared" ca="1" si="56"/>
        <v>NA</v>
      </c>
      <c r="AY231" s="5"/>
      <c r="AZ231" s="5"/>
      <c r="BA231" s="6"/>
      <c r="BB231" s="12" t="str">
        <f t="shared" ca="1" si="57"/>
        <v>NA</v>
      </c>
      <c r="BC231" s="12" t="str">
        <f t="shared" ca="1" si="58"/>
        <v>NA</v>
      </c>
      <c r="BD231" s="12" t="str">
        <f t="shared" ca="1" si="59"/>
        <v>NA</v>
      </c>
      <c r="BE231" s="5"/>
      <c r="BF231" s="5"/>
      <c r="BG231" s="5"/>
      <c r="BH231" s="12" t="str">
        <f t="shared" ca="1" si="60"/>
        <v>NA</v>
      </c>
      <c r="BI231" s="12" t="str">
        <f t="shared" ca="1" si="61"/>
        <v>NA</v>
      </c>
      <c r="BJ231" s="12" t="str">
        <f t="shared" ca="1" si="62"/>
        <v>NA</v>
      </c>
      <c r="BK231" s="5"/>
      <c r="BL231" s="5"/>
      <c r="BM231" s="12" t="str">
        <f t="shared" ca="1" si="63"/>
        <v>NA</v>
      </c>
      <c r="BN231" s="12" t="str">
        <f t="shared" ca="1" si="64"/>
        <v>NA</v>
      </c>
      <c r="BO231" s="12" t="str">
        <f t="shared" ca="1" si="65"/>
        <v>NA</v>
      </c>
      <c r="BP231" s="5"/>
      <c r="BQ231" s="5"/>
      <c r="BR231" s="5"/>
      <c r="BS231" s="12" t="str">
        <f t="shared" ca="1" si="66"/>
        <v>NA</v>
      </c>
      <c r="BT231" s="12" t="str">
        <f t="shared" ca="1" si="67"/>
        <v>NA</v>
      </c>
      <c r="BU231" s="12" t="str">
        <f t="shared" ca="1" si="68"/>
        <v>NA</v>
      </c>
      <c r="BV231" s="5"/>
      <c r="BW231" s="5"/>
      <c r="BX231" s="12" t="str">
        <f t="shared" ca="1" si="69"/>
        <v>NA</v>
      </c>
      <c r="BY231" s="12" t="str">
        <f t="shared" ca="1" si="70"/>
        <v>NA</v>
      </c>
      <c r="BZ231" s="12" t="str">
        <f t="shared" ca="1" si="71"/>
        <v>NA</v>
      </c>
      <c r="CA231" s="5"/>
    </row>
    <row r="232" spans="1:79" ht="12.75" customHeight="1" x14ac:dyDescent="0.15">
      <c r="A232" s="4">
        <v>2666</v>
      </c>
      <c r="B232" s="5" t="s">
        <v>852</v>
      </c>
      <c r="C232" s="5" t="s">
        <v>852</v>
      </c>
      <c r="D232" s="6" t="s">
        <v>1247</v>
      </c>
      <c r="E232" s="7">
        <v>117017</v>
      </c>
      <c r="F232" s="6" t="s">
        <v>1248</v>
      </c>
      <c r="G232" s="8" t="s">
        <v>856</v>
      </c>
      <c r="H232" s="6" t="s">
        <v>1249</v>
      </c>
      <c r="I232" s="8">
        <v>2671</v>
      </c>
      <c r="J232" s="8"/>
      <c r="K232" s="8"/>
      <c r="L232" s="8" t="s">
        <v>82</v>
      </c>
      <c r="M232" s="7">
        <v>2639</v>
      </c>
      <c r="N232" s="7">
        <v>2642</v>
      </c>
      <c r="O232" s="13">
        <v>42454</v>
      </c>
      <c r="P232" s="10" t="str">
        <f t="shared" ca="1" si="38"/>
        <v>NA</v>
      </c>
      <c r="Q232" s="5" t="str">
        <f t="shared" ca="1" si="39"/>
        <v>NA</v>
      </c>
      <c r="R232" s="5" t="str">
        <f t="shared" ca="1" si="40"/>
        <v>NA</v>
      </c>
      <c r="S232" s="7">
        <f t="shared" ca="1" si="41"/>
        <v>2016</v>
      </c>
      <c r="T232" s="7">
        <f t="shared" ca="1" si="42"/>
        <v>3</v>
      </c>
      <c r="U232" s="7">
        <f t="shared" ca="1" si="43"/>
        <v>25</v>
      </c>
      <c r="V232" s="6" t="s">
        <v>1250</v>
      </c>
      <c r="W232" s="14" t="s">
        <v>96</v>
      </c>
      <c r="X232" s="15"/>
      <c r="Y232" s="5">
        <f t="shared" ref="Y232:Y242" ca="1" si="76">COUNT(AP232,AV232,BB232,BH232,BM232,BS234,BX234)</f>
        <v>1</v>
      </c>
      <c r="Z232" s="6"/>
      <c r="AA232" s="12" t="str">
        <f t="shared" ca="1" si="45"/>
        <v>NA</v>
      </c>
      <c r="AB232" s="12" t="str">
        <f t="shared" ca="1" si="46"/>
        <v>NA</v>
      </c>
      <c r="AC232" s="12" t="str">
        <f t="shared" ca="1" si="47"/>
        <v>NA</v>
      </c>
      <c r="AD232" s="6"/>
      <c r="AE232" s="5"/>
      <c r="AF232" s="6"/>
      <c r="AG232" s="5"/>
      <c r="AH232" s="12" t="str">
        <f t="shared" ca="1" si="48"/>
        <v>NA</v>
      </c>
      <c r="AI232" s="12" t="str">
        <f t="shared" ca="1" si="49"/>
        <v>NA</v>
      </c>
      <c r="AJ232" s="12" t="str">
        <f t="shared" ca="1" si="50"/>
        <v>NA</v>
      </c>
      <c r="AK232" s="5"/>
      <c r="AL232" s="5"/>
      <c r="AM232" s="5"/>
      <c r="AN232" s="5"/>
      <c r="AO232" s="11">
        <v>42977</v>
      </c>
      <c r="AP232" s="12">
        <f t="shared" ca="1" si="51"/>
        <v>2017</v>
      </c>
      <c r="AQ232" s="12">
        <f t="shared" ca="1" si="52"/>
        <v>8</v>
      </c>
      <c r="AR232" s="12">
        <f t="shared" ca="1" si="53"/>
        <v>30</v>
      </c>
      <c r="AS232" s="8" t="s">
        <v>1251</v>
      </c>
      <c r="AT232" s="8"/>
      <c r="AU232" s="5"/>
      <c r="AV232" s="12" t="str">
        <f t="shared" ca="1" si="54"/>
        <v>NA</v>
      </c>
      <c r="AW232" s="12" t="str">
        <f t="shared" ca="1" si="55"/>
        <v>NA</v>
      </c>
      <c r="AX232" s="12" t="str">
        <f t="shared" ca="1" si="56"/>
        <v>NA</v>
      </c>
      <c r="AY232" s="5"/>
      <c r="AZ232" s="5"/>
      <c r="BA232" s="5"/>
      <c r="BB232" s="12" t="str">
        <f t="shared" ca="1" si="57"/>
        <v>NA</v>
      </c>
      <c r="BC232" s="12" t="str">
        <f t="shared" ca="1" si="58"/>
        <v>NA</v>
      </c>
      <c r="BD232" s="12" t="str">
        <f t="shared" ca="1" si="59"/>
        <v>NA</v>
      </c>
      <c r="BE232" s="5"/>
      <c r="BF232" s="5"/>
      <c r="BG232" s="5"/>
      <c r="BH232" s="12" t="str">
        <f t="shared" ca="1" si="60"/>
        <v>NA</v>
      </c>
      <c r="BI232" s="12" t="str">
        <f t="shared" ca="1" si="61"/>
        <v>NA</v>
      </c>
      <c r="BJ232" s="12" t="str">
        <f t="shared" ca="1" si="62"/>
        <v>NA</v>
      </c>
      <c r="BK232" s="5"/>
      <c r="BL232" s="5"/>
      <c r="BM232" s="12" t="str">
        <f t="shared" ca="1" si="63"/>
        <v>NA</v>
      </c>
      <c r="BN232" s="12" t="str">
        <f t="shared" ca="1" si="64"/>
        <v>NA</v>
      </c>
      <c r="BO232" s="12" t="str">
        <f t="shared" ca="1" si="65"/>
        <v>NA</v>
      </c>
      <c r="BP232" s="5"/>
      <c r="BQ232" s="5"/>
      <c r="BR232" s="5"/>
      <c r="BS232" s="12" t="str">
        <f t="shared" ca="1" si="66"/>
        <v>NA</v>
      </c>
      <c r="BT232" s="12" t="str">
        <f t="shared" ca="1" si="67"/>
        <v>NA</v>
      </c>
      <c r="BU232" s="12" t="str">
        <f t="shared" ca="1" si="68"/>
        <v>NA</v>
      </c>
      <c r="BV232" s="5"/>
      <c r="BW232" s="5"/>
      <c r="BX232" s="12" t="str">
        <f t="shared" ca="1" si="69"/>
        <v>NA</v>
      </c>
      <c r="BY232" s="12" t="str">
        <f t="shared" ca="1" si="70"/>
        <v>NA</v>
      </c>
      <c r="BZ232" s="12" t="str">
        <f t="shared" ca="1" si="71"/>
        <v>NA</v>
      </c>
      <c r="CA232" s="5"/>
    </row>
    <row r="233" spans="1:79" ht="12.75" customHeight="1" x14ac:dyDescent="0.15">
      <c r="A233" s="4">
        <v>2650</v>
      </c>
      <c r="B233" s="5" t="s">
        <v>79</v>
      </c>
      <c r="C233" s="5" t="s">
        <v>79</v>
      </c>
      <c r="D233" s="6" t="s">
        <v>1252</v>
      </c>
      <c r="E233" s="7">
        <v>105000</v>
      </c>
      <c r="F233" s="6" t="s">
        <v>1253</v>
      </c>
      <c r="G233" s="8"/>
      <c r="H233" s="8"/>
      <c r="I233" s="8"/>
      <c r="J233" s="8"/>
      <c r="K233" s="8"/>
      <c r="L233" s="8" t="s">
        <v>82</v>
      </c>
      <c r="M233" s="7">
        <v>1130</v>
      </c>
      <c r="N233" s="7">
        <v>2436</v>
      </c>
      <c r="O233" s="13">
        <v>41300</v>
      </c>
      <c r="P233" s="10">
        <f t="shared" ca="1" si="38"/>
        <v>0</v>
      </c>
      <c r="Q233" s="5">
        <f t="shared" ca="1" si="39"/>
        <v>0</v>
      </c>
      <c r="R233" s="5">
        <f t="shared" ca="1" si="40"/>
        <v>0</v>
      </c>
      <c r="S233" s="7">
        <f t="shared" ca="1" si="41"/>
        <v>2013</v>
      </c>
      <c r="T233" s="7">
        <f t="shared" ca="1" si="42"/>
        <v>1</v>
      </c>
      <c r="U233" s="7">
        <f t="shared" ca="1" si="43"/>
        <v>26</v>
      </c>
      <c r="V233" s="6" t="s">
        <v>1254</v>
      </c>
      <c r="W233" s="14" t="s">
        <v>96</v>
      </c>
      <c r="X233" s="15"/>
      <c r="Y233" s="5">
        <f t="shared" ca="1" si="76"/>
        <v>0</v>
      </c>
      <c r="Z233" s="6"/>
      <c r="AA233" s="12" t="str">
        <f t="shared" ca="1" si="45"/>
        <v>NA</v>
      </c>
      <c r="AB233" s="12" t="str">
        <f t="shared" ca="1" si="46"/>
        <v>NA</v>
      </c>
      <c r="AC233" s="12" t="str">
        <f t="shared" ca="1" si="47"/>
        <v>NA</v>
      </c>
      <c r="AD233" s="6"/>
      <c r="AE233" s="5"/>
      <c r="AF233" s="6"/>
      <c r="AG233" s="11">
        <v>41300</v>
      </c>
      <c r="AH233" s="12">
        <f t="shared" ca="1" si="48"/>
        <v>2013</v>
      </c>
      <c r="AI233" s="12">
        <f t="shared" ca="1" si="49"/>
        <v>1</v>
      </c>
      <c r="AJ233" s="12">
        <f t="shared" ca="1" si="50"/>
        <v>26</v>
      </c>
      <c r="AK233" s="8" t="s">
        <v>1255</v>
      </c>
      <c r="AL233" s="8"/>
      <c r="AM233" s="5"/>
      <c r="AN233" s="5"/>
      <c r="AO233" s="5"/>
      <c r="AP233" s="12" t="str">
        <f t="shared" ca="1" si="51"/>
        <v>NA</v>
      </c>
      <c r="AQ233" s="12" t="str">
        <f t="shared" ca="1" si="52"/>
        <v>NA</v>
      </c>
      <c r="AR233" s="12" t="str">
        <f t="shared" ca="1" si="53"/>
        <v>NA</v>
      </c>
      <c r="AS233" s="5"/>
      <c r="AT233" s="5"/>
      <c r="AU233" s="5"/>
      <c r="AV233" s="12" t="str">
        <f t="shared" ca="1" si="54"/>
        <v>NA</v>
      </c>
      <c r="AW233" s="12" t="str">
        <f t="shared" ca="1" si="55"/>
        <v>NA</v>
      </c>
      <c r="AX233" s="12" t="str">
        <f t="shared" ca="1" si="56"/>
        <v>NA</v>
      </c>
      <c r="AY233" s="24"/>
      <c r="AZ233" s="5"/>
      <c r="BA233" s="6"/>
      <c r="BB233" s="12" t="str">
        <f t="shared" ca="1" si="57"/>
        <v>NA</v>
      </c>
      <c r="BC233" s="12" t="str">
        <f t="shared" ca="1" si="58"/>
        <v>NA</v>
      </c>
      <c r="BD233" s="12" t="str">
        <f t="shared" ca="1" si="59"/>
        <v>NA</v>
      </c>
      <c r="BE233" s="5"/>
      <c r="BF233" s="5"/>
      <c r="BG233" s="5"/>
      <c r="BH233" s="12" t="str">
        <f t="shared" ca="1" si="60"/>
        <v>NA</v>
      </c>
      <c r="BI233" s="12" t="str">
        <f t="shared" ca="1" si="61"/>
        <v>NA</v>
      </c>
      <c r="BJ233" s="12" t="str">
        <f t="shared" ca="1" si="62"/>
        <v>NA</v>
      </c>
      <c r="BK233" s="5"/>
      <c r="BL233" s="5"/>
      <c r="BM233" s="12" t="str">
        <f t="shared" ca="1" si="63"/>
        <v>NA</v>
      </c>
      <c r="BN233" s="12" t="str">
        <f t="shared" ca="1" si="64"/>
        <v>NA</v>
      </c>
      <c r="BO233" s="12" t="str">
        <f t="shared" ca="1" si="65"/>
        <v>NA</v>
      </c>
      <c r="BP233" s="5"/>
      <c r="BQ233" s="5"/>
      <c r="BR233" s="5"/>
      <c r="BS233" s="12" t="str">
        <f t="shared" ca="1" si="66"/>
        <v>NA</v>
      </c>
      <c r="BT233" s="12" t="str">
        <f t="shared" ca="1" si="67"/>
        <v>NA</v>
      </c>
      <c r="BU233" s="12" t="str">
        <f t="shared" ca="1" si="68"/>
        <v>NA</v>
      </c>
      <c r="BV233" s="5"/>
      <c r="BW233" s="5"/>
      <c r="BX233" s="12" t="str">
        <f t="shared" ca="1" si="69"/>
        <v>NA</v>
      </c>
      <c r="BY233" s="12" t="str">
        <f t="shared" ca="1" si="70"/>
        <v>NA</v>
      </c>
      <c r="BZ233" s="12" t="str">
        <f t="shared" ca="1" si="71"/>
        <v>NA</v>
      </c>
      <c r="CA233" s="5"/>
    </row>
    <row r="234" spans="1:79" ht="12.75" customHeight="1" x14ac:dyDescent="0.15">
      <c r="A234" s="4">
        <v>2651</v>
      </c>
      <c r="B234" s="5" t="s">
        <v>79</v>
      </c>
      <c r="C234" s="5" t="s">
        <v>79</v>
      </c>
      <c r="D234" s="6" t="s">
        <v>1256</v>
      </c>
      <c r="E234" s="7">
        <v>105001</v>
      </c>
      <c r="F234" s="6" t="s">
        <v>1257</v>
      </c>
      <c r="G234" s="8"/>
      <c r="H234" s="8"/>
      <c r="I234" s="8"/>
      <c r="J234" s="8"/>
      <c r="K234" s="8"/>
      <c r="L234" s="8" t="s">
        <v>82</v>
      </c>
      <c r="M234" s="7">
        <v>1130</v>
      </c>
      <c r="N234" s="7">
        <v>2436</v>
      </c>
      <c r="O234" s="13">
        <v>41300</v>
      </c>
      <c r="P234" s="10">
        <f t="shared" ca="1" si="38"/>
        <v>0</v>
      </c>
      <c r="Q234" s="5">
        <f t="shared" ca="1" si="39"/>
        <v>0</v>
      </c>
      <c r="R234" s="5">
        <f t="shared" ca="1" si="40"/>
        <v>0</v>
      </c>
      <c r="S234" s="7">
        <f t="shared" ca="1" si="41"/>
        <v>2013</v>
      </c>
      <c r="T234" s="7">
        <f t="shared" ca="1" si="42"/>
        <v>1</v>
      </c>
      <c r="U234" s="7">
        <f t="shared" ca="1" si="43"/>
        <v>26</v>
      </c>
      <c r="V234" s="6" t="s">
        <v>1258</v>
      </c>
      <c r="W234" s="14" t="s">
        <v>96</v>
      </c>
      <c r="X234" s="15"/>
      <c r="Y234" s="5">
        <f t="shared" ca="1" si="76"/>
        <v>0</v>
      </c>
      <c r="Z234" s="6"/>
      <c r="AA234" s="12" t="str">
        <f t="shared" ca="1" si="45"/>
        <v>NA</v>
      </c>
      <c r="AB234" s="12" t="str">
        <f t="shared" ca="1" si="46"/>
        <v>NA</v>
      </c>
      <c r="AC234" s="12" t="str">
        <f t="shared" ca="1" si="47"/>
        <v>NA</v>
      </c>
      <c r="AD234" s="6"/>
      <c r="AE234" s="5"/>
      <c r="AF234" s="6"/>
      <c r="AG234" s="11">
        <v>41300</v>
      </c>
      <c r="AH234" s="12">
        <f t="shared" ca="1" si="48"/>
        <v>2013</v>
      </c>
      <c r="AI234" s="12">
        <f t="shared" ca="1" si="49"/>
        <v>1</v>
      </c>
      <c r="AJ234" s="12">
        <f t="shared" ca="1" si="50"/>
        <v>26</v>
      </c>
      <c r="AK234" s="8" t="s">
        <v>1259</v>
      </c>
      <c r="AL234" s="8"/>
      <c r="AM234" s="5"/>
      <c r="AN234" s="5"/>
      <c r="AO234" s="5"/>
      <c r="AP234" s="12" t="str">
        <f t="shared" ca="1" si="51"/>
        <v>NA</v>
      </c>
      <c r="AQ234" s="12" t="str">
        <f t="shared" ca="1" si="52"/>
        <v>NA</v>
      </c>
      <c r="AR234" s="12" t="str">
        <f t="shared" ca="1" si="53"/>
        <v>NA</v>
      </c>
      <c r="AS234" s="5"/>
      <c r="AT234" s="5"/>
      <c r="AU234" s="5"/>
      <c r="AV234" s="12" t="str">
        <f t="shared" ca="1" si="54"/>
        <v>NA</v>
      </c>
      <c r="AW234" s="12" t="str">
        <f t="shared" ca="1" si="55"/>
        <v>NA</v>
      </c>
      <c r="AX234" s="12" t="str">
        <f t="shared" ca="1" si="56"/>
        <v>NA</v>
      </c>
      <c r="AY234" s="24"/>
      <c r="AZ234" s="5"/>
      <c r="BA234" s="6"/>
      <c r="BB234" s="12" t="str">
        <f t="shared" ca="1" si="57"/>
        <v>NA</v>
      </c>
      <c r="BC234" s="12" t="str">
        <f t="shared" ca="1" si="58"/>
        <v>NA</v>
      </c>
      <c r="BD234" s="12" t="str">
        <f t="shared" ca="1" si="59"/>
        <v>NA</v>
      </c>
      <c r="BE234" s="5"/>
      <c r="BF234" s="5"/>
      <c r="BG234" s="5"/>
      <c r="BH234" s="12" t="str">
        <f t="shared" ca="1" si="60"/>
        <v>NA</v>
      </c>
      <c r="BI234" s="12" t="str">
        <f t="shared" ca="1" si="61"/>
        <v>NA</v>
      </c>
      <c r="BJ234" s="12" t="str">
        <f t="shared" ca="1" si="62"/>
        <v>NA</v>
      </c>
      <c r="BK234" s="5"/>
      <c r="BL234" s="5"/>
      <c r="BM234" s="12" t="str">
        <f t="shared" ca="1" si="63"/>
        <v>NA</v>
      </c>
      <c r="BN234" s="12" t="str">
        <f t="shared" ca="1" si="64"/>
        <v>NA</v>
      </c>
      <c r="BO234" s="12" t="str">
        <f t="shared" ca="1" si="65"/>
        <v>NA</v>
      </c>
      <c r="BP234" s="5"/>
      <c r="BQ234" s="5"/>
      <c r="BR234" s="5"/>
      <c r="BS234" s="12" t="str">
        <f t="shared" ca="1" si="66"/>
        <v>NA</v>
      </c>
      <c r="BT234" s="12" t="str">
        <f t="shared" ca="1" si="67"/>
        <v>NA</v>
      </c>
      <c r="BU234" s="12" t="str">
        <f t="shared" ca="1" si="68"/>
        <v>NA</v>
      </c>
      <c r="BV234" s="5"/>
      <c r="BW234" s="5"/>
      <c r="BX234" s="12" t="str">
        <f t="shared" ca="1" si="69"/>
        <v>NA</v>
      </c>
      <c r="BY234" s="12" t="str">
        <f t="shared" ca="1" si="70"/>
        <v>NA</v>
      </c>
      <c r="BZ234" s="12" t="str">
        <f t="shared" ca="1" si="71"/>
        <v>NA</v>
      </c>
      <c r="CA234" s="5"/>
    </row>
    <row r="235" spans="1:79" ht="12.75" customHeight="1" x14ac:dyDescent="0.15">
      <c r="A235" s="4">
        <v>2671</v>
      </c>
      <c r="B235" s="5" t="s">
        <v>852</v>
      </c>
      <c r="C235" s="5" t="s">
        <v>852</v>
      </c>
      <c r="D235" s="6" t="s">
        <v>1260</v>
      </c>
      <c r="E235" s="7">
        <v>117022</v>
      </c>
      <c r="F235" s="6" t="s">
        <v>1261</v>
      </c>
      <c r="G235" s="8" t="s">
        <v>856</v>
      </c>
      <c r="H235" s="6" t="s">
        <v>1262</v>
      </c>
      <c r="I235" s="8">
        <v>2666</v>
      </c>
      <c r="J235" s="8"/>
      <c r="K235" s="8"/>
      <c r="L235" s="8" t="s">
        <v>82</v>
      </c>
      <c r="M235" s="7">
        <v>2449</v>
      </c>
      <c r="N235" s="7">
        <v>2632</v>
      </c>
      <c r="O235" s="13">
        <v>42641</v>
      </c>
      <c r="P235" s="10" t="str">
        <f t="shared" ca="1" si="38"/>
        <v>NA</v>
      </c>
      <c r="Q235" s="5" t="str">
        <f t="shared" ca="1" si="39"/>
        <v>NA</v>
      </c>
      <c r="R235" s="5" t="str">
        <f t="shared" ca="1" si="40"/>
        <v>NA</v>
      </c>
      <c r="S235" s="7">
        <f t="shared" ca="1" si="41"/>
        <v>2016</v>
      </c>
      <c r="T235" s="7">
        <f t="shared" ca="1" si="42"/>
        <v>9</v>
      </c>
      <c r="U235" s="7">
        <f t="shared" ca="1" si="43"/>
        <v>28</v>
      </c>
      <c r="V235" s="6" t="s">
        <v>1263</v>
      </c>
      <c r="W235" s="14" t="s">
        <v>96</v>
      </c>
      <c r="X235" s="15"/>
      <c r="Y235" s="5">
        <f t="shared" ca="1" si="76"/>
        <v>1</v>
      </c>
      <c r="Z235" s="6"/>
      <c r="AA235" s="12" t="str">
        <f t="shared" ca="1" si="45"/>
        <v>NA</v>
      </c>
      <c r="AB235" s="12" t="str">
        <f t="shared" ca="1" si="46"/>
        <v>NA</v>
      </c>
      <c r="AC235" s="12" t="str">
        <f t="shared" ca="1" si="47"/>
        <v>NA</v>
      </c>
      <c r="AD235" s="6"/>
      <c r="AE235" s="5"/>
      <c r="AF235" s="6"/>
      <c r="AG235" s="5"/>
      <c r="AH235" s="12" t="str">
        <f t="shared" ca="1" si="48"/>
        <v>NA</v>
      </c>
      <c r="AI235" s="12" t="str">
        <f t="shared" ca="1" si="49"/>
        <v>NA</v>
      </c>
      <c r="AJ235" s="12" t="str">
        <f t="shared" ca="1" si="50"/>
        <v>NA</v>
      </c>
      <c r="AK235" s="5"/>
      <c r="AL235" s="5"/>
      <c r="AM235" s="5"/>
      <c r="AN235" s="5"/>
      <c r="AO235" s="11">
        <v>43033</v>
      </c>
      <c r="AP235" s="12">
        <f t="shared" ca="1" si="51"/>
        <v>2017</v>
      </c>
      <c r="AQ235" s="12">
        <f t="shared" ca="1" si="52"/>
        <v>10</v>
      </c>
      <c r="AR235" s="12">
        <f t="shared" ca="1" si="53"/>
        <v>25</v>
      </c>
      <c r="AS235" s="8" t="s">
        <v>1264</v>
      </c>
      <c r="AT235" s="8"/>
      <c r="AU235" s="5"/>
      <c r="AV235" s="12" t="str">
        <f t="shared" ca="1" si="54"/>
        <v>NA</v>
      </c>
      <c r="AW235" s="12" t="str">
        <f t="shared" ca="1" si="55"/>
        <v>NA</v>
      </c>
      <c r="AX235" s="12" t="str">
        <f t="shared" ca="1" si="56"/>
        <v>NA</v>
      </c>
      <c r="AY235" s="5"/>
      <c r="AZ235" s="5"/>
      <c r="BA235" s="5"/>
      <c r="BB235" s="12" t="str">
        <f t="shared" ca="1" si="57"/>
        <v>NA</v>
      </c>
      <c r="BC235" s="12" t="str">
        <f t="shared" ca="1" si="58"/>
        <v>NA</v>
      </c>
      <c r="BD235" s="12" t="str">
        <f t="shared" ca="1" si="59"/>
        <v>NA</v>
      </c>
      <c r="BE235" s="5"/>
      <c r="BF235" s="5"/>
      <c r="BG235" s="5"/>
      <c r="BH235" s="12" t="str">
        <f t="shared" ca="1" si="60"/>
        <v>NA</v>
      </c>
      <c r="BI235" s="12" t="str">
        <f t="shared" ca="1" si="61"/>
        <v>NA</v>
      </c>
      <c r="BJ235" s="12" t="str">
        <f t="shared" ca="1" si="62"/>
        <v>NA</v>
      </c>
      <c r="BK235" s="5"/>
      <c r="BL235" s="5"/>
      <c r="BM235" s="12" t="str">
        <f t="shared" ca="1" si="63"/>
        <v>NA</v>
      </c>
      <c r="BN235" s="12" t="str">
        <f t="shared" ca="1" si="64"/>
        <v>NA</v>
      </c>
      <c r="BO235" s="12" t="str">
        <f t="shared" ca="1" si="65"/>
        <v>NA</v>
      </c>
      <c r="BP235" s="5"/>
      <c r="BQ235" s="5"/>
      <c r="BR235" s="5"/>
      <c r="BS235" s="12" t="str">
        <f t="shared" ca="1" si="66"/>
        <v>NA</v>
      </c>
      <c r="BT235" s="12" t="str">
        <f t="shared" ca="1" si="67"/>
        <v>NA</v>
      </c>
      <c r="BU235" s="12" t="str">
        <f t="shared" ca="1" si="68"/>
        <v>NA</v>
      </c>
      <c r="BV235" s="5"/>
      <c r="BW235" s="5"/>
      <c r="BX235" s="12" t="str">
        <f t="shared" ca="1" si="69"/>
        <v>NA</v>
      </c>
      <c r="BY235" s="12" t="str">
        <f t="shared" ca="1" si="70"/>
        <v>NA</v>
      </c>
      <c r="BZ235" s="12" t="str">
        <f t="shared" ca="1" si="71"/>
        <v>NA</v>
      </c>
      <c r="CA235" s="5"/>
    </row>
    <row r="236" spans="1:79" ht="12.75" customHeight="1" x14ac:dyDescent="0.15">
      <c r="A236" s="4">
        <v>2652</v>
      </c>
      <c r="B236" s="5" t="s">
        <v>79</v>
      </c>
      <c r="C236" s="5" t="s">
        <v>79</v>
      </c>
      <c r="D236" s="6" t="s">
        <v>1265</v>
      </c>
      <c r="E236" s="7">
        <v>24485</v>
      </c>
      <c r="F236" s="6" t="s">
        <v>1266</v>
      </c>
      <c r="G236" s="8"/>
      <c r="H236" s="8"/>
      <c r="I236" s="8"/>
      <c r="J236" s="8"/>
      <c r="K236" s="8"/>
      <c r="L236" s="8" t="s">
        <v>82</v>
      </c>
      <c r="M236" s="7">
        <v>2408</v>
      </c>
      <c r="N236" s="7">
        <v>2418</v>
      </c>
      <c r="O236" s="13">
        <v>41507</v>
      </c>
      <c r="P236" s="10" t="str">
        <f t="shared" ca="1" si="38"/>
        <v>NA</v>
      </c>
      <c r="Q236" s="5" t="str">
        <f t="shared" ca="1" si="39"/>
        <v>NA</v>
      </c>
      <c r="R236" s="5" t="str">
        <f t="shared" ca="1" si="40"/>
        <v>NA</v>
      </c>
      <c r="S236" s="7">
        <f t="shared" ca="1" si="41"/>
        <v>2013</v>
      </c>
      <c r="T236" s="7">
        <f t="shared" ca="1" si="42"/>
        <v>8</v>
      </c>
      <c r="U236" s="7">
        <f t="shared" ca="1" si="43"/>
        <v>21</v>
      </c>
      <c r="V236" s="6" t="s">
        <v>1267</v>
      </c>
      <c r="W236" s="14" t="s">
        <v>96</v>
      </c>
      <c r="X236" s="15"/>
      <c r="Y236" s="5">
        <f t="shared" ca="1" si="76"/>
        <v>1</v>
      </c>
      <c r="Z236" s="6"/>
      <c r="AA236" s="12" t="str">
        <f t="shared" ca="1" si="45"/>
        <v>NA</v>
      </c>
      <c r="AB236" s="12" t="str">
        <f t="shared" ca="1" si="46"/>
        <v>NA</v>
      </c>
      <c r="AC236" s="12" t="str">
        <f t="shared" ca="1" si="47"/>
        <v>NA</v>
      </c>
      <c r="AD236" s="6"/>
      <c r="AE236" s="5"/>
      <c r="AF236" s="6"/>
      <c r="AG236" s="5"/>
      <c r="AH236" s="12" t="str">
        <f t="shared" ca="1" si="48"/>
        <v>NA</v>
      </c>
      <c r="AI236" s="12" t="str">
        <f t="shared" ca="1" si="49"/>
        <v>NA</v>
      </c>
      <c r="AJ236" s="12" t="str">
        <f t="shared" ca="1" si="50"/>
        <v>NA</v>
      </c>
      <c r="AK236" s="5"/>
      <c r="AL236" s="5"/>
      <c r="AM236" s="5"/>
      <c r="AN236" s="5"/>
      <c r="AO236" s="11">
        <v>42894</v>
      </c>
      <c r="AP236" s="12">
        <f t="shared" ca="1" si="51"/>
        <v>2017</v>
      </c>
      <c r="AQ236" s="12">
        <f t="shared" ca="1" si="52"/>
        <v>6</v>
      </c>
      <c r="AR236" s="12">
        <f t="shared" ca="1" si="53"/>
        <v>8</v>
      </c>
      <c r="AS236" s="8" t="s">
        <v>1268</v>
      </c>
      <c r="AT236" s="8"/>
      <c r="AU236" s="5"/>
      <c r="AV236" s="12" t="str">
        <f t="shared" ca="1" si="54"/>
        <v>NA</v>
      </c>
      <c r="AW236" s="12" t="str">
        <f t="shared" ca="1" si="55"/>
        <v>NA</v>
      </c>
      <c r="AX236" s="12" t="str">
        <f t="shared" ca="1" si="56"/>
        <v>NA</v>
      </c>
      <c r="AY236" s="5"/>
      <c r="AZ236" s="5"/>
      <c r="BA236" s="6"/>
      <c r="BB236" s="12" t="str">
        <f t="shared" ca="1" si="57"/>
        <v>NA</v>
      </c>
      <c r="BC236" s="12" t="str">
        <f t="shared" ca="1" si="58"/>
        <v>NA</v>
      </c>
      <c r="BD236" s="12" t="str">
        <f t="shared" ca="1" si="59"/>
        <v>NA</v>
      </c>
      <c r="BE236" s="5"/>
      <c r="BF236" s="5"/>
      <c r="BG236" s="5"/>
      <c r="BH236" s="12" t="str">
        <f t="shared" ca="1" si="60"/>
        <v>NA</v>
      </c>
      <c r="BI236" s="12" t="str">
        <f t="shared" ca="1" si="61"/>
        <v>NA</v>
      </c>
      <c r="BJ236" s="12" t="str">
        <f t="shared" ca="1" si="62"/>
        <v>NA</v>
      </c>
      <c r="BK236" s="5"/>
      <c r="BL236" s="5"/>
      <c r="BM236" s="12" t="str">
        <f t="shared" ca="1" si="63"/>
        <v>NA</v>
      </c>
      <c r="BN236" s="12" t="str">
        <f t="shared" ca="1" si="64"/>
        <v>NA</v>
      </c>
      <c r="BO236" s="12" t="str">
        <f t="shared" ca="1" si="65"/>
        <v>NA</v>
      </c>
      <c r="BP236" s="5"/>
      <c r="BQ236" s="5"/>
      <c r="BR236" s="5"/>
      <c r="BS236" s="12" t="str">
        <f t="shared" ca="1" si="66"/>
        <v>NA</v>
      </c>
      <c r="BT236" s="12" t="str">
        <f t="shared" ca="1" si="67"/>
        <v>NA</v>
      </c>
      <c r="BU236" s="12" t="str">
        <f t="shared" ca="1" si="68"/>
        <v>NA</v>
      </c>
      <c r="BV236" s="5"/>
      <c r="BW236" s="5"/>
      <c r="BX236" s="12" t="str">
        <f t="shared" ca="1" si="69"/>
        <v>NA</v>
      </c>
      <c r="BY236" s="12" t="str">
        <f t="shared" ca="1" si="70"/>
        <v>NA</v>
      </c>
      <c r="BZ236" s="12" t="str">
        <f t="shared" ca="1" si="71"/>
        <v>NA</v>
      </c>
      <c r="CA236" s="5"/>
    </row>
    <row r="237" spans="1:79" ht="12.75" customHeight="1" x14ac:dyDescent="0.15">
      <c r="A237" s="4">
        <v>2634</v>
      </c>
      <c r="B237" s="5" t="s">
        <v>852</v>
      </c>
      <c r="C237" s="5" t="s">
        <v>852</v>
      </c>
      <c r="D237" s="6" t="s">
        <v>1269</v>
      </c>
      <c r="E237" s="7">
        <v>7403</v>
      </c>
      <c r="F237" s="6" t="s">
        <v>1270</v>
      </c>
      <c r="G237" s="8" t="s">
        <v>856</v>
      </c>
      <c r="H237" s="6" t="s">
        <v>1271</v>
      </c>
      <c r="I237" s="8">
        <v>2654</v>
      </c>
      <c r="J237" s="8"/>
      <c r="K237" s="8"/>
      <c r="L237" s="8" t="s">
        <v>82</v>
      </c>
      <c r="M237" s="7">
        <v>1131</v>
      </c>
      <c r="N237" s="7">
        <v>2414</v>
      </c>
      <c r="O237" s="13">
        <v>40402</v>
      </c>
      <c r="P237" s="10" t="str">
        <f t="shared" ca="1" si="38"/>
        <v>NA</v>
      </c>
      <c r="Q237" s="5" t="str">
        <f t="shared" ca="1" si="39"/>
        <v>NA</v>
      </c>
      <c r="R237" s="5" t="str">
        <f t="shared" ca="1" si="40"/>
        <v>NA</v>
      </c>
      <c r="S237" s="7">
        <f t="shared" ca="1" si="41"/>
        <v>2010</v>
      </c>
      <c r="T237" s="7">
        <f t="shared" ca="1" si="42"/>
        <v>8</v>
      </c>
      <c r="U237" s="7">
        <f t="shared" ca="1" si="43"/>
        <v>12</v>
      </c>
      <c r="V237" s="6" t="s">
        <v>1272</v>
      </c>
      <c r="W237" s="14" t="s">
        <v>96</v>
      </c>
      <c r="X237" s="15"/>
      <c r="Y237" s="5">
        <f t="shared" ca="1" si="76"/>
        <v>1</v>
      </c>
      <c r="Z237" s="6"/>
      <c r="AA237" s="12" t="str">
        <f t="shared" ca="1" si="45"/>
        <v>NA</v>
      </c>
      <c r="AB237" s="12" t="str">
        <f t="shared" ca="1" si="46"/>
        <v>NA</v>
      </c>
      <c r="AC237" s="12" t="str">
        <f t="shared" ca="1" si="47"/>
        <v>NA</v>
      </c>
      <c r="AD237" s="6"/>
      <c r="AE237" s="5"/>
      <c r="AF237" s="6"/>
      <c r="AG237" s="5"/>
      <c r="AH237" s="12" t="str">
        <f t="shared" ca="1" si="48"/>
        <v>NA</v>
      </c>
      <c r="AI237" s="12" t="str">
        <f t="shared" ca="1" si="49"/>
        <v>NA</v>
      </c>
      <c r="AJ237" s="12" t="str">
        <f t="shared" ca="1" si="50"/>
        <v>NA</v>
      </c>
      <c r="AK237" s="5"/>
      <c r="AL237" s="5"/>
      <c r="AM237" s="5"/>
      <c r="AN237" s="5"/>
      <c r="AO237" s="11">
        <v>41753</v>
      </c>
      <c r="AP237" s="12">
        <f t="shared" ca="1" si="51"/>
        <v>2014</v>
      </c>
      <c r="AQ237" s="12">
        <f t="shared" ca="1" si="52"/>
        <v>4</v>
      </c>
      <c r="AR237" s="12">
        <f t="shared" ca="1" si="53"/>
        <v>24</v>
      </c>
      <c r="AS237" s="8" t="s">
        <v>1273</v>
      </c>
      <c r="AT237" s="8"/>
      <c r="AU237" s="5"/>
      <c r="AV237" s="12" t="str">
        <f t="shared" ca="1" si="54"/>
        <v>NA</v>
      </c>
      <c r="AW237" s="12" t="str">
        <f t="shared" ca="1" si="55"/>
        <v>NA</v>
      </c>
      <c r="AX237" s="12" t="str">
        <f t="shared" ca="1" si="56"/>
        <v>NA</v>
      </c>
      <c r="AY237" s="5"/>
      <c r="AZ237" s="5"/>
      <c r="BA237" s="5"/>
      <c r="BB237" s="12" t="str">
        <f t="shared" ca="1" si="57"/>
        <v>NA</v>
      </c>
      <c r="BC237" s="12" t="str">
        <f t="shared" ca="1" si="58"/>
        <v>NA</v>
      </c>
      <c r="BD237" s="12" t="str">
        <f t="shared" ca="1" si="59"/>
        <v>NA</v>
      </c>
      <c r="BE237" s="5"/>
      <c r="BF237" s="5"/>
      <c r="BG237" s="5"/>
      <c r="BH237" s="12" t="str">
        <f t="shared" ca="1" si="60"/>
        <v>NA</v>
      </c>
      <c r="BI237" s="12" t="str">
        <f t="shared" ca="1" si="61"/>
        <v>NA</v>
      </c>
      <c r="BJ237" s="12" t="str">
        <f t="shared" ca="1" si="62"/>
        <v>NA</v>
      </c>
      <c r="BK237" s="5"/>
      <c r="BL237" s="5"/>
      <c r="BM237" s="12" t="str">
        <f t="shared" ca="1" si="63"/>
        <v>NA</v>
      </c>
      <c r="BN237" s="12" t="str">
        <f t="shared" ca="1" si="64"/>
        <v>NA</v>
      </c>
      <c r="BO237" s="12" t="str">
        <f t="shared" ca="1" si="65"/>
        <v>NA</v>
      </c>
      <c r="BP237" s="5"/>
      <c r="BQ237" s="5"/>
      <c r="BR237" s="5"/>
      <c r="BS237" s="12" t="str">
        <f t="shared" ca="1" si="66"/>
        <v>NA</v>
      </c>
      <c r="BT237" s="12" t="str">
        <f t="shared" ca="1" si="67"/>
        <v>NA</v>
      </c>
      <c r="BU237" s="12" t="str">
        <f t="shared" ca="1" si="68"/>
        <v>NA</v>
      </c>
      <c r="BV237" s="5"/>
      <c r="BW237" s="5"/>
      <c r="BX237" s="12" t="str">
        <f t="shared" ca="1" si="69"/>
        <v>NA</v>
      </c>
      <c r="BY237" s="12" t="str">
        <f t="shared" ca="1" si="70"/>
        <v>NA</v>
      </c>
      <c r="BZ237" s="12" t="str">
        <f t="shared" ca="1" si="71"/>
        <v>NA</v>
      </c>
      <c r="CA237" s="5"/>
    </row>
    <row r="238" spans="1:79" ht="12.75" customHeight="1" x14ac:dyDescent="0.15">
      <c r="A238" s="4">
        <v>2654</v>
      </c>
      <c r="B238" s="5" t="s">
        <v>852</v>
      </c>
      <c r="C238" s="5" t="s">
        <v>852</v>
      </c>
      <c r="D238" s="6" t="s">
        <v>1274</v>
      </c>
      <c r="E238" s="7">
        <v>7508</v>
      </c>
      <c r="F238" s="6" t="s">
        <v>1275</v>
      </c>
      <c r="G238" s="8" t="s">
        <v>856</v>
      </c>
      <c r="H238" s="6" t="s">
        <v>1276</v>
      </c>
      <c r="I238" s="8">
        <v>2634</v>
      </c>
      <c r="J238" s="8"/>
      <c r="K238" s="8"/>
      <c r="L238" s="8" t="s">
        <v>82</v>
      </c>
      <c r="M238" s="7">
        <v>2449</v>
      </c>
      <c r="N238" s="7">
        <v>2632</v>
      </c>
      <c r="O238" s="13">
        <v>41873</v>
      </c>
      <c r="P238" s="10" t="str">
        <f t="shared" ca="1" si="38"/>
        <v>NA</v>
      </c>
      <c r="Q238" s="5" t="str">
        <f t="shared" ca="1" si="39"/>
        <v>NA</v>
      </c>
      <c r="R238" s="5" t="str">
        <f t="shared" ca="1" si="40"/>
        <v>NA</v>
      </c>
      <c r="S238" s="7">
        <f t="shared" ca="1" si="41"/>
        <v>2014</v>
      </c>
      <c r="T238" s="7">
        <f t="shared" ca="1" si="42"/>
        <v>8</v>
      </c>
      <c r="U238" s="7">
        <f t="shared" ca="1" si="43"/>
        <v>22</v>
      </c>
      <c r="V238" s="6" t="s">
        <v>1277</v>
      </c>
      <c r="W238" s="14" t="s">
        <v>96</v>
      </c>
      <c r="X238" s="15"/>
      <c r="Y238" s="5">
        <f t="shared" ca="1" si="76"/>
        <v>1</v>
      </c>
      <c r="Z238" s="6"/>
      <c r="AA238" s="12" t="str">
        <f t="shared" ca="1" si="45"/>
        <v>NA</v>
      </c>
      <c r="AB238" s="12" t="str">
        <f t="shared" ca="1" si="46"/>
        <v>NA</v>
      </c>
      <c r="AC238" s="12" t="str">
        <f t="shared" ca="1" si="47"/>
        <v>NA</v>
      </c>
      <c r="AD238" s="6"/>
      <c r="AE238" s="5"/>
      <c r="AF238" s="6"/>
      <c r="AG238" s="5"/>
      <c r="AH238" s="12" t="str">
        <f t="shared" ca="1" si="48"/>
        <v>NA</v>
      </c>
      <c r="AI238" s="12" t="str">
        <f t="shared" ca="1" si="49"/>
        <v>NA</v>
      </c>
      <c r="AJ238" s="12" t="str">
        <f t="shared" ca="1" si="50"/>
        <v>NA</v>
      </c>
      <c r="AK238" s="5"/>
      <c r="AL238" s="5"/>
      <c r="AM238" s="5"/>
      <c r="AN238" s="5"/>
      <c r="AO238" s="11">
        <v>42270</v>
      </c>
      <c r="AP238" s="12">
        <f t="shared" ca="1" si="51"/>
        <v>2015</v>
      </c>
      <c r="AQ238" s="12">
        <f t="shared" ca="1" si="52"/>
        <v>9</v>
      </c>
      <c r="AR238" s="12">
        <f t="shared" ca="1" si="53"/>
        <v>23</v>
      </c>
      <c r="AS238" s="8" t="s">
        <v>1278</v>
      </c>
      <c r="AT238" s="8"/>
      <c r="AU238" s="5"/>
      <c r="AV238" s="12" t="str">
        <f t="shared" ca="1" si="54"/>
        <v>NA</v>
      </c>
      <c r="AW238" s="12" t="str">
        <f t="shared" ca="1" si="55"/>
        <v>NA</v>
      </c>
      <c r="AX238" s="12" t="str">
        <f t="shared" ca="1" si="56"/>
        <v>NA</v>
      </c>
      <c r="AY238" s="5"/>
      <c r="AZ238" s="5"/>
      <c r="BA238" s="5"/>
      <c r="BB238" s="12" t="str">
        <f t="shared" ca="1" si="57"/>
        <v>NA</v>
      </c>
      <c r="BC238" s="12" t="str">
        <f t="shared" ca="1" si="58"/>
        <v>NA</v>
      </c>
      <c r="BD238" s="12" t="str">
        <f t="shared" ca="1" si="59"/>
        <v>NA</v>
      </c>
      <c r="BE238" s="5"/>
      <c r="BF238" s="5"/>
      <c r="BG238" s="5"/>
      <c r="BH238" s="12" t="str">
        <f t="shared" ca="1" si="60"/>
        <v>NA</v>
      </c>
      <c r="BI238" s="12" t="str">
        <f t="shared" ca="1" si="61"/>
        <v>NA</v>
      </c>
      <c r="BJ238" s="12" t="str">
        <f t="shared" ca="1" si="62"/>
        <v>NA</v>
      </c>
      <c r="BK238" s="5"/>
      <c r="BL238" s="5"/>
      <c r="BM238" s="12" t="str">
        <f t="shared" ca="1" si="63"/>
        <v>NA</v>
      </c>
      <c r="BN238" s="12" t="str">
        <f t="shared" ca="1" si="64"/>
        <v>NA</v>
      </c>
      <c r="BO238" s="12" t="str">
        <f t="shared" ca="1" si="65"/>
        <v>NA</v>
      </c>
      <c r="BP238" s="5"/>
      <c r="BQ238" s="5"/>
      <c r="BR238" s="5"/>
      <c r="BS238" s="12" t="str">
        <f t="shared" ca="1" si="66"/>
        <v>NA</v>
      </c>
      <c r="BT238" s="12" t="str">
        <f t="shared" ca="1" si="67"/>
        <v>NA</v>
      </c>
      <c r="BU238" s="12" t="str">
        <f t="shared" ca="1" si="68"/>
        <v>NA</v>
      </c>
      <c r="BV238" s="5"/>
      <c r="BW238" s="5"/>
      <c r="BX238" s="12" t="str">
        <f t="shared" ca="1" si="69"/>
        <v>NA</v>
      </c>
      <c r="BY238" s="12" t="str">
        <f t="shared" ca="1" si="70"/>
        <v>NA</v>
      </c>
      <c r="BZ238" s="12" t="str">
        <f t="shared" ca="1" si="71"/>
        <v>NA</v>
      </c>
      <c r="CA238" s="5"/>
    </row>
    <row r="239" spans="1:79" ht="12.75" customHeight="1" x14ac:dyDescent="0.15">
      <c r="A239" s="4">
        <v>2655</v>
      </c>
      <c r="B239" s="5" t="s">
        <v>79</v>
      </c>
      <c r="C239" s="5" t="s">
        <v>79</v>
      </c>
      <c r="D239" s="6" t="s">
        <v>1279</v>
      </c>
      <c r="E239" s="6" t="s">
        <v>1280</v>
      </c>
      <c r="F239" s="6" t="s">
        <v>1281</v>
      </c>
      <c r="G239" s="8"/>
      <c r="H239" s="8"/>
      <c r="I239" s="8"/>
      <c r="J239" s="8"/>
      <c r="K239" s="8"/>
      <c r="L239" s="8" t="s">
        <v>82</v>
      </c>
      <c r="M239" s="7">
        <v>2496</v>
      </c>
      <c r="N239" s="7">
        <v>2403</v>
      </c>
      <c r="O239" s="13">
        <v>42026</v>
      </c>
      <c r="P239" s="10">
        <f t="shared" ca="1" si="38"/>
        <v>0</v>
      </c>
      <c r="Q239" s="5">
        <f t="shared" ca="1" si="39"/>
        <v>0</v>
      </c>
      <c r="R239" s="5">
        <f t="shared" ca="1" si="40"/>
        <v>0</v>
      </c>
      <c r="S239" s="7">
        <f t="shared" ca="1" si="41"/>
        <v>2015</v>
      </c>
      <c r="T239" s="7">
        <f t="shared" ca="1" si="42"/>
        <v>1</v>
      </c>
      <c r="U239" s="7">
        <f t="shared" ca="1" si="43"/>
        <v>22</v>
      </c>
      <c r="V239" s="6" t="s">
        <v>1282</v>
      </c>
      <c r="W239" s="14" t="s">
        <v>96</v>
      </c>
      <c r="X239" s="15"/>
      <c r="Y239" s="5">
        <f t="shared" ca="1" si="76"/>
        <v>0</v>
      </c>
      <c r="Z239" s="6"/>
      <c r="AA239" s="12" t="str">
        <f t="shared" ca="1" si="45"/>
        <v>NA</v>
      </c>
      <c r="AB239" s="12" t="str">
        <f t="shared" ca="1" si="46"/>
        <v>NA</v>
      </c>
      <c r="AC239" s="12" t="str">
        <f t="shared" ca="1" si="47"/>
        <v>NA</v>
      </c>
      <c r="AD239" s="6"/>
      <c r="AE239" s="5"/>
      <c r="AF239" s="6"/>
      <c r="AG239" s="11">
        <v>42026</v>
      </c>
      <c r="AH239" s="12">
        <f t="shared" ca="1" si="48"/>
        <v>2015</v>
      </c>
      <c r="AI239" s="12">
        <f t="shared" ca="1" si="49"/>
        <v>1</v>
      </c>
      <c r="AJ239" s="12">
        <f t="shared" ca="1" si="50"/>
        <v>22</v>
      </c>
      <c r="AK239" s="8" t="s">
        <v>1283</v>
      </c>
      <c r="AL239" s="8"/>
      <c r="AM239" s="5"/>
      <c r="AN239" s="5"/>
      <c r="AO239" s="5"/>
      <c r="AP239" s="12" t="str">
        <f t="shared" ca="1" si="51"/>
        <v>NA</v>
      </c>
      <c r="AQ239" s="12" t="str">
        <f t="shared" ca="1" si="52"/>
        <v>NA</v>
      </c>
      <c r="AR239" s="12" t="str">
        <f t="shared" ca="1" si="53"/>
        <v>NA</v>
      </c>
      <c r="AS239" s="5"/>
      <c r="AT239" s="5"/>
      <c r="AU239" s="5"/>
      <c r="AV239" s="12" t="str">
        <f t="shared" ca="1" si="54"/>
        <v>NA</v>
      </c>
      <c r="AW239" s="12" t="str">
        <f t="shared" ca="1" si="55"/>
        <v>NA</v>
      </c>
      <c r="AX239" s="12" t="str">
        <f t="shared" ca="1" si="56"/>
        <v>NA</v>
      </c>
      <c r="AY239" s="5"/>
      <c r="AZ239" s="5"/>
      <c r="BA239" s="6"/>
      <c r="BB239" s="12" t="str">
        <f t="shared" ca="1" si="57"/>
        <v>NA</v>
      </c>
      <c r="BC239" s="12" t="str">
        <f t="shared" ca="1" si="58"/>
        <v>NA</v>
      </c>
      <c r="BD239" s="12" t="str">
        <f t="shared" ca="1" si="59"/>
        <v>NA</v>
      </c>
      <c r="BE239" s="5"/>
      <c r="BF239" s="5"/>
      <c r="BG239" s="5"/>
      <c r="BH239" s="12" t="str">
        <f t="shared" ca="1" si="60"/>
        <v>NA</v>
      </c>
      <c r="BI239" s="12" t="str">
        <f t="shared" ca="1" si="61"/>
        <v>NA</v>
      </c>
      <c r="BJ239" s="12" t="str">
        <f t="shared" ca="1" si="62"/>
        <v>NA</v>
      </c>
      <c r="BK239" s="5"/>
      <c r="BL239" s="5"/>
      <c r="BM239" s="12" t="str">
        <f t="shared" ca="1" si="63"/>
        <v>NA</v>
      </c>
      <c r="BN239" s="12" t="str">
        <f t="shared" ca="1" si="64"/>
        <v>NA</v>
      </c>
      <c r="BO239" s="12" t="str">
        <f t="shared" ca="1" si="65"/>
        <v>NA</v>
      </c>
      <c r="BP239" s="5"/>
      <c r="BQ239" s="5"/>
      <c r="BR239" s="5"/>
      <c r="BS239" s="12" t="str">
        <f t="shared" ca="1" si="66"/>
        <v>NA</v>
      </c>
      <c r="BT239" s="12" t="str">
        <f t="shared" ca="1" si="67"/>
        <v>NA</v>
      </c>
      <c r="BU239" s="12" t="str">
        <f t="shared" ca="1" si="68"/>
        <v>NA</v>
      </c>
      <c r="BV239" s="5"/>
      <c r="BW239" s="5"/>
      <c r="BX239" s="12" t="str">
        <f t="shared" ca="1" si="69"/>
        <v>NA</v>
      </c>
      <c r="BY239" s="12" t="str">
        <f t="shared" ca="1" si="70"/>
        <v>NA</v>
      </c>
      <c r="BZ239" s="12" t="str">
        <f t="shared" ca="1" si="71"/>
        <v>NA</v>
      </c>
      <c r="CA239" s="5"/>
    </row>
    <row r="240" spans="1:79" ht="12.75" customHeight="1" x14ac:dyDescent="0.15">
      <c r="A240" s="4">
        <v>2656</v>
      </c>
      <c r="B240" s="5" t="s">
        <v>79</v>
      </c>
      <c r="C240" s="5" t="s">
        <v>79</v>
      </c>
      <c r="D240" s="6" t="s">
        <v>1284</v>
      </c>
      <c r="E240" s="18"/>
      <c r="F240" s="6" t="s">
        <v>1285</v>
      </c>
      <c r="G240" s="8"/>
      <c r="H240" s="8"/>
      <c r="I240" s="8"/>
      <c r="J240" s="8"/>
      <c r="K240" s="8"/>
      <c r="L240" s="8" t="s">
        <v>82</v>
      </c>
      <c r="M240" s="7">
        <v>2496</v>
      </c>
      <c r="N240" s="7">
        <v>2403</v>
      </c>
      <c r="O240" s="13">
        <v>42026</v>
      </c>
      <c r="P240" s="10">
        <f t="shared" ca="1" si="38"/>
        <v>0</v>
      </c>
      <c r="Q240" s="5">
        <f t="shared" ca="1" si="39"/>
        <v>0</v>
      </c>
      <c r="R240" s="5">
        <f t="shared" ca="1" si="40"/>
        <v>0</v>
      </c>
      <c r="S240" s="7">
        <f t="shared" ca="1" si="41"/>
        <v>2015</v>
      </c>
      <c r="T240" s="7">
        <f t="shared" ca="1" si="42"/>
        <v>1</v>
      </c>
      <c r="U240" s="7">
        <f t="shared" ca="1" si="43"/>
        <v>22</v>
      </c>
      <c r="V240" s="6" t="s">
        <v>1286</v>
      </c>
      <c r="W240" s="14" t="s">
        <v>96</v>
      </c>
      <c r="X240" s="15"/>
      <c r="Y240" s="5">
        <f t="shared" ca="1" si="76"/>
        <v>0</v>
      </c>
      <c r="Z240" s="6"/>
      <c r="AA240" s="12" t="str">
        <f t="shared" ca="1" si="45"/>
        <v>NA</v>
      </c>
      <c r="AB240" s="12" t="str">
        <f t="shared" ca="1" si="46"/>
        <v>NA</v>
      </c>
      <c r="AC240" s="12" t="str">
        <f t="shared" ca="1" si="47"/>
        <v>NA</v>
      </c>
      <c r="AD240" s="6"/>
      <c r="AE240" s="5"/>
      <c r="AF240" s="6"/>
      <c r="AG240" s="11">
        <v>42026</v>
      </c>
      <c r="AH240" s="12">
        <f t="shared" ca="1" si="48"/>
        <v>2015</v>
      </c>
      <c r="AI240" s="12">
        <f t="shared" ca="1" si="49"/>
        <v>1</v>
      </c>
      <c r="AJ240" s="12">
        <f t="shared" ca="1" si="50"/>
        <v>22</v>
      </c>
      <c r="AK240" s="8" t="s">
        <v>1287</v>
      </c>
      <c r="AL240" s="8"/>
      <c r="AM240" s="5"/>
      <c r="AN240" s="5"/>
      <c r="AO240" s="5"/>
      <c r="AP240" s="12" t="str">
        <f t="shared" ca="1" si="51"/>
        <v>NA</v>
      </c>
      <c r="AQ240" s="12" t="str">
        <f t="shared" ca="1" si="52"/>
        <v>NA</v>
      </c>
      <c r="AR240" s="12" t="str">
        <f t="shared" ca="1" si="53"/>
        <v>NA</v>
      </c>
      <c r="AS240" s="5"/>
      <c r="AT240" s="5"/>
      <c r="AU240" s="5"/>
      <c r="AV240" s="12" t="str">
        <f t="shared" ca="1" si="54"/>
        <v>NA</v>
      </c>
      <c r="AW240" s="12" t="str">
        <f t="shared" ca="1" si="55"/>
        <v>NA</v>
      </c>
      <c r="AX240" s="12" t="str">
        <f t="shared" ca="1" si="56"/>
        <v>NA</v>
      </c>
      <c r="AY240" s="5"/>
      <c r="AZ240" s="5"/>
      <c r="BA240" s="6"/>
      <c r="BB240" s="12" t="str">
        <f t="shared" ca="1" si="57"/>
        <v>NA</v>
      </c>
      <c r="BC240" s="12" t="str">
        <f t="shared" ca="1" si="58"/>
        <v>NA</v>
      </c>
      <c r="BD240" s="12" t="str">
        <f t="shared" ca="1" si="59"/>
        <v>NA</v>
      </c>
      <c r="BE240" s="5"/>
      <c r="BF240" s="5"/>
      <c r="BG240" s="5"/>
      <c r="BH240" s="12" t="str">
        <f t="shared" ca="1" si="60"/>
        <v>NA</v>
      </c>
      <c r="BI240" s="12" t="str">
        <f t="shared" ca="1" si="61"/>
        <v>NA</v>
      </c>
      <c r="BJ240" s="12" t="str">
        <f t="shared" ca="1" si="62"/>
        <v>NA</v>
      </c>
      <c r="BK240" s="5"/>
      <c r="BL240" s="5"/>
      <c r="BM240" s="12" t="str">
        <f t="shared" ca="1" si="63"/>
        <v>NA</v>
      </c>
      <c r="BN240" s="12" t="str">
        <f t="shared" ca="1" si="64"/>
        <v>NA</v>
      </c>
      <c r="BO240" s="12" t="str">
        <f t="shared" ca="1" si="65"/>
        <v>NA</v>
      </c>
      <c r="BP240" s="5"/>
      <c r="BQ240" s="5"/>
      <c r="BR240" s="5"/>
      <c r="BS240" s="12" t="str">
        <f t="shared" ca="1" si="66"/>
        <v>NA</v>
      </c>
      <c r="BT240" s="12" t="str">
        <f t="shared" ca="1" si="67"/>
        <v>NA</v>
      </c>
      <c r="BU240" s="12" t="str">
        <f t="shared" ca="1" si="68"/>
        <v>NA</v>
      </c>
      <c r="BV240" s="5"/>
      <c r="BW240" s="5"/>
      <c r="BX240" s="12" t="str">
        <f t="shared" ca="1" si="69"/>
        <v>NA</v>
      </c>
      <c r="BY240" s="12" t="str">
        <f t="shared" ca="1" si="70"/>
        <v>NA</v>
      </c>
      <c r="BZ240" s="12" t="str">
        <f t="shared" ca="1" si="71"/>
        <v>NA</v>
      </c>
      <c r="CA240" s="5"/>
    </row>
    <row r="241" spans="1:79" ht="12.75" customHeight="1" x14ac:dyDescent="0.15">
      <c r="A241" s="4">
        <v>2657</v>
      </c>
      <c r="B241" s="5" t="s">
        <v>79</v>
      </c>
      <c r="C241" s="5" t="s">
        <v>79</v>
      </c>
      <c r="D241" s="6" t="s">
        <v>1288</v>
      </c>
      <c r="E241" s="7">
        <v>5261</v>
      </c>
      <c r="F241" s="6" t="s">
        <v>1289</v>
      </c>
      <c r="G241" s="8"/>
      <c r="H241" s="8"/>
      <c r="I241" s="8"/>
      <c r="J241" s="8"/>
      <c r="K241" s="8"/>
      <c r="L241" s="8" t="s">
        <v>82</v>
      </c>
      <c r="M241" s="7">
        <v>2631</v>
      </c>
      <c r="N241" s="7">
        <v>2626</v>
      </c>
      <c r="O241" s="13">
        <v>42118</v>
      </c>
      <c r="P241" s="10">
        <f t="shared" ca="1" si="38"/>
        <v>1.1111111111111112E-2</v>
      </c>
      <c r="Q241" s="5">
        <f t="shared" ca="1" si="39"/>
        <v>0</v>
      </c>
      <c r="R241" s="5">
        <f t="shared" ca="1" si="40"/>
        <v>4</v>
      </c>
      <c r="S241" s="7">
        <f t="shared" ca="1" si="41"/>
        <v>2015</v>
      </c>
      <c r="T241" s="7">
        <f t="shared" ca="1" si="42"/>
        <v>4</v>
      </c>
      <c r="U241" s="7">
        <f t="shared" ca="1" si="43"/>
        <v>24</v>
      </c>
      <c r="V241" s="6" t="s">
        <v>1290</v>
      </c>
      <c r="W241" s="14" t="s">
        <v>96</v>
      </c>
      <c r="X241" s="15"/>
      <c r="Y241" s="5">
        <f t="shared" ca="1" si="76"/>
        <v>0</v>
      </c>
      <c r="Z241" s="6"/>
      <c r="AA241" s="12" t="str">
        <f t="shared" ca="1" si="45"/>
        <v>NA</v>
      </c>
      <c r="AB241" s="12" t="str">
        <f t="shared" ca="1" si="46"/>
        <v>NA</v>
      </c>
      <c r="AC241" s="12" t="str">
        <f t="shared" ca="1" si="47"/>
        <v>NA</v>
      </c>
      <c r="AD241" s="6"/>
      <c r="AE241" s="5"/>
      <c r="AF241" s="6"/>
      <c r="AG241" s="11">
        <v>42122</v>
      </c>
      <c r="AH241" s="12">
        <f t="shared" ca="1" si="48"/>
        <v>2015</v>
      </c>
      <c r="AI241" s="12">
        <f t="shared" ca="1" si="49"/>
        <v>4</v>
      </c>
      <c r="AJ241" s="12">
        <f t="shared" ca="1" si="50"/>
        <v>28</v>
      </c>
      <c r="AK241" s="8" t="s">
        <v>1291</v>
      </c>
      <c r="AL241" s="8"/>
      <c r="AM241" s="5"/>
      <c r="AN241" s="5"/>
      <c r="AO241" s="5"/>
      <c r="AP241" s="12" t="str">
        <f t="shared" ca="1" si="51"/>
        <v>NA</v>
      </c>
      <c r="AQ241" s="12" t="str">
        <f t="shared" ca="1" si="52"/>
        <v>NA</v>
      </c>
      <c r="AR241" s="12" t="str">
        <f t="shared" ca="1" si="53"/>
        <v>NA</v>
      </c>
      <c r="AS241" s="5"/>
      <c r="AT241" s="5"/>
      <c r="AU241" s="5"/>
      <c r="AV241" s="12" t="str">
        <f t="shared" ca="1" si="54"/>
        <v>NA</v>
      </c>
      <c r="AW241" s="12" t="str">
        <f t="shared" ca="1" si="55"/>
        <v>NA</v>
      </c>
      <c r="AX241" s="12" t="str">
        <f t="shared" ca="1" si="56"/>
        <v>NA</v>
      </c>
      <c r="AY241" s="5"/>
      <c r="AZ241" s="5"/>
      <c r="BA241" s="6"/>
      <c r="BB241" s="12" t="str">
        <f t="shared" ca="1" si="57"/>
        <v>NA</v>
      </c>
      <c r="BC241" s="12" t="str">
        <f t="shared" ca="1" si="58"/>
        <v>NA</v>
      </c>
      <c r="BD241" s="12" t="str">
        <f t="shared" ca="1" si="59"/>
        <v>NA</v>
      </c>
      <c r="BE241" s="5"/>
      <c r="BF241" s="5"/>
      <c r="BG241" s="5"/>
      <c r="BH241" s="12" t="str">
        <f t="shared" ca="1" si="60"/>
        <v>NA</v>
      </c>
      <c r="BI241" s="12" t="str">
        <f t="shared" ca="1" si="61"/>
        <v>NA</v>
      </c>
      <c r="BJ241" s="12" t="str">
        <f t="shared" ca="1" si="62"/>
        <v>NA</v>
      </c>
      <c r="BK241" s="5"/>
      <c r="BL241" s="5"/>
      <c r="BM241" s="12" t="str">
        <f t="shared" ca="1" si="63"/>
        <v>NA</v>
      </c>
      <c r="BN241" s="12" t="str">
        <f t="shared" ca="1" si="64"/>
        <v>NA</v>
      </c>
      <c r="BO241" s="12" t="str">
        <f t="shared" ca="1" si="65"/>
        <v>NA</v>
      </c>
      <c r="BP241" s="5"/>
      <c r="BQ241" s="5"/>
      <c r="BR241" s="5"/>
      <c r="BS241" s="12" t="str">
        <f t="shared" ca="1" si="66"/>
        <v>NA</v>
      </c>
      <c r="BT241" s="12" t="str">
        <f t="shared" ca="1" si="67"/>
        <v>NA</v>
      </c>
      <c r="BU241" s="12" t="str">
        <f t="shared" ca="1" si="68"/>
        <v>NA</v>
      </c>
      <c r="BV241" s="5"/>
      <c r="BW241" s="5"/>
      <c r="BX241" s="12" t="str">
        <f t="shared" ca="1" si="69"/>
        <v>NA</v>
      </c>
      <c r="BY241" s="12" t="str">
        <f t="shared" ca="1" si="70"/>
        <v>NA</v>
      </c>
      <c r="BZ241" s="12" t="str">
        <f t="shared" ca="1" si="71"/>
        <v>NA</v>
      </c>
      <c r="CA241" s="5"/>
    </row>
    <row r="242" spans="1:79" ht="12.75" customHeight="1" x14ac:dyDescent="0.15">
      <c r="A242" s="4">
        <v>2658</v>
      </c>
      <c r="B242" s="5" t="s">
        <v>79</v>
      </c>
      <c r="C242" s="5" t="s">
        <v>79</v>
      </c>
      <c r="D242" s="6" t="s">
        <v>1292</v>
      </c>
      <c r="E242" s="7">
        <v>5652</v>
      </c>
      <c r="F242" s="6" t="s">
        <v>1293</v>
      </c>
      <c r="G242" s="8"/>
      <c r="H242" s="8"/>
      <c r="I242" s="8"/>
      <c r="J242" s="8"/>
      <c r="K242" s="8"/>
      <c r="L242" s="8" t="s">
        <v>82</v>
      </c>
      <c r="M242" s="7">
        <v>2631</v>
      </c>
      <c r="N242" s="7">
        <v>2626</v>
      </c>
      <c r="O242" s="13">
        <v>42122</v>
      </c>
      <c r="P242" s="10">
        <f t="shared" ca="1" si="38"/>
        <v>0</v>
      </c>
      <c r="Q242" s="5">
        <f t="shared" ca="1" si="39"/>
        <v>0</v>
      </c>
      <c r="R242" s="5">
        <f t="shared" ca="1" si="40"/>
        <v>0</v>
      </c>
      <c r="S242" s="7">
        <f t="shared" ca="1" si="41"/>
        <v>2015</v>
      </c>
      <c r="T242" s="7">
        <f t="shared" ca="1" si="42"/>
        <v>4</v>
      </c>
      <c r="U242" s="7">
        <f t="shared" ca="1" si="43"/>
        <v>28</v>
      </c>
      <c r="V242" s="6" t="s">
        <v>1294</v>
      </c>
      <c r="W242" s="14" t="s">
        <v>96</v>
      </c>
      <c r="X242" s="15"/>
      <c r="Y242" s="5">
        <f t="shared" ca="1" si="76"/>
        <v>0</v>
      </c>
      <c r="Z242" s="6"/>
      <c r="AA242" s="12" t="str">
        <f t="shared" ca="1" si="45"/>
        <v>NA</v>
      </c>
      <c r="AB242" s="12" t="str">
        <f t="shared" ca="1" si="46"/>
        <v>NA</v>
      </c>
      <c r="AC242" s="12" t="str">
        <f t="shared" ca="1" si="47"/>
        <v>NA</v>
      </c>
      <c r="AD242" s="6"/>
      <c r="AE242" s="5"/>
      <c r="AF242" s="6"/>
      <c r="AG242" s="11">
        <v>42122</v>
      </c>
      <c r="AH242" s="12">
        <f t="shared" ca="1" si="48"/>
        <v>2015</v>
      </c>
      <c r="AI242" s="12">
        <f t="shared" ca="1" si="49"/>
        <v>4</v>
      </c>
      <c r="AJ242" s="12">
        <f t="shared" ca="1" si="50"/>
        <v>28</v>
      </c>
      <c r="AK242" s="8" t="s">
        <v>1295</v>
      </c>
      <c r="AL242" s="8"/>
      <c r="AM242" s="5"/>
      <c r="AN242" s="5"/>
      <c r="AO242" s="5"/>
      <c r="AP242" s="12" t="str">
        <f t="shared" ca="1" si="51"/>
        <v>NA</v>
      </c>
      <c r="AQ242" s="12" t="str">
        <f t="shared" ca="1" si="52"/>
        <v>NA</v>
      </c>
      <c r="AR242" s="12" t="str">
        <f t="shared" ca="1" si="53"/>
        <v>NA</v>
      </c>
      <c r="AS242" s="5"/>
      <c r="AT242" s="5"/>
      <c r="AU242" s="5"/>
      <c r="AV242" s="12" t="str">
        <f t="shared" ca="1" si="54"/>
        <v>NA</v>
      </c>
      <c r="AW242" s="12" t="str">
        <f t="shared" ca="1" si="55"/>
        <v>NA</v>
      </c>
      <c r="AX242" s="12" t="str">
        <f t="shared" ca="1" si="56"/>
        <v>NA</v>
      </c>
      <c r="AY242" s="5"/>
      <c r="AZ242" s="5"/>
      <c r="BA242" s="6"/>
      <c r="BB242" s="12" t="str">
        <f t="shared" ca="1" si="57"/>
        <v>NA</v>
      </c>
      <c r="BC242" s="12" t="str">
        <f t="shared" ca="1" si="58"/>
        <v>NA</v>
      </c>
      <c r="BD242" s="12" t="str">
        <f t="shared" ca="1" si="59"/>
        <v>NA</v>
      </c>
      <c r="BE242" s="5"/>
      <c r="BF242" s="5"/>
      <c r="BG242" s="5"/>
      <c r="BH242" s="12" t="str">
        <f t="shared" ca="1" si="60"/>
        <v>NA</v>
      </c>
      <c r="BI242" s="12" t="str">
        <f t="shared" ca="1" si="61"/>
        <v>NA</v>
      </c>
      <c r="BJ242" s="12" t="str">
        <f t="shared" ca="1" si="62"/>
        <v>NA</v>
      </c>
      <c r="BK242" s="5"/>
      <c r="BL242" s="5"/>
      <c r="BM242" s="12" t="str">
        <f t="shared" ca="1" si="63"/>
        <v>NA</v>
      </c>
      <c r="BN242" s="12" t="str">
        <f t="shared" ca="1" si="64"/>
        <v>NA</v>
      </c>
      <c r="BO242" s="12" t="str">
        <f t="shared" ca="1" si="65"/>
        <v>NA</v>
      </c>
      <c r="BP242" s="5"/>
      <c r="BQ242" s="5"/>
      <c r="BR242" s="5"/>
      <c r="BS242" s="12" t="str">
        <f t="shared" ca="1" si="66"/>
        <v>NA</v>
      </c>
      <c r="BT242" s="12" t="str">
        <f t="shared" ca="1" si="67"/>
        <v>NA</v>
      </c>
      <c r="BU242" s="12" t="str">
        <f t="shared" ca="1" si="68"/>
        <v>NA</v>
      </c>
      <c r="BV242" s="5"/>
      <c r="BW242" s="5"/>
      <c r="BX242" s="12" t="str">
        <f t="shared" ca="1" si="69"/>
        <v>NA</v>
      </c>
      <c r="BY242" s="12" t="str">
        <f t="shared" ca="1" si="70"/>
        <v>NA</v>
      </c>
      <c r="BZ242" s="12" t="str">
        <f t="shared" ca="1" si="71"/>
        <v>NA</v>
      </c>
      <c r="CA242" s="5"/>
    </row>
    <row r="243" spans="1:79" ht="12.75" customHeight="1" x14ac:dyDescent="0.15">
      <c r="A243" s="4">
        <v>2673</v>
      </c>
      <c r="B243" s="5" t="s">
        <v>852</v>
      </c>
      <c r="C243" s="5" t="s">
        <v>852</v>
      </c>
      <c r="D243" s="6" t="s">
        <v>1296</v>
      </c>
      <c r="E243" s="6" t="s">
        <v>1297</v>
      </c>
      <c r="F243" s="6" t="s">
        <v>1298</v>
      </c>
      <c r="G243" s="8" t="s">
        <v>856</v>
      </c>
      <c r="H243" s="6" t="s">
        <v>1299</v>
      </c>
      <c r="I243" s="8">
        <v>2683</v>
      </c>
      <c r="J243" s="8"/>
      <c r="K243" s="8"/>
      <c r="L243" s="8" t="s">
        <v>82</v>
      </c>
      <c r="M243" s="7">
        <v>2649</v>
      </c>
      <c r="N243" s="7">
        <v>2638</v>
      </c>
      <c r="O243" s="13">
        <v>42720</v>
      </c>
      <c r="P243" s="10" t="str">
        <f t="shared" ca="1" si="38"/>
        <v>NA</v>
      </c>
      <c r="Q243" s="5" t="str">
        <f t="shared" ca="1" si="39"/>
        <v>NA</v>
      </c>
      <c r="R243" s="5" t="str">
        <f t="shared" ca="1" si="40"/>
        <v>NA</v>
      </c>
      <c r="S243" s="7">
        <f t="shared" ca="1" si="41"/>
        <v>2016</v>
      </c>
      <c r="T243" s="7">
        <f t="shared" ca="1" si="42"/>
        <v>12</v>
      </c>
      <c r="U243" s="7">
        <f t="shared" ca="1" si="43"/>
        <v>16</v>
      </c>
      <c r="V243" s="6" t="s">
        <v>1300</v>
      </c>
      <c r="W243" s="14" t="s">
        <v>96</v>
      </c>
      <c r="X243" s="15"/>
      <c r="Y243" s="5">
        <f ca="1">COUNT(AP243,AV243,BB243,BH243,BM243,#REF!,#REF!)</f>
        <v>2</v>
      </c>
      <c r="Z243" s="6"/>
      <c r="AA243" s="12" t="str">
        <f t="shared" ca="1" si="45"/>
        <v>NA</v>
      </c>
      <c r="AB243" s="12" t="str">
        <f t="shared" ca="1" si="46"/>
        <v>NA</v>
      </c>
      <c r="AC243" s="12" t="str">
        <f t="shared" ca="1" si="47"/>
        <v>NA</v>
      </c>
      <c r="AD243" s="6"/>
      <c r="AE243" s="5"/>
      <c r="AF243" s="6"/>
      <c r="AG243" s="5"/>
      <c r="AH243" s="12" t="str">
        <f t="shared" ca="1" si="48"/>
        <v>NA</v>
      </c>
      <c r="AI243" s="12" t="str">
        <f t="shared" ca="1" si="49"/>
        <v>NA</v>
      </c>
      <c r="AJ243" s="12" t="str">
        <f t="shared" ca="1" si="50"/>
        <v>NA</v>
      </c>
      <c r="AK243" s="5"/>
      <c r="AL243" s="5"/>
      <c r="AM243" s="5"/>
      <c r="AN243" s="5"/>
      <c r="AO243" s="11">
        <v>43130</v>
      </c>
      <c r="AP243" s="12">
        <f t="shared" ca="1" si="51"/>
        <v>2018</v>
      </c>
      <c r="AQ243" s="12">
        <f t="shared" ca="1" si="52"/>
        <v>1</v>
      </c>
      <c r="AR243" s="12">
        <f t="shared" ca="1" si="53"/>
        <v>30</v>
      </c>
      <c r="AS243" s="8" t="s">
        <v>1301</v>
      </c>
      <c r="AT243" s="8"/>
      <c r="AU243" s="11">
        <v>43773</v>
      </c>
      <c r="AV243" s="12">
        <f t="shared" ca="1" si="54"/>
        <v>2019</v>
      </c>
      <c r="AW243" s="12">
        <f t="shared" ca="1" si="55"/>
        <v>11</v>
      </c>
      <c r="AX243" s="12">
        <f t="shared" ca="1" si="56"/>
        <v>4</v>
      </c>
      <c r="AY243" s="8" t="s">
        <v>1302</v>
      </c>
      <c r="AZ243" s="8"/>
      <c r="BA243" s="5"/>
      <c r="BB243" s="12" t="str">
        <f t="shared" ca="1" si="57"/>
        <v>NA</v>
      </c>
      <c r="BC243" s="12" t="str">
        <f t="shared" ca="1" si="58"/>
        <v>NA</v>
      </c>
      <c r="BD243" s="12" t="str">
        <f t="shared" ca="1" si="59"/>
        <v>NA</v>
      </c>
      <c r="BE243" s="5"/>
      <c r="BF243" s="5"/>
      <c r="BG243" s="5"/>
      <c r="BH243" s="12" t="str">
        <f t="shared" ca="1" si="60"/>
        <v>NA</v>
      </c>
      <c r="BI243" s="12" t="str">
        <f t="shared" ca="1" si="61"/>
        <v>NA</v>
      </c>
      <c r="BJ243" s="12" t="str">
        <f t="shared" ca="1" si="62"/>
        <v>NA</v>
      </c>
      <c r="BK243" s="5"/>
      <c r="BL243" s="5"/>
      <c r="BM243" s="12" t="str">
        <f t="shared" ca="1" si="63"/>
        <v>NA</v>
      </c>
      <c r="BN243" s="12" t="str">
        <f t="shared" ca="1" si="64"/>
        <v>NA</v>
      </c>
      <c r="BO243" s="12" t="str">
        <f t="shared" ca="1" si="65"/>
        <v>NA</v>
      </c>
      <c r="BP243" s="5"/>
      <c r="BQ243" s="5"/>
      <c r="BR243" s="5"/>
      <c r="BS243" s="12" t="str">
        <f t="shared" ca="1" si="66"/>
        <v>NA</v>
      </c>
      <c r="BT243" s="12" t="str">
        <f t="shared" ca="1" si="67"/>
        <v>NA</v>
      </c>
      <c r="BU243" s="12" t="str">
        <f t="shared" ca="1" si="68"/>
        <v>NA</v>
      </c>
      <c r="BV243" s="5"/>
      <c r="BW243" s="5"/>
      <c r="BX243" s="12" t="str">
        <f t="shared" ca="1" si="69"/>
        <v>NA</v>
      </c>
      <c r="BY243" s="12" t="str">
        <f t="shared" ca="1" si="70"/>
        <v>NA</v>
      </c>
      <c r="BZ243" s="12" t="str">
        <f t="shared" ca="1" si="71"/>
        <v>NA</v>
      </c>
      <c r="CA243" s="5"/>
    </row>
    <row r="244" spans="1:79" ht="12.75" customHeight="1" x14ac:dyDescent="0.15">
      <c r="A244" s="4">
        <v>2660</v>
      </c>
      <c r="B244" s="5" t="s">
        <v>79</v>
      </c>
      <c r="C244" s="5" t="s">
        <v>79</v>
      </c>
      <c r="D244" s="6" t="s">
        <v>1303</v>
      </c>
      <c r="E244" s="7">
        <v>150506</v>
      </c>
      <c r="F244" s="6" t="s">
        <v>1304</v>
      </c>
      <c r="G244" s="8"/>
      <c r="H244" s="8"/>
      <c r="I244" s="8"/>
      <c r="J244" s="8"/>
      <c r="K244" s="8"/>
      <c r="L244" s="8" t="s">
        <v>82</v>
      </c>
      <c r="M244" s="7">
        <v>2450</v>
      </c>
      <c r="N244" s="7">
        <v>2414</v>
      </c>
      <c r="O244" s="13">
        <v>42142</v>
      </c>
      <c r="P244" s="10">
        <f t="shared" ca="1" si="38"/>
        <v>2.7777777777777779E-3</v>
      </c>
      <c r="Q244" s="5">
        <f t="shared" ca="1" si="39"/>
        <v>0</v>
      </c>
      <c r="R244" s="5">
        <f t="shared" ca="1" si="40"/>
        <v>1</v>
      </c>
      <c r="S244" s="7">
        <f t="shared" ca="1" si="41"/>
        <v>2015</v>
      </c>
      <c r="T244" s="7">
        <f t="shared" ca="1" si="42"/>
        <v>5</v>
      </c>
      <c r="U244" s="7">
        <f t="shared" ca="1" si="43"/>
        <v>18</v>
      </c>
      <c r="V244" s="6" t="s">
        <v>1305</v>
      </c>
      <c r="W244" s="14" t="s">
        <v>96</v>
      </c>
      <c r="X244" s="15"/>
      <c r="Y244" s="5">
        <f t="shared" ref="Y244:Y253" ca="1" si="77">COUNT(AP244,AV244,BB244,BH244,BM244,BS246,BX246)</f>
        <v>0</v>
      </c>
      <c r="Z244" s="6"/>
      <c r="AA244" s="12" t="str">
        <f t="shared" ca="1" si="45"/>
        <v>NA</v>
      </c>
      <c r="AB244" s="12" t="str">
        <f t="shared" ca="1" si="46"/>
        <v>NA</v>
      </c>
      <c r="AC244" s="12" t="str">
        <f t="shared" ca="1" si="47"/>
        <v>NA</v>
      </c>
      <c r="AD244" s="6"/>
      <c r="AE244" s="5"/>
      <c r="AF244" s="6"/>
      <c r="AG244" s="11">
        <v>42143</v>
      </c>
      <c r="AH244" s="12">
        <f t="shared" ca="1" si="48"/>
        <v>2015</v>
      </c>
      <c r="AI244" s="12">
        <f t="shared" ca="1" si="49"/>
        <v>5</v>
      </c>
      <c r="AJ244" s="12">
        <f t="shared" ca="1" si="50"/>
        <v>19</v>
      </c>
      <c r="AK244" s="8" t="s">
        <v>1306</v>
      </c>
      <c r="AL244" s="8"/>
      <c r="AM244" s="5"/>
      <c r="AN244" s="5"/>
      <c r="AO244" s="5"/>
      <c r="AP244" s="12" t="str">
        <f t="shared" ca="1" si="51"/>
        <v>NA</v>
      </c>
      <c r="AQ244" s="12" t="str">
        <f t="shared" ca="1" si="52"/>
        <v>NA</v>
      </c>
      <c r="AR244" s="12" t="str">
        <f t="shared" ca="1" si="53"/>
        <v>NA</v>
      </c>
      <c r="AS244" s="5"/>
      <c r="AT244" s="5"/>
      <c r="AU244" s="5"/>
      <c r="AV244" s="12" t="str">
        <f t="shared" ca="1" si="54"/>
        <v>NA</v>
      </c>
      <c r="AW244" s="12" t="str">
        <f t="shared" ca="1" si="55"/>
        <v>NA</v>
      </c>
      <c r="AX244" s="12" t="str">
        <f t="shared" ca="1" si="56"/>
        <v>NA</v>
      </c>
      <c r="AY244" s="5"/>
      <c r="AZ244" s="5"/>
      <c r="BA244" s="6"/>
      <c r="BB244" s="12" t="str">
        <f t="shared" ca="1" si="57"/>
        <v>NA</v>
      </c>
      <c r="BC244" s="12" t="str">
        <f t="shared" ca="1" si="58"/>
        <v>NA</v>
      </c>
      <c r="BD244" s="12" t="str">
        <f t="shared" ca="1" si="59"/>
        <v>NA</v>
      </c>
      <c r="BE244" s="5"/>
      <c r="BF244" s="5"/>
      <c r="BG244" s="5"/>
      <c r="BH244" s="12" t="str">
        <f t="shared" ca="1" si="60"/>
        <v>NA</v>
      </c>
      <c r="BI244" s="12" t="str">
        <f t="shared" ca="1" si="61"/>
        <v>NA</v>
      </c>
      <c r="BJ244" s="12" t="str">
        <f t="shared" ca="1" si="62"/>
        <v>NA</v>
      </c>
      <c r="BK244" s="5"/>
      <c r="BL244" s="5"/>
      <c r="BM244" s="12" t="str">
        <f t="shared" ca="1" si="63"/>
        <v>NA</v>
      </c>
      <c r="BN244" s="12" t="str">
        <f t="shared" ca="1" si="64"/>
        <v>NA</v>
      </c>
      <c r="BO244" s="12" t="str">
        <f t="shared" ca="1" si="65"/>
        <v>NA</v>
      </c>
      <c r="BP244" s="5"/>
      <c r="BQ244" s="5"/>
      <c r="BR244" s="5"/>
      <c r="BS244" s="12" t="str">
        <f t="shared" ca="1" si="66"/>
        <v>NA</v>
      </c>
      <c r="BT244" s="12" t="str">
        <f t="shared" ca="1" si="67"/>
        <v>NA</v>
      </c>
      <c r="BU244" s="12" t="str">
        <f t="shared" ca="1" si="68"/>
        <v>NA</v>
      </c>
      <c r="BV244" s="5"/>
      <c r="BW244" s="5"/>
      <c r="BX244" s="12" t="str">
        <f t="shared" ca="1" si="69"/>
        <v>NA</v>
      </c>
      <c r="BY244" s="12" t="str">
        <f t="shared" ca="1" si="70"/>
        <v>NA</v>
      </c>
      <c r="BZ244" s="12" t="str">
        <f t="shared" ca="1" si="71"/>
        <v>NA</v>
      </c>
      <c r="CA244" s="5"/>
    </row>
    <row r="245" spans="1:79" ht="12.75" customHeight="1" x14ac:dyDescent="0.15">
      <c r="A245" s="4">
        <v>2661</v>
      </c>
      <c r="B245" s="5" t="s">
        <v>79</v>
      </c>
      <c r="C245" s="5" t="s">
        <v>79</v>
      </c>
      <c r="D245" s="6" t="s">
        <v>1307</v>
      </c>
      <c r="E245" s="6" t="s">
        <v>1308</v>
      </c>
      <c r="F245" s="6" t="s">
        <v>1309</v>
      </c>
      <c r="G245" s="8"/>
      <c r="H245" s="8"/>
      <c r="I245" s="8"/>
      <c r="J245" s="8"/>
      <c r="K245" s="8"/>
      <c r="L245" s="8" t="s">
        <v>82</v>
      </c>
      <c r="M245" s="7">
        <v>2639</v>
      </c>
      <c r="N245" s="7">
        <v>2642</v>
      </c>
      <c r="O245" s="13">
        <v>42164</v>
      </c>
      <c r="P245" s="10" t="str">
        <f t="shared" ca="1" si="38"/>
        <v>NA</v>
      </c>
      <c r="Q245" s="5" t="str">
        <f t="shared" ca="1" si="39"/>
        <v>NA</v>
      </c>
      <c r="R245" s="5" t="str">
        <f t="shared" ca="1" si="40"/>
        <v>NA</v>
      </c>
      <c r="S245" s="7">
        <f t="shared" ca="1" si="41"/>
        <v>2015</v>
      </c>
      <c r="T245" s="7">
        <f t="shared" ca="1" si="42"/>
        <v>6</v>
      </c>
      <c r="U245" s="7">
        <f t="shared" ca="1" si="43"/>
        <v>9</v>
      </c>
      <c r="V245" s="6" t="s">
        <v>1310</v>
      </c>
      <c r="W245" s="14" t="s">
        <v>96</v>
      </c>
      <c r="X245" s="15"/>
      <c r="Y245" s="5">
        <f t="shared" ca="1" si="77"/>
        <v>2</v>
      </c>
      <c r="Z245" s="6"/>
      <c r="AA245" s="12" t="str">
        <f t="shared" ca="1" si="45"/>
        <v>NA</v>
      </c>
      <c r="AB245" s="12" t="str">
        <f t="shared" ca="1" si="46"/>
        <v>NA</v>
      </c>
      <c r="AC245" s="12" t="str">
        <f t="shared" ca="1" si="47"/>
        <v>NA</v>
      </c>
      <c r="AD245" s="6"/>
      <c r="AE245" s="5"/>
      <c r="AF245" s="6"/>
      <c r="AG245" s="5"/>
      <c r="AH245" s="12" t="str">
        <f t="shared" ca="1" si="48"/>
        <v>NA</v>
      </c>
      <c r="AI245" s="12" t="str">
        <f t="shared" ca="1" si="49"/>
        <v>NA</v>
      </c>
      <c r="AJ245" s="12" t="str">
        <f t="shared" ca="1" si="50"/>
        <v>NA</v>
      </c>
      <c r="AK245" s="5"/>
      <c r="AL245" s="5"/>
      <c r="AM245" s="5"/>
      <c r="AN245" s="5"/>
      <c r="AO245" s="11">
        <v>42550</v>
      </c>
      <c r="AP245" s="12">
        <f t="shared" ca="1" si="51"/>
        <v>2016</v>
      </c>
      <c r="AQ245" s="12">
        <f t="shared" ca="1" si="52"/>
        <v>6</v>
      </c>
      <c r="AR245" s="12">
        <f t="shared" ca="1" si="53"/>
        <v>29</v>
      </c>
      <c r="AS245" s="8" t="s">
        <v>1311</v>
      </c>
      <c r="AT245" s="8"/>
      <c r="AU245" s="11">
        <v>42738</v>
      </c>
      <c r="AV245" s="12">
        <f t="shared" ca="1" si="54"/>
        <v>2017</v>
      </c>
      <c r="AW245" s="12">
        <f t="shared" ca="1" si="55"/>
        <v>1</v>
      </c>
      <c r="AX245" s="12">
        <f t="shared" ca="1" si="56"/>
        <v>3</v>
      </c>
      <c r="AY245" s="8" t="s">
        <v>1312</v>
      </c>
      <c r="AZ245" s="8"/>
      <c r="BA245" s="6"/>
      <c r="BB245" s="12" t="str">
        <f t="shared" ca="1" si="57"/>
        <v>NA</v>
      </c>
      <c r="BC245" s="12" t="str">
        <f t="shared" ca="1" si="58"/>
        <v>NA</v>
      </c>
      <c r="BD245" s="12" t="str">
        <f t="shared" ca="1" si="59"/>
        <v>NA</v>
      </c>
      <c r="BE245" s="5"/>
      <c r="BF245" s="5"/>
      <c r="BG245" s="5"/>
      <c r="BH245" s="12" t="str">
        <f t="shared" ca="1" si="60"/>
        <v>NA</v>
      </c>
      <c r="BI245" s="12" t="str">
        <f t="shared" ca="1" si="61"/>
        <v>NA</v>
      </c>
      <c r="BJ245" s="12" t="str">
        <f t="shared" ca="1" si="62"/>
        <v>NA</v>
      </c>
      <c r="BK245" s="5"/>
      <c r="BL245" s="5"/>
      <c r="BM245" s="12" t="str">
        <f t="shared" ca="1" si="63"/>
        <v>NA</v>
      </c>
      <c r="BN245" s="12" t="str">
        <f t="shared" ca="1" si="64"/>
        <v>NA</v>
      </c>
      <c r="BO245" s="12" t="str">
        <f t="shared" ca="1" si="65"/>
        <v>NA</v>
      </c>
      <c r="BP245" s="5"/>
      <c r="BQ245" s="5"/>
      <c r="BR245" s="5"/>
      <c r="BS245" s="12" t="str">
        <f t="shared" ca="1" si="66"/>
        <v>NA</v>
      </c>
      <c r="BT245" s="12" t="str">
        <f t="shared" ca="1" si="67"/>
        <v>NA</v>
      </c>
      <c r="BU245" s="12" t="str">
        <f t="shared" ca="1" si="68"/>
        <v>NA</v>
      </c>
      <c r="BV245" s="5"/>
      <c r="BW245" s="5"/>
      <c r="BX245" s="12" t="str">
        <f t="shared" ca="1" si="69"/>
        <v>NA</v>
      </c>
      <c r="BY245" s="12" t="str">
        <f t="shared" ca="1" si="70"/>
        <v>NA</v>
      </c>
      <c r="BZ245" s="12" t="str">
        <f t="shared" ca="1" si="71"/>
        <v>NA</v>
      </c>
      <c r="CA245" s="5"/>
    </row>
    <row r="246" spans="1:79" ht="12.75" customHeight="1" x14ac:dyDescent="0.15">
      <c r="A246" s="4">
        <v>2683</v>
      </c>
      <c r="B246" s="5" t="s">
        <v>852</v>
      </c>
      <c r="C246" s="5" t="s">
        <v>852</v>
      </c>
      <c r="D246" s="6" t="s">
        <v>1313</v>
      </c>
      <c r="E246" s="6" t="s">
        <v>1314</v>
      </c>
      <c r="F246" s="6" t="s">
        <v>1315</v>
      </c>
      <c r="G246" s="8" t="s">
        <v>856</v>
      </c>
      <c r="H246" s="6" t="s">
        <v>1316</v>
      </c>
      <c r="I246" s="8">
        <v>2673</v>
      </c>
      <c r="J246" s="8"/>
      <c r="K246" s="8"/>
      <c r="L246" s="8" t="s">
        <v>82</v>
      </c>
      <c r="M246" s="7">
        <v>2634</v>
      </c>
      <c r="N246" s="7">
        <v>2654</v>
      </c>
      <c r="O246" s="13">
        <v>42955</v>
      </c>
      <c r="P246" s="10" t="str">
        <f t="shared" ca="1" si="38"/>
        <v>NA</v>
      </c>
      <c r="Q246" s="5" t="str">
        <f t="shared" ca="1" si="39"/>
        <v>NA</v>
      </c>
      <c r="R246" s="5" t="str">
        <f t="shared" ca="1" si="40"/>
        <v>NA</v>
      </c>
      <c r="S246" s="7">
        <f t="shared" ca="1" si="41"/>
        <v>2017</v>
      </c>
      <c r="T246" s="7">
        <f t="shared" ca="1" si="42"/>
        <v>8</v>
      </c>
      <c r="U246" s="7">
        <f t="shared" ca="1" si="43"/>
        <v>8</v>
      </c>
      <c r="V246" s="6" t="s">
        <v>1317</v>
      </c>
      <c r="W246" s="14" t="s">
        <v>96</v>
      </c>
      <c r="X246" s="15"/>
      <c r="Y246" s="5">
        <f t="shared" ca="1" si="77"/>
        <v>1</v>
      </c>
      <c r="Z246" s="6"/>
      <c r="AA246" s="12" t="str">
        <f t="shared" ca="1" si="45"/>
        <v>NA</v>
      </c>
      <c r="AB246" s="12" t="str">
        <f t="shared" ca="1" si="46"/>
        <v>NA</v>
      </c>
      <c r="AC246" s="12" t="str">
        <f t="shared" ca="1" si="47"/>
        <v>NA</v>
      </c>
      <c r="AD246" s="6"/>
      <c r="AE246" s="5"/>
      <c r="AF246" s="6"/>
      <c r="AG246" s="5"/>
      <c r="AH246" s="12" t="str">
        <f t="shared" ca="1" si="48"/>
        <v>NA</v>
      </c>
      <c r="AI246" s="12" t="str">
        <f t="shared" ca="1" si="49"/>
        <v>NA</v>
      </c>
      <c r="AJ246" s="12" t="str">
        <f t="shared" ca="1" si="50"/>
        <v>NA</v>
      </c>
      <c r="AK246" s="5"/>
      <c r="AL246" s="5"/>
      <c r="AM246" s="5"/>
      <c r="AN246" s="5"/>
      <c r="AO246" s="11">
        <v>43599</v>
      </c>
      <c r="AP246" s="12">
        <f t="shared" ca="1" si="51"/>
        <v>2019</v>
      </c>
      <c r="AQ246" s="12">
        <f t="shared" ca="1" si="52"/>
        <v>5</v>
      </c>
      <c r="AR246" s="12">
        <f t="shared" ca="1" si="53"/>
        <v>14</v>
      </c>
      <c r="AS246" s="8" t="s">
        <v>1318</v>
      </c>
      <c r="AT246" s="8"/>
      <c r="AU246" s="5"/>
      <c r="AV246" s="12" t="str">
        <f t="shared" ca="1" si="54"/>
        <v>NA</v>
      </c>
      <c r="AW246" s="12" t="str">
        <f t="shared" ca="1" si="55"/>
        <v>NA</v>
      </c>
      <c r="AX246" s="12" t="str">
        <f t="shared" ca="1" si="56"/>
        <v>NA</v>
      </c>
      <c r="AY246" s="5"/>
      <c r="AZ246" s="5"/>
      <c r="BA246" s="5"/>
      <c r="BB246" s="12" t="str">
        <f t="shared" ca="1" si="57"/>
        <v>NA</v>
      </c>
      <c r="BC246" s="12" t="str">
        <f t="shared" ca="1" si="58"/>
        <v>NA</v>
      </c>
      <c r="BD246" s="12" t="str">
        <f t="shared" ca="1" si="59"/>
        <v>NA</v>
      </c>
      <c r="BE246" s="5"/>
      <c r="BF246" s="5"/>
      <c r="BG246" s="5"/>
      <c r="BH246" s="12" t="str">
        <f t="shared" ca="1" si="60"/>
        <v>NA</v>
      </c>
      <c r="BI246" s="12" t="str">
        <f t="shared" ca="1" si="61"/>
        <v>NA</v>
      </c>
      <c r="BJ246" s="12" t="str">
        <f t="shared" ca="1" si="62"/>
        <v>NA</v>
      </c>
      <c r="BK246" s="5"/>
      <c r="BL246" s="5"/>
      <c r="BM246" s="12" t="str">
        <f t="shared" ca="1" si="63"/>
        <v>NA</v>
      </c>
      <c r="BN246" s="12" t="str">
        <f t="shared" ca="1" si="64"/>
        <v>NA</v>
      </c>
      <c r="BO246" s="12" t="str">
        <f t="shared" ca="1" si="65"/>
        <v>NA</v>
      </c>
      <c r="BP246" s="5"/>
      <c r="BQ246" s="5"/>
      <c r="BR246" s="5"/>
      <c r="BS246" s="12" t="str">
        <f t="shared" ca="1" si="66"/>
        <v>NA</v>
      </c>
      <c r="BT246" s="12" t="str">
        <f t="shared" ca="1" si="67"/>
        <v>NA</v>
      </c>
      <c r="BU246" s="12" t="str">
        <f t="shared" ca="1" si="68"/>
        <v>NA</v>
      </c>
      <c r="BV246" s="5"/>
      <c r="BW246" s="5"/>
      <c r="BX246" s="12" t="str">
        <f t="shared" ca="1" si="69"/>
        <v>NA</v>
      </c>
      <c r="BY246" s="12" t="str">
        <f t="shared" ca="1" si="70"/>
        <v>NA</v>
      </c>
      <c r="BZ246" s="12" t="str">
        <f t="shared" ca="1" si="71"/>
        <v>NA</v>
      </c>
      <c r="CA246" s="5"/>
    </row>
    <row r="247" spans="1:79" ht="12.75" customHeight="1" x14ac:dyDescent="0.15">
      <c r="A247" s="4">
        <v>2662</v>
      </c>
      <c r="B247" s="5" t="s">
        <v>79</v>
      </c>
      <c r="C247" s="5" t="s">
        <v>79</v>
      </c>
      <c r="D247" s="6" t="s">
        <v>1319</v>
      </c>
      <c r="E247" s="7">
        <v>215069</v>
      </c>
      <c r="F247" s="6" t="s">
        <v>1320</v>
      </c>
      <c r="G247" s="8"/>
      <c r="H247" s="8"/>
      <c r="I247" s="8"/>
      <c r="J247" s="8"/>
      <c r="K247" s="8"/>
      <c r="L247" s="8" t="s">
        <v>82</v>
      </c>
      <c r="M247" s="7">
        <v>2639</v>
      </c>
      <c r="N247" s="7">
        <v>2642</v>
      </c>
      <c r="O247" s="13">
        <v>42164</v>
      </c>
      <c r="P247" s="10">
        <f t="shared" ca="1" si="38"/>
        <v>0</v>
      </c>
      <c r="Q247" s="5">
        <f t="shared" ca="1" si="39"/>
        <v>0</v>
      </c>
      <c r="R247" s="5">
        <f t="shared" ca="1" si="40"/>
        <v>0</v>
      </c>
      <c r="S247" s="7">
        <f t="shared" ca="1" si="41"/>
        <v>2015</v>
      </c>
      <c r="T247" s="7">
        <f t="shared" ca="1" si="42"/>
        <v>6</v>
      </c>
      <c r="U247" s="7">
        <f t="shared" ca="1" si="43"/>
        <v>9</v>
      </c>
      <c r="V247" s="6" t="s">
        <v>1321</v>
      </c>
      <c r="W247" s="14" t="s">
        <v>96</v>
      </c>
      <c r="X247" s="15"/>
      <c r="Y247" s="5">
        <f t="shared" ca="1" si="77"/>
        <v>0</v>
      </c>
      <c r="Z247" s="6"/>
      <c r="AA247" s="12" t="str">
        <f t="shared" ca="1" si="45"/>
        <v>NA</v>
      </c>
      <c r="AB247" s="12" t="str">
        <f t="shared" ca="1" si="46"/>
        <v>NA</v>
      </c>
      <c r="AC247" s="12" t="str">
        <f t="shared" ca="1" si="47"/>
        <v>NA</v>
      </c>
      <c r="AD247" s="6"/>
      <c r="AE247" s="5"/>
      <c r="AF247" s="6"/>
      <c r="AG247" s="11">
        <v>42164</v>
      </c>
      <c r="AH247" s="12">
        <f t="shared" ca="1" si="48"/>
        <v>2015</v>
      </c>
      <c r="AI247" s="12">
        <f t="shared" ca="1" si="49"/>
        <v>6</v>
      </c>
      <c r="AJ247" s="12">
        <f t="shared" ca="1" si="50"/>
        <v>9</v>
      </c>
      <c r="AK247" s="8" t="s">
        <v>1322</v>
      </c>
      <c r="AL247" s="8"/>
      <c r="AM247" s="5"/>
      <c r="AN247" s="5"/>
      <c r="AO247" s="5"/>
      <c r="AP247" s="12" t="str">
        <f t="shared" ca="1" si="51"/>
        <v>NA</v>
      </c>
      <c r="AQ247" s="12" t="str">
        <f t="shared" ca="1" si="52"/>
        <v>NA</v>
      </c>
      <c r="AR247" s="12" t="str">
        <f t="shared" ca="1" si="53"/>
        <v>NA</v>
      </c>
      <c r="AS247" s="5"/>
      <c r="AT247" s="5"/>
      <c r="AU247" s="5"/>
      <c r="AV247" s="12" t="str">
        <f t="shared" ca="1" si="54"/>
        <v>NA</v>
      </c>
      <c r="AW247" s="12" t="str">
        <f t="shared" ca="1" si="55"/>
        <v>NA</v>
      </c>
      <c r="AX247" s="12" t="str">
        <f t="shared" ca="1" si="56"/>
        <v>NA</v>
      </c>
      <c r="AY247" s="5"/>
      <c r="AZ247" s="5"/>
      <c r="BA247" s="6"/>
      <c r="BB247" s="12" t="str">
        <f t="shared" ca="1" si="57"/>
        <v>NA</v>
      </c>
      <c r="BC247" s="12" t="str">
        <f t="shared" ca="1" si="58"/>
        <v>NA</v>
      </c>
      <c r="BD247" s="12" t="str">
        <f t="shared" ca="1" si="59"/>
        <v>NA</v>
      </c>
      <c r="BE247" s="5"/>
      <c r="BF247" s="5"/>
      <c r="BG247" s="5"/>
      <c r="BH247" s="12" t="str">
        <f t="shared" ca="1" si="60"/>
        <v>NA</v>
      </c>
      <c r="BI247" s="12" t="str">
        <f t="shared" ca="1" si="61"/>
        <v>NA</v>
      </c>
      <c r="BJ247" s="12" t="str">
        <f t="shared" ca="1" si="62"/>
        <v>NA</v>
      </c>
      <c r="BK247" s="5"/>
      <c r="BL247" s="5"/>
      <c r="BM247" s="12" t="str">
        <f t="shared" ca="1" si="63"/>
        <v>NA</v>
      </c>
      <c r="BN247" s="12" t="str">
        <f t="shared" ca="1" si="64"/>
        <v>NA</v>
      </c>
      <c r="BO247" s="12" t="str">
        <f t="shared" ca="1" si="65"/>
        <v>NA</v>
      </c>
      <c r="BP247" s="5"/>
      <c r="BQ247" s="5"/>
      <c r="BR247" s="5"/>
      <c r="BS247" s="12" t="str">
        <f t="shared" ca="1" si="66"/>
        <v>NA</v>
      </c>
      <c r="BT247" s="12" t="str">
        <f t="shared" ca="1" si="67"/>
        <v>NA</v>
      </c>
      <c r="BU247" s="12" t="str">
        <f t="shared" ca="1" si="68"/>
        <v>NA</v>
      </c>
      <c r="BV247" s="5"/>
      <c r="BW247" s="5"/>
      <c r="BX247" s="12" t="str">
        <f t="shared" ca="1" si="69"/>
        <v>NA</v>
      </c>
      <c r="BY247" s="12" t="str">
        <f t="shared" ca="1" si="70"/>
        <v>NA</v>
      </c>
      <c r="BZ247" s="12" t="str">
        <f t="shared" ca="1" si="71"/>
        <v>NA</v>
      </c>
      <c r="CA247" s="5"/>
    </row>
    <row r="248" spans="1:79" ht="12.75" customHeight="1" x14ac:dyDescent="0.15">
      <c r="A248" s="4">
        <v>2663</v>
      </c>
      <c r="B248" s="5" t="s">
        <v>79</v>
      </c>
      <c r="C248" s="5" t="s">
        <v>79</v>
      </c>
      <c r="D248" s="6" t="s">
        <v>1323</v>
      </c>
      <c r="E248" s="6" t="s">
        <v>1324</v>
      </c>
      <c r="F248" s="6" t="s">
        <v>1325</v>
      </c>
      <c r="G248" s="8"/>
      <c r="H248" s="8"/>
      <c r="I248" s="8"/>
      <c r="J248" s="8"/>
      <c r="K248" s="8"/>
      <c r="L248" s="8" t="s">
        <v>82</v>
      </c>
      <c r="M248" s="7">
        <v>2623</v>
      </c>
      <c r="N248" s="7">
        <v>2640</v>
      </c>
      <c r="O248" s="13">
        <v>42064</v>
      </c>
      <c r="P248" s="10">
        <f t="shared" ca="1" si="38"/>
        <v>1.3888888888888888E-2</v>
      </c>
      <c r="Q248" s="5">
        <f t="shared" ca="1" si="39"/>
        <v>0</v>
      </c>
      <c r="R248" s="5">
        <f t="shared" ca="1" si="40"/>
        <v>5</v>
      </c>
      <c r="S248" s="7">
        <f t="shared" ca="1" si="41"/>
        <v>2015</v>
      </c>
      <c r="T248" s="7">
        <f t="shared" ca="1" si="42"/>
        <v>3</v>
      </c>
      <c r="U248" s="7">
        <f t="shared" ca="1" si="43"/>
        <v>1</v>
      </c>
      <c r="V248" s="6" t="s">
        <v>1326</v>
      </c>
      <c r="W248" s="14" t="s">
        <v>96</v>
      </c>
      <c r="X248" s="15"/>
      <c r="Y248" s="5">
        <f t="shared" ca="1" si="77"/>
        <v>0</v>
      </c>
      <c r="Z248" s="6"/>
      <c r="AA248" s="12" t="str">
        <f t="shared" ca="1" si="45"/>
        <v>NA</v>
      </c>
      <c r="AB248" s="12" t="str">
        <f t="shared" ca="1" si="46"/>
        <v>NA</v>
      </c>
      <c r="AC248" s="12" t="str">
        <f t="shared" ca="1" si="47"/>
        <v>NA</v>
      </c>
      <c r="AD248" s="6"/>
      <c r="AE248" s="5"/>
      <c r="AF248" s="6"/>
      <c r="AG248" s="11">
        <v>42069</v>
      </c>
      <c r="AH248" s="12">
        <f t="shared" ca="1" si="48"/>
        <v>2015</v>
      </c>
      <c r="AI248" s="12">
        <f t="shared" ca="1" si="49"/>
        <v>3</v>
      </c>
      <c r="AJ248" s="12">
        <f t="shared" ca="1" si="50"/>
        <v>6</v>
      </c>
      <c r="AK248" s="8" t="s">
        <v>1327</v>
      </c>
      <c r="AL248" s="8"/>
      <c r="AM248" s="5"/>
      <c r="AN248" s="5"/>
      <c r="AO248" s="5"/>
      <c r="AP248" s="12" t="str">
        <f t="shared" ca="1" si="51"/>
        <v>NA</v>
      </c>
      <c r="AQ248" s="12" t="str">
        <f t="shared" ca="1" si="52"/>
        <v>NA</v>
      </c>
      <c r="AR248" s="12" t="str">
        <f t="shared" ca="1" si="53"/>
        <v>NA</v>
      </c>
      <c r="AS248" s="5"/>
      <c r="AT248" s="5"/>
      <c r="AU248" s="5"/>
      <c r="AV248" s="12" t="str">
        <f t="shared" ca="1" si="54"/>
        <v>NA</v>
      </c>
      <c r="AW248" s="12" t="str">
        <f t="shared" ca="1" si="55"/>
        <v>NA</v>
      </c>
      <c r="AX248" s="12" t="str">
        <f t="shared" ca="1" si="56"/>
        <v>NA</v>
      </c>
      <c r="AY248" s="5"/>
      <c r="AZ248" s="5"/>
      <c r="BA248" s="6"/>
      <c r="BB248" s="12" t="str">
        <f t="shared" ca="1" si="57"/>
        <v>NA</v>
      </c>
      <c r="BC248" s="12" t="str">
        <f t="shared" ca="1" si="58"/>
        <v>NA</v>
      </c>
      <c r="BD248" s="12" t="str">
        <f t="shared" ca="1" si="59"/>
        <v>NA</v>
      </c>
      <c r="BE248" s="5"/>
      <c r="BF248" s="5"/>
      <c r="BG248" s="5"/>
      <c r="BH248" s="12" t="str">
        <f t="shared" ca="1" si="60"/>
        <v>NA</v>
      </c>
      <c r="BI248" s="12" t="str">
        <f t="shared" ca="1" si="61"/>
        <v>NA</v>
      </c>
      <c r="BJ248" s="12" t="str">
        <f t="shared" ca="1" si="62"/>
        <v>NA</v>
      </c>
      <c r="BK248" s="5"/>
      <c r="BL248" s="5"/>
      <c r="BM248" s="12" t="str">
        <f t="shared" ca="1" si="63"/>
        <v>NA</v>
      </c>
      <c r="BN248" s="12" t="str">
        <f t="shared" ca="1" si="64"/>
        <v>NA</v>
      </c>
      <c r="BO248" s="12" t="str">
        <f t="shared" ca="1" si="65"/>
        <v>NA</v>
      </c>
      <c r="BP248" s="5"/>
      <c r="BQ248" s="5"/>
      <c r="BR248" s="5"/>
      <c r="BS248" s="12" t="str">
        <f t="shared" ca="1" si="66"/>
        <v>NA</v>
      </c>
      <c r="BT248" s="12" t="str">
        <f t="shared" ca="1" si="67"/>
        <v>NA</v>
      </c>
      <c r="BU248" s="12" t="str">
        <f t="shared" ca="1" si="68"/>
        <v>NA</v>
      </c>
      <c r="BV248" s="5"/>
      <c r="BW248" s="5"/>
      <c r="BX248" s="12" t="str">
        <f t="shared" ca="1" si="69"/>
        <v>NA</v>
      </c>
      <c r="BY248" s="12" t="str">
        <f t="shared" ca="1" si="70"/>
        <v>NA</v>
      </c>
      <c r="BZ248" s="12" t="str">
        <f t="shared" ca="1" si="71"/>
        <v>NA</v>
      </c>
      <c r="CA248" s="5"/>
    </row>
    <row r="249" spans="1:79" ht="12.75" customHeight="1" x14ac:dyDescent="0.15">
      <c r="A249" s="4">
        <v>2664</v>
      </c>
      <c r="B249" s="5" t="s">
        <v>79</v>
      </c>
      <c r="C249" s="5" t="s">
        <v>79</v>
      </c>
      <c r="D249" s="6" t="s">
        <v>1328</v>
      </c>
      <c r="E249" s="6" t="s">
        <v>1329</v>
      </c>
      <c r="F249" s="6" t="s">
        <v>1330</v>
      </c>
      <c r="G249" s="8"/>
      <c r="H249" s="8"/>
      <c r="I249" s="8"/>
      <c r="J249" s="8"/>
      <c r="K249" s="8"/>
      <c r="L249" s="8" t="s">
        <v>82</v>
      </c>
      <c r="M249" s="7">
        <v>2623</v>
      </c>
      <c r="N249" s="7">
        <v>2640</v>
      </c>
      <c r="O249" s="13">
        <v>42067</v>
      </c>
      <c r="P249" s="10">
        <f t="shared" ca="1" si="38"/>
        <v>0</v>
      </c>
      <c r="Q249" s="5">
        <f t="shared" ca="1" si="39"/>
        <v>0</v>
      </c>
      <c r="R249" s="5">
        <f t="shared" ca="1" si="40"/>
        <v>0</v>
      </c>
      <c r="S249" s="7">
        <f t="shared" ca="1" si="41"/>
        <v>2015</v>
      </c>
      <c r="T249" s="7">
        <f t="shared" ca="1" si="42"/>
        <v>3</v>
      </c>
      <c r="U249" s="7">
        <f t="shared" ca="1" si="43"/>
        <v>4</v>
      </c>
      <c r="V249" s="6" t="s">
        <v>1331</v>
      </c>
      <c r="W249" s="14" t="s">
        <v>96</v>
      </c>
      <c r="X249" s="15"/>
      <c r="Y249" s="5">
        <f t="shared" ca="1" si="77"/>
        <v>0</v>
      </c>
      <c r="Z249" s="6"/>
      <c r="AA249" s="12" t="str">
        <f t="shared" ca="1" si="45"/>
        <v>NA</v>
      </c>
      <c r="AB249" s="12" t="str">
        <f t="shared" ca="1" si="46"/>
        <v>NA</v>
      </c>
      <c r="AC249" s="12" t="str">
        <f t="shared" ca="1" si="47"/>
        <v>NA</v>
      </c>
      <c r="AD249" s="6"/>
      <c r="AE249" s="5"/>
      <c r="AF249" s="6"/>
      <c r="AG249" s="11">
        <v>42067</v>
      </c>
      <c r="AH249" s="12">
        <f t="shared" ca="1" si="48"/>
        <v>2015</v>
      </c>
      <c r="AI249" s="12">
        <f t="shared" ca="1" si="49"/>
        <v>3</v>
      </c>
      <c r="AJ249" s="12">
        <f t="shared" ca="1" si="50"/>
        <v>4</v>
      </c>
      <c r="AK249" s="8" t="s">
        <v>1332</v>
      </c>
      <c r="AL249" s="8"/>
      <c r="AM249" s="5"/>
      <c r="AN249" s="5"/>
      <c r="AO249" s="5"/>
      <c r="AP249" s="12" t="str">
        <f t="shared" ca="1" si="51"/>
        <v>NA</v>
      </c>
      <c r="AQ249" s="12" t="str">
        <f t="shared" ca="1" si="52"/>
        <v>NA</v>
      </c>
      <c r="AR249" s="12" t="str">
        <f t="shared" ca="1" si="53"/>
        <v>NA</v>
      </c>
      <c r="AS249" s="5"/>
      <c r="AT249" s="5"/>
      <c r="AU249" s="5"/>
      <c r="AV249" s="12" t="str">
        <f t="shared" ca="1" si="54"/>
        <v>NA</v>
      </c>
      <c r="AW249" s="12" t="str">
        <f t="shared" ca="1" si="55"/>
        <v>NA</v>
      </c>
      <c r="AX249" s="12" t="str">
        <f t="shared" ca="1" si="56"/>
        <v>NA</v>
      </c>
      <c r="AY249" s="5"/>
      <c r="AZ249" s="5"/>
      <c r="BA249" s="6"/>
      <c r="BB249" s="12" t="str">
        <f t="shared" ca="1" si="57"/>
        <v>NA</v>
      </c>
      <c r="BC249" s="12" t="str">
        <f t="shared" ca="1" si="58"/>
        <v>NA</v>
      </c>
      <c r="BD249" s="12" t="str">
        <f t="shared" ca="1" si="59"/>
        <v>NA</v>
      </c>
      <c r="BE249" s="5"/>
      <c r="BF249" s="5"/>
      <c r="BG249" s="5"/>
      <c r="BH249" s="12" t="str">
        <f t="shared" ca="1" si="60"/>
        <v>NA</v>
      </c>
      <c r="BI249" s="12" t="str">
        <f t="shared" ca="1" si="61"/>
        <v>NA</v>
      </c>
      <c r="BJ249" s="12" t="str">
        <f t="shared" ca="1" si="62"/>
        <v>NA</v>
      </c>
      <c r="BK249" s="5"/>
      <c r="BL249" s="5"/>
      <c r="BM249" s="12" t="str">
        <f t="shared" ca="1" si="63"/>
        <v>NA</v>
      </c>
      <c r="BN249" s="12" t="str">
        <f t="shared" ca="1" si="64"/>
        <v>NA</v>
      </c>
      <c r="BO249" s="12" t="str">
        <f t="shared" ca="1" si="65"/>
        <v>NA</v>
      </c>
      <c r="BP249" s="5"/>
      <c r="BQ249" s="5"/>
      <c r="BR249" s="5"/>
      <c r="BS249" s="12" t="str">
        <f t="shared" ca="1" si="66"/>
        <v>NA</v>
      </c>
      <c r="BT249" s="12" t="str">
        <f t="shared" ca="1" si="67"/>
        <v>NA</v>
      </c>
      <c r="BU249" s="12" t="str">
        <f t="shared" ca="1" si="68"/>
        <v>NA</v>
      </c>
      <c r="BV249" s="5"/>
      <c r="BW249" s="5"/>
      <c r="BX249" s="12" t="str">
        <f t="shared" ca="1" si="69"/>
        <v>NA</v>
      </c>
      <c r="BY249" s="12" t="str">
        <f t="shared" ca="1" si="70"/>
        <v>NA</v>
      </c>
      <c r="BZ249" s="12" t="str">
        <f t="shared" ca="1" si="71"/>
        <v>NA</v>
      </c>
      <c r="CA249" s="5"/>
    </row>
    <row r="250" spans="1:79" ht="12.75" customHeight="1" x14ac:dyDescent="0.15">
      <c r="A250" s="4">
        <v>2665</v>
      </c>
      <c r="B250" s="5" t="s">
        <v>79</v>
      </c>
      <c r="C250" s="5" t="s">
        <v>79</v>
      </c>
      <c r="D250" s="6" t="s">
        <v>1333</v>
      </c>
      <c r="E250" s="6" t="s">
        <v>1334</v>
      </c>
      <c r="F250" s="6" t="s">
        <v>1335</v>
      </c>
      <c r="G250" s="8"/>
      <c r="H250" s="8"/>
      <c r="I250" s="8"/>
      <c r="J250" s="8"/>
      <c r="K250" s="8"/>
      <c r="L250" s="8" t="s">
        <v>82</v>
      </c>
      <c r="M250" s="7">
        <v>2417</v>
      </c>
      <c r="N250" s="7">
        <v>2423</v>
      </c>
      <c r="O250" s="13">
        <v>42104</v>
      </c>
      <c r="P250" s="10">
        <f t="shared" ca="1" si="38"/>
        <v>2.7777777777777779E-3</v>
      </c>
      <c r="Q250" s="5">
        <f t="shared" ca="1" si="39"/>
        <v>0</v>
      </c>
      <c r="R250" s="5">
        <f t="shared" ca="1" si="40"/>
        <v>1</v>
      </c>
      <c r="S250" s="7">
        <f t="shared" ca="1" si="41"/>
        <v>2015</v>
      </c>
      <c r="T250" s="7">
        <f t="shared" ca="1" si="42"/>
        <v>4</v>
      </c>
      <c r="U250" s="7">
        <f t="shared" ca="1" si="43"/>
        <v>10</v>
      </c>
      <c r="V250" s="6" t="s">
        <v>1336</v>
      </c>
      <c r="W250" s="14" t="s">
        <v>96</v>
      </c>
      <c r="X250" s="15"/>
      <c r="Y250" s="5">
        <f t="shared" ca="1" si="77"/>
        <v>0</v>
      </c>
      <c r="Z250" s="6"/>
      <c r="AA250" s="12" t="str">
        <f t="shared" ca="1" si="45"/>
        <v>NA</v>
      </c>
      <c r="AB250" s="12" t="str">
        <f t="shared" ca="1" si="46"/>
        <v>NA</v>
      </c>
      <c r="AC250" s="12" t="str">
        <f t="shared" ca="1" si="47"/>
        <v>NA</v>
      </c>
      <c r="AD250" s="6"/>
      <c r="AE250" s="5"/>
      <c r="AF250" s="6"/>
      <c r="AG250" s="11">
        <v>42105</v>
      </c>
      <c r="AH250" s="12">
        <f t="shared" ca="1" si="48"/>
        <v>2015</v>
      </c>
      <c r="AI250" s="12">
        <f t="shared" ca="1" si="49"/>
        <v>4</v>
      </c>
      <c r="AJ250" s="12">
        <f t="shared" ca="1" si="50"/>
        <v>11</v>
      </c>
      <c r="AK250" s="8" t="s">
        <v>1337</v>
      </c>
      <c r="AL250" s="8"/>
      <c r="AM250" s="5"/>
      <c r="AN250" s="5"/>
      <c r="AO250" s="5"/>
      <c r="AP250" s="12" t="str">
        <f t="shared" ca="1" si="51"/>
        <v>NA</v>
      </c>
      <c r="AQ250" s="12" t="str">
        <f t="shared" ca="1" si="52"/>
        <v>NA</v>
      </c>
      <c r="AR250" s="12" t="str">
        <f t="shared" ca="1" si="53"/>
        <v>NA</v>
      </c>
      <c r="AS250" s="5"/>
      <c r="AT250" s="5"/>
      <c r="AU250" s="5"/>
      <c r="AV250" s="12" t="str">
        <f t="shared" ca="1" si="54"/>
        <v>NA</v>
      </c>
      <c r="AW250" s="12" t="str">
        <f t="shared" ca="1" si="55"/>
        <v>NA</v>
      </c>
      <c r="AX250" s="12" t="str">
        <f t="shared" ca="1" si="56"/>
        <v>NA</v>
      </c>
      <c r="AY250" s="5"/>
      <c r="AZ250" s="5"/>
      <c r="BA250" s="6"/>
      <c r="BB250" s="12" t="str">
        <f t="shared" ca="1" si="57"/>
        <v>NA</v>
      </c>
      <c r="BC250" s="12" t="str">
        <f t="shared" ca="1" si="58"/>
        <v>NA</v>
      </c>
      <c r="BD250" s="12" t="str">
        <f t="shared" ca="1" si="59"/>
        <v>NA</v>
      </c>
      <c r="BE250" s="5"/>
      <c r="BF250" s="5"/>
      <c r="BG250" s="5"/>
      <c r="BH250" s="12" t="str">
        <f t="shared" ca="1" si="60"/>
        <v>NA</v>
      </c>
      <c r="BI250" s="12" t="str">
        <f t="shared" ca="1" si="61"/>
        <v>NA</v>
      </c>
      <c r="BJ250" s="12" t="str">
        <f t="shared" ca="1" si="62"/>
        <v>NA</v>
      </c>
      <c r="BK250" s="5"/>
      <c r="BL250" s="5"/>
      <c r="BM250" s="12" t="str">
        <f t="shared" ca="1" si="63"/>
        <v>NA</v>
      </c>
      <c r="BN250" s="12" t="str">
        <f t="shared" ca="1" si="64"/>
        <v>NA</v>
      </c>
      <c r="BO250" s="12" t="str">
        <f t="shared" ca="1" si="65"/>
        <v>NA</v>
      </c>
      <c r="BP250" s="5"/>
      <c r="BQ250" s="5"/>
      <c r="BR250" s="5"/>
      <c r="BS250" s="12" t="str">
        <f t="shared" ca="1" si="66"/>
        <v>NA</v>
      </c>
      <c r="BT250" s="12" t="str">
        <f t="shared" ca="1" si="67"/>
        <v>NA</v>
      </c>
      <c r="BU250" s="12" t="str">
        <f t="shared" ca="1" si="68"/>
        <v>NA</v>
      </c>
      <c r="BV250" s="5"/>
      <c r="BW250" s="5"/>
      <c r="BX250" s="12" t="str">
        <f t="shared" ca="1" si="69"/>
        <v>NA</v>
      </c>
      <c r="BY250" s="12" t="str">
        <f t="shared" ca="1" si="70"/>
        <v>NA</v>
      </c>
      <c r="BZ250" s="12" t="str">
        <f t="shared" ca="1" si="71"/>
        <v>NA</v>
      </c>
      <c r="CA250" s="5"/>
    </row>
    <row r="251" spans="1:79" ht="12.75" customHeight="1" x14ac:dyDescent="0.15">
      <c r="A251" s="4">
        <v>2666</v>
      </c>
      <c r="B251" s="5" t="s">
        <v>79</v>
      </c>
      <c r="C251" s="5" t="s">
        <v>79</v>
      </c>
      <c r="D251" s="6" t="s">
        <v>1338</v>
      </c>
      <c r="E251" s="7">
        <v>117017</v>
      </c>
      <c r="F251" s="6" t="s">
        <v>1339</v>
      </c>
      <c r="G251" s="8"/>
      <c r="H251" s="8"/>
      <c r="I251" s="8"/>
      <c r="J251" s="8"/>
      <c r="K251" s="8"/>
      <c r="L251" s="8" t="s">
        <v>82</v>
      </c>
      <c r="M251" s="7">
        <v>2639</v>
      </c>
      <c r="N251" s="7">
        <v>2642</v>
      </c>
      <c r="O251" s="13">
        <v>42454</v>
      </c>
      <c r="P251" s="10" t="str">
        <f t="shared" ca="1" si="38"/>
        <v>NA</v>
      </c>
      <c r="Q251" s="5" t="str">
        <f t="shared" ca="1" si="39"/>
        <v>NA</v>
      </c>
      <c r="R251" s="5" t="str">
        <f t="shared" ca="1" si="40"/>
        <v>NA</v>
      </c>
      <c r="S251" s="7">
        <f t="shared" ca="1" si="41"/>
        <v>2016</v>
      </c>
      <c r="T251" s="7">
        <f t="shared" ca="1" si="42"/>
        <v>3</v>
      </c>
      <c r="U251" s="7">
        <f t="shared" ca="1" si="43"/>
        <v>25</v>
      </c>
      <c r="V251" s="6" t="s">
        <v>1340</v>
      </c>
      <c r="W251" s="14" t="s">
        <v>96</v>
      </c>
      <c r="X251" s="15"/>
      <c r="Y251" s="5">
        <f t="shared" ca="1" si="77"/>
        <v>1</v>
      </c>
      <c r="Z251" s="6"/>
      <c r="AA251" s="12" t="str">
        <f t="shared" ca="1" si="45"/>
        <v>NA</v>
      </c>
      <c r="AB251" s="12" t="str">
        <f t="shared" ca="1" si="46"/>
        <v>NA</v>
      </c>
      <c r="AC251" s="12" t="str">
        <f t="shared" ca="1" si="47"/>
        <v>NA</v>
      </c>
      <c r="AD251" s="6"/>
      <c r="AE251" s="5"/>
      <c r="AF251" s="6"/>
      <c r="AG251" s="5"/>
      <c r="AH251" s="12" t="str">
        <f t="shared" ca="1" si="48"/>
        <v>NA</v>
      </c>
      <c r="AI251" s="12" t="str">
        <f t="shared" ca="1" si="49"/>
        <v>NA</v>
      </c>
      <c r="AJ251" s="12" t="str">
        <f t="shared" ca="1" si="50"/>
        <v>NA</v>
      </c>
      <c r="AK251" s="5"/>
      <c r="AL251" s="5"/>
      <c r="AM251" s="5"/>
      <c r="AN251" s="5"/>
      <c r="AO251" s="11">
        <v>42977</v>
      </c>
      <c r="AP251" s="12">
        <f t="shared" ca="1" si="51"/>
        <v>2017</v>
      </c>
      <c r="AQ251" s="12">
        <f t="shared" ca="1" si="52"/>
        <v>8</v>
      </c>
      <c r="AR251" s="12">
        <f t="shared" ca="1" si="53"/>
        <v>30</v>
      </c>
      <c r="AS251" s="8" t="s">
        <v>1341</v>
      </c>
      <c r="AT251" s="8"/>
      <c r="AU251" s="5"/>
      <c r="AV251" s="12" t="str">
        <f t="shared" ca="1" si="54"/>
        <v>NA</v>
      </c>
      <c r="AW251" s="12" t="str">
        <f t="shared" ca="1" si="55"/>
        <v>NA</v>
      </c>
      <c r="AX251" s="12" t="str">
        <f t="shared" ca="1" si="56"/>
        <v>NA</v>
      </c>
      <c r="AY251" s="5"/>
      <c r="AZ251" s="5"/>
      <c r="BA251" s="6"/>
      <c r="BB251" s="12" t="str">
        <f t="shared" ca="1" si="57"/>
        <v>NA</v>
      </c>
      <c r="BC251" s="12" t="str">
        <f t="shared" ca="1" si="58"/>
        <v>NA</v>
      </c>
      <c r="BD251" s="12" t="str">
        <f t="shared" ca="1" si="59"/>
        <v>NA</v>
      </c>
      <c r="BE251" s="5"/>
      <c r="BF251" s="5"/>
      <c r="BG251" s="5"/>
      <c r="BH251" s="12" t="str">
        <f t="shared" ca="1" si="60"/>
        <v>NA</v>
      </c>
      <c r="BI251" s="12" t="str">
        <f t="shared" ca="1" si="61"/>
        <v>NA</v>
      </c>
      <c r="BJ251" s="12" t="str">
        <f t="shared" ca="1" si="62"/>
        <v>NA</v>
      </c>
      <c r="BK251" s="5"/>
      <c r="BL251" s="5"/>
      <c r="BM251" s="12" t="str">
        <f t="shared" ca="1" si="63"/>
        <v>NA</v>
      </c>
      <c r="BN251" s="12" t="str">
        <f t="shared" ca="1" si="64"/>
        <v>NA</v>
      </c>
      <c r="BO251" s="12" t="str">
        <f t="shared" ca="1" si="65"/>
        <v>NA</v>
      </c>
      <c r="BP251" s="5"/>
      <c r="BQ251" s="5"/>
      <c r="BR251" s="5"/>
      <c r="BS251" s="12" t="str">
        <f t="shared" ca="1" si="66"/>
        <v>NA</v>
      </c>
      <c r="BT251" s="12" t="str">
        <f t="shared" ca="1" si="67"/>
        <v>NA</v>
      </c>
      <c r="BU251" s="12" t="str">
        <f t="shared" ca="1" si="68"/>
        <v>NA</v>
      </c>
      <c r="BV251" s="5"/>
      <c r="BW251" s="5"/>
      <c r="BX251" s="12" t="str">
        <f t="shared" ca="1" si="69"/>
        <v>NA</v>
      </c>
      <c r="BY251" s="12" t="str">
        <f t="shared" ca="1" si="70"/>
        <v>NA</v>
      </c>
      <c r="BZ251" s="12" t="str">
        <f t="shared" ca="1" si="71"/>
        <v>NA</v>
      </c>
      <c r="CA251" s="5"/>
    </row>
    <row r="252" spans="1:79" ht="12.75" customHeight="1" x14ac:dyDescent="0.15">
      <c r="A252" s="4">
        <v>2638</v>
      </c>
      <c r="B252" s="5" t="s">
        <v>852</v>
      </c>
      <c r="C252" s="5" t="s">
        <v>852</v>
      </c>
      <c r="D252" s="6" t="s">
        <v>1342</v>
      </c>
      <c r="E252" s="7">
        <v>6379</v>
      </c>
      <c r="F252" s="6" t="s">
        <v>1343</v>
      </c>
      <c r="G252" s="8" t="s">
        <v>856</v>
      </c>
      <c r="H252" s="6" t="s">
        <v>1344</v>
      </c>
      <c r="I252" s="8">
        <v>2649</v>
      </c>
      <c r="J252" s="8"/>
      <c r="K252" s="8"/>
      <c r="L252" s="8" t="s">
        <v>82</v>
      </c>
      <c r="M252" s="7">
        <v>1121</v>
      </c>
      <c r="N252" s="7">
        <v>1145</v>
      </c>
      <c r="O252" s="13">
        <v>40708</v>
      </c>
      <c r="P252" s="10" t="str">
        <f t="shared" ca="1" si="38"/>
        <v>NA</v>
      </c>
      <c r="Q252" s="5" t="str">
        <f t="shared" ca="1" si="39"/>
        <v>NA</v>
      </c>
      <c r="R252" s="5" t="str">
        <f t="shared" ca="1" si="40"/>
        <v>NA</v>
      </c>
      <c r="S252" s="7">
        <f t="shared" ca="1" si="41"/>
        <v>2011</v>
      </c>
      <c r="T252" s="7">
        <f t="shared" ca="1" si="42"/>
        <v>6</v>
      </c>
      <c r="U252" s="7">
        <f t="shared" ca="1" si="43"/>
        <v>14</v>
      </c>
      <c r="V252" s="6" t="s">
        <v>1345</v>
      </c>
      <c r="W252" s="14" t="s">
        <v>96</v>
      </c>
      <c r="X252" s="15"/>
      <c r="Y252" s="5">
        <f t="shared" ca="1" si="77"/>
        <v>0</v>
      </c>
      <c r="Z252" s="6"/>
      <c r="AA252" s="12" t="str">
        <f t="shared" ca="1" si="45"/>
        <v>NA</v>
      </c>
      <c r="AB252" s="12" t="str">
        <f t="shared" ca="1" si="46"/>
        <v>NA</v>
      </c>
      <c r="AC252" s="12" t="str">
        <f t="shared" ca="1" si="47"/>
        <v>NA</v>
      </c>
      <c r="AD252" s="6"/>
      <c r="AE252" s="5"/>
      <c r="AF252" s="6"/>
      <c r="AG252" s="5"/>
      <c r="AH252" s="12" t="str">
        <f t="shared" ca="1" si="48"/>
        <v>NA</v>
      </c>
      <c r="AI252" s="12" t="str">
        <f t="shared" ca="1" si="49"/>
        <v>NA</v>
      </c>
      <c r="AJ252" s="12" t="str">
        <f t="shared" ca="1" si="50"/>
        <v>NA</v>
      </c>
      <c r="AK252" s="5"/>
      <c r="AL252" s="5"/>
      <c r="AM252" s="5"/>
      <c r="AN252" s="5"/>
      <c r="AO252" s="5"/>
      <c r="AP252" s="12" t="str">
        <f t="shared" ca="1" si="51"/>
        <v>NA</v>
      </c>
      <c r="AQ252" s="12" t="str">
        <f t="shared" ca="1" si="52"/>
        <v>NA</v>
      </c>
      <c r="AR252" s="12" t="str">
        <f t="shared" ca="1" si="53"/>
        <v>NA</v>
      </c>
      <c r="AS252" s="5"/>
      <c r="AT252" s="5"/>
      <c r="AU252" s="5"/>
      <c r="AV252" s="12" t="str">
        <f t="shared" ca="1" si="54"/>
        <v>NA</v>
      </c>
      <c r="AW252" s="12" t="str">
        <f t="shared" ca="1" si="55"/>
        <v>NA</v>
      </c>
      <c r="AX252" s="12" t="str">
        <f t="shared" ca="1" si="56"/>
        <v>NA</v>
      </c>
      <c r="AY252" s="5"/>
      <c r="AZ252" s="5"/>
      <c r="BA252" s="5"/>
      <c r="BB252" s="12" t="str">
        <f t="shared" ca="1" si="57"/>
        <v>NA</v>
      </c>
      <c r="BC252" s="12" t="str">
        <f t="shared" ca="1" si="58"/>
        <v>NA</v>
      </c>
      <c r="BD252" s="12" t="str">
        <f t="shared" ca="1" si="59"/>
        <v>NA</v>
      </c>
      <c r="BE252" s="5"/>
      <c r="BF252" s="5"/>
      <c r="BG252" s="5"/>
      <c r="BH252" s="12" t="str">
        <f t="shared" ca="1" si="60"/>
        <v>NA</v>
      </c>
      <c r="BI252" s="12" t="str">
        <f t="shared" ca="1" si="61"/>
        <v>NA</v>
      </c>
      <c r="BJ252" s="12" t="str">
        <f t="shared" ca="1" si="62"/>
        <v>NA</v>
      </c>
      <c r="BK252" s="5"/>
      <c r="BL252" s="5"/>
      <c r="BM252" s="12" t="str">
        <f t="shared" ca="1" si="63"/>
        <v>NA</v>
      </c>
      <c r="BN252" s="12" t="str">
        <f t="shared" ca="1" si="64"/>
        <v>NA</v>
      </c>
      <c r="BO252" s="12" t="str">
        <f t="shared" ca="1" si="65"/>
        <v>NA</v>
      </c>
      <c r="BP252" s="5"/>
      <c r="BQ252" s="5"/>
      <c r="BR252" s="5"/>
      <c r="BS252" s="12" t="str">
        <f t="shared" ca="1" si="66"/>
        <v>NA</v>
      </c>
      <c r="BT252" s="12" t="str">
        <f t="shared" ca="1" si="67"/>
        <v>NA</v>
      </c>
      <c r="BU252" s="12" t="str">
        <f t="shared" ca="1" si="68"/>
        <v>NA</v>
      </c>
      <c r="BV252" s="5"/>
      <c r="BW252" s="5"/>
      <c r="BX252" s="12" t="str">
        <f t="shared" ca="1" si="69"/>
        <v>NA</v>
      </c>
      <c r="BY252" s="12" t="str">
        <f t="shared" ca="1" si="70"/>
        <v>NA</v>
      </c>
      <c r="BZ252" s="12" t="str">
        <f t="shared" ca="1" si="71"/>
        <v>NA</v>
      </c>
      <c r="CA252" s="5"/>
    </row>
    <row r="253" spans="1:79" ht="12.75" customHeight="1" x14ac:dyDescent="0.15">
      <c r="A253" s="4">
        <v>2667</v>
      </c>
      <c r="B253" s="5" t="s">
        <v>79</v>
      </c>
      <c r="C253" s="5" t="s">
        <v>79</v>
      </c>
      <c r="D253" s="6" t="s">
        <v>1346</v>
      </c>
      <c r="E253" s="7">
        <v>101772</v>
      </c>
      <c r="F253" s="6" t="s">
        <v>1347</v>
      </c>
      <c r="G253" s="8"/>
      <c r="H253" s="8"/>
      <c r="I253" s="8"/>
      <c r="J253" s="8"/>
      <c r="K253" s="8"/>
      <c r="L253" s="8" t="s">
        <v>82</v>
      </c>
      <c r="M253" s="7">
        <v>2639</v>
      </c>
      <c r="N253" s="7">
        <v>2642</v>
      </c>
      <c r="O253" s="13">
        <v>42454</v>
      </c>
      <c r="P253" s="10" t="str">
        <f t="shared" ca="1" si="38"/>
        <v>NA</v>
      </c>
      <c r="Q253" s="5" t="str">
        <f t="shared" ca="1" si="39"/>
        <v>NA</v>
      </c>
      <c r="R253" s="5" t="str">
        <f t="shared" ca="1" si="40"/>
        <v>NA</v>
      </c>
      <c r="S253" s="7">
        <f t="shared" ca="1" si="41"/>
        <v>2016</v>
      </c>
      <c r="T253" s="7">
        <f t="shared" ca="1" si="42"/>
        <v>3</v>
      </c>
      <c r="U253" s="7">
        <f t="shared" ca="1" si="43"/>
        <v>25</v>
      </c>
      <c r="V253" s="6" t="s">
        <v>1348</v>
      </c>
      <c r="W253" s="14" t="s">
        <v>96</v>
      </c>
      <c r="X253" s="15"/>
      <c r="Y253" s="5">
        <f t="shared" ca="1" si="77"/>
        <v>1</v>
      </c>
      <c r="Z253" s="6"/>
      <c r="AA253" s="12" t="str">
        <f t="shared" ca="1" si="45"/>
        <v>NA</v>
      </c>
      <c r="AB253" s="12" t="str">
        <f t="shared" ca="1" si="46"/>
        <v>NA</v>
      </c>
      <c r="AC253" s="12" t="str">
        <f t="shared" ca="1" si="47"/>
        <v>NA</v>
      </c>
      <c r="AD253" s="6"/>
      <c r="AE253" s="5"/>
      <c r="AF253" s="6"/>
      <c r="AG253" s="5"/>
      <c r="AH253" s="12" t="str">
        <f t="shared" ca="1" si="48"/>
        <v>NA</v>
      </c>
      <c r="AI253" s="12" t="str">
        <f t="shared" ca="1" si="49"/>
        <v>NA</v>
      </c>
      <c r="AJ253" s="12" t="str">
        <f t="shared" ca="1" si="50"/>
        <v>NA</v>
      </c>
      <c r="AK253" s="5"/>
      <c r="AL253" s="5"/>
      <c r="AM253" s="5"/>
      <c r="AN253" s="5"/>
      <c r="AO253" s="11">
        <v>42975</v>
      </c>
      <c r="AP253" s="12">
        <f t="shared" ca="1" si="51"/>
        <v>2017</v>
      </c>
      <c r="AQ253" s="12">
        <f t="shared" ca="1" si="52"/>
        <v>8</v>
      </c>
      <c r="AR253" s="12">
        <f t="shared" ca="1" si="53"/>
        <v>28</v>
      </c>
      <c r="AS253" s="8" t="s">
        <v>1349</v>
      </c>
      <c r="AT253" s="8"/>
      <c r="AU253" s="5"/>
      <c r="AV253" s="12" t="str">
        <f t="shared" ca="1" si="54"/>
        <v>NA</v>
      </c>
      <c r="AW253" s="12" t="str">
        <f t="shared" ca="1" si="55"/>
        <v>NA</v>
      </c>
      <c r="AX253" s="12" t="str">
        <f t="shared" ca="1" si="56"/>
        <v>NA</v>
      </c>
      <c r="AY253" s="5"/>
      <c r="AZ253" s="5"/>
      <c r="BA253" s="6"/>
      <c r="BB253" s="12" t="str">
        <f t="shared" ca="1" si="57"/>
        <v>NA</v>
      </c>
      <c r="BC253" s="12" t="str">
        <f t="shared" ca="1" si="58"/>
        <v>NA</v>
      </c>
      <c r="BD253" s="12" t="str">
        <f t="shared" ca="1" si="59"/>
        <v>NA</v>
      </c>
      <c r="BE253" s="5"/>
      <c r="BF253" s="5"/>
      <c r="BG253" s="5"/>
      <c r="BH253" s="12" t="str">
        <f t="shared" ca="1" si="60"/>
        <v>NA</v>
      </c>
      <c r="BI253" s="12" t="str">
        <f t="shared" ca="1" si="61"/>
        <v>NA</v>
      </c>
      <c r="BJ253" s="12" t="str">
        <f t="shared" ca="1" si="62"/>
        <v>NA</v>
      </c>
      <c r="BK253" s="5"/>
      <c r="BL253" s="5"/>
      <c r="BM253" s="12" t="str">
        <f t="shared" ca="1" si="63"/>
        <v>NA</v>
      </c>
      <c r="BN253" s="12" t="str">
        <f t="shared" ca="1" si="64"/>
        <v>NA</v>
      </c>
      <c r="BO253" s="12" t="str">
        <f t="shared" ca="1" si="65"/>
        <v>NA</v>
      </c>
      <c r="BP253" s="5"/>
      <c r="BQ253" s="5"/>
      <c r="BR253" s="5"/>
      <c r="BS253" s="12" t="str">
        <f t="shared" ca="1" si="66"/>
        <v>NA</v>
      </c>
      <c r="BT253" s="12" t="str">
        <f t="shared" ca="1" si="67"/>
        <v>NA</v>
      </c>
      <c r="BU253" s="12" t="str">
        <f t="shared" ca="1" si="68"/>
        <v>NA</v>
      </c>
      <c r="BV253" s="5"/>
      <c r="BW253" s="5"/>
      <c r="BX253" s="12" t="str">
        <f t="shared" ca="1" si="69"/>
        <v>NA</v>
      </c>
      <c r="BY253" s="12" t="str">
        <f t="shared" ca="1" si="70"/>
        <v>NA</v>
      </c>
      <c r="BZ253" s="12" t="str">
        <f t="shared" ca="1" si="71"/>
        <v>NA</v>
      </c>
      <c r="CA253" s="5"/>
    </row>
    <row r="254" spans="1:79" ht="12.75" customHeight="1" x14ac:dyDescent="0.15">
      <c r="A254" s="4">
        <v>2649</v>
      </c>
      <c r="B254" s="5" t="s">
        <v>852</v>
      </c>
      <c r="C254" s="5" t="s">
        <v>852</v>
      </c>
      <c r="D254" s="6" t="s">
        <v>1350</v>
      </c>
      <c r="E254" s="7">
        <v>7832</v>
      </c>
      <c r="F254" s="6" t="s">
        <v>1351</v>
      </c>
      <c r="G254" s="8" t="s">
        <v>856</v>
      </c>
      <c r="H254" s="6" t="s">
        <v>1352</v>
      </c>
      <c r="I254" s="8">
        <v>2638</v>
      </c>
      <c r="J254" s="8"/>
      <c r="K254" s="8"/>
      <c r="L254" s="8" t="s">
        <v>82</v>
      </c>
      <c r="M254" s="7">
        <v>2498</v>
      </c>
      <c r="N254" s="7">
        <v>2502</v>
      </c>
      <c r="O254" s="13">
        <v>41080</v>
      </c>
      <c r="P254" s="10" t="str">
        <f t="shared" ca="1" si="38"/>
        <v>NA</v>
      </c>
      <c r="Q254" s="5" t="str">
        <f t="shared" ca="1" si="39"/>
        <v>NA</v>
      </c>
      <c r="R254" s="5" t="str">
        <f t="shared" ca="1" si="40"/>
        <v>NA</v>
      </c>
      <c r="S254" s="7">
        <f t="shared" ca="1" si="41"/>
        <v>2012</v>
      </c>
      <c r="T254" s="7">
        <f t="shared" ca="1" si="42"/>
        <v>6</v>
      </c>
      <c r="U254" s="7">
        <f t="shared" ca="1" si="43"/>
        <v>20</v>
      </c>
      <c r="V254" s="6" t="s">
        <v>1353</v>
      </c>
      <c r="W254" s="14" t="s">
        <v>96</v>
      </c>
      <c r="X254" s="15"/>
      <c r="Y254" s="5">
        <f ca="1">COUNT(AP254,AV254,BB254,BH254,BM254,BS255,BX255)</f>
        <v>1</v>
      </c>
      <c r="Z254" s="6"/>
      <c r="AA254" s="12" t="str">
        <f t="shared" ca="1" si="45"/>
        <v>NA</v>
      </c>
      <c r="AB254" s="12" t="str">
        <f t="shared" ca="1" si="46"/>
        <v>NA</v>
      </c>
      <c r="AC254" s="12" t="str">
        <f t="shared" ca="1" si="47"/>
        <v>NA</v>
      </c>
      <c r="AD254" s="6"/>
      <c r="AE254" s="5"/>
      <c r="AF254" s="6"/>
      <c r="AG254" s="5"/>
      <c r="AH254" s="12" t="str">
        <f t="shared" ca="1" si="48"/>
        <v>NA</v>
      </c>
      <c r="AI254" s="12" t="str">
        <f t="shared" ca="1" si="49"/>
        <v>NA</v>
      </c>
      <c r="AJ254" s="12" t="str">
        <f t="shared" ca="1" si="50"/>
        <v>NA</v>
      </c>
      <c r="AK254" s="5"/>
      <c r="AL254" s="5"/>
      <c r="AM254" s="5"/>
      <c r="AN254" s="5"/>
      <c r="AO254" s="11">
        <v>42257</v>
      </c>
      <c r="AP254" s="12">
        <f t="shared" ca="1" si="51"/>
        <v>2015</v>
      </c>
      <c r="AQ254" s="12">
        <f t="shared" ca="1" si="52"/>
        <v>9</v>
      </c>
      <c r="AR254" s="12">
        <f t="shared" ca="1" si="53"/>
        <v>10</v>
      </c>
      <c r="AS254" s="8" t="s">
        <v>1354</v>
      </c>
      <c r="AT254" s="8"/>
      <c r="AU254" s="5"/>
      <c r="AV254" s="12" t="str">
        <f t="shared" ca="1" si="54"/>
        <v>NA</v>
      </c>
      <c r="AW254" s="12" t="str">
        <f t="shared" ca="1" si="55"/>
        <v>NA</v>
      </c>
      <c r="AX254" s="12" t="str">
        <f t="shared" ca="1" si="56"/>
        <v>NA</v>
      </c>
      <c r="AY254" s="5"/>
      <c r="AZ254" s="5"/>
      <c r="BA254" s="5"/>
      <c r="BB254" s="12" t="str">
        <f t="shared" ca="1" si="57"/>
        <v>NA</v>
      </c>
      <c r="BC254" s="12" t="str">
        <f t="shared" ca="1" si="58"/>
        <v>NA</v>
      </c>
      <c r="BD254" s="12" t="str">
        <f t="shared" ca="1" si="59"/>
        <v>NA</v>
      </c>
      <c r="BE254" s="5"/>
      <c r="BF254" s="5"/>
      <c r="BG254" s="5"/>
      <c r="BH254" s="12" t="str">
        <f t="shared" ca="1" si="60"/>
        <v>NA</v>
      </c>
      <c r="BI254" s="12" t="str">
        <f t="shared" ca="1" si="61"/>
        <v>NA</v>
      </c>
      <c r="BJ254" s="12" t="str">
        <f t="shared" ca="1" si="62"/>
        <v>NA</v>
      </c>
      <c r="BK254" s="5"/>
      <c r="BL254" s="5"/>
      <c r="BM254" s="12" t="str">
        <f t="shared" ca="1" si="63"/>
        <v>NA</v>
      </c>
      <c r="BN254" s="12" t="str">
        <f t="shared" ca="1" si="64"/>
        <v>NA</v>
      </c>
      <c r="BO254" s="12" t="str">
        <f t="shared" ca="1" si="65"/>
        <v>NA</v>
      </c>
      <c r="BP254" s="5"/>
      <c r="BQ254" s="5"/>
      <c r="BR254" s="5"/>
      <c r="BS254" s="12" t="str">
        <f t="shared" ca="1" si="66"/>
        <v>NA</v>
      </c>
      <c r="BT254" s="12" t="str">
        <f t="shared" ca="1" si="67"/>
        <v>NA</v>
      </c>
      <c r="BU254" s="12" t="str">
        <f t="shared" ca="1" si="68"/>
        <v>NA</v>
      </c>
      <c r="BV254" s="5"/>
      <c r="BW254" s="5"/>
      <c r="BX254" s="12" t="str">
        <f t="shared" ca="1" si="69"/>
        <v>NA</v>
      </c>
      <c r="BY254" s="12" t="str">
        <f t="shared" ca="1" si="70"/>
        <v>NA</v>
      </c>
      <c r="BZ254" s="12" t="str">
        <f t="shared" ca="1" si="71"/>
        <v>NA</v>
      </c>
      <c r="CA254" s="5"/>
    </row>
    <row r="255" spans="1:79" ht="12.75" customHeight="1" x14ac:dyDescent="0.15">
      <c r="A255" s="4">
        <v>2668</v>
      </c>
      <c r="B255" s="5" t="s">
        <v>79</v>
      </c>
      <c r="C255" s="5" t="s">
        <v>79</v>
      </c>
      <c r="D255" s="6" t="s">
        <v>1355</v>
      </c>
      <c r="E255" s="7">
        <v>23674</v>
      </c>
      <c r="F255" s="6" t="s">
        <v>1356</v>
      </c>
      <c r="G255" s="8"/>
      <c r="H255" s="8"/>
      <c r="I255" s="8"/>
      <c r="J255" s="8"/>
      <c r="K255" s="8"/>
      <c r="L255" s="8" t="s">
        <v>82</v>
      </c>
      <c r="M255" s="7">
        <v>2646</v>
      </c>
      <c r="N255" s="7">
        <v>2637</v>
      </c>
      <c r="O255" s="13">
        <v>42485</v>
      </c>
      <c r="P255" s="10">
        <f t="shared" ca="1" si="38"/>
        <v>5.5555555555555558E-3</v>
      </c>
      <c r="Q255" s="5">
        <f t="shared" ca="1" si="39"/>
        <v>0</v>
      </c>
      <c r="R255" s="5">
        <f t="shared" ca="1" si="40"/>
        <v>2</v>
      </c>
      <c r="S255" s="7">
        <f t="shared" ca="1" si="41"/>
        <v>2016</v>
      </c>
      <c r="T255" s="7">
        <f t="shared" ca="1" si="42"/>
        <v>4</v>
      </c>
      <c r="U255" s="7">
        <f t="shared" ca="1" si="43"/>
        <v>25</v>
      </c>
      <c r="V255" s="6" t="s">
        <v>1357</v>
      </c>
      <c r="W255" s="14" t="s">
        <v>96</v>
      </c>
      <c r="X255" s="15"/>
      <c r="Y255" s="5">
        <f t="shared" ref="Y255:Y256" ca="1" si="78">COUNT(AP255,AV255,BB255,BH255,BM255,BS257,BX257)</f>
        <v>0</v>
      </c>
      <c r="Z255" s="6"/>
      <c r="AA255" s="12" t="str">
        <f t="shared" ca="1" si="45"/>
        <v>NA</v>
      </c>
      <c r="AB255" s="12" t="str">
        <f t="shared" ca="1" si="46"/>
        <v>NA</v>
      </c>
      <c r="AC255" s="12" t="str">
        <f t="shared" ca="1" si="47"/>
        <v>NA</v>
      </c>
      <c r="AD255" s="6"/>
      <c r="AE255" s="5"/>
      <c r="AF255" s="6"/>
      <c r="AG255" s="11">
        <v>42487</v>
      </c>
      <c r="AH255" s="12">
        <f t="shared" ca="1" si="48"/>
        <v>2016</v>
      </c>
      <c r="AI255" s="12">
        <f t="shared" ca="1" si="49"/>
        <v>4</v>
      </c>
      <c r="AJ255" s="12">
        <f t="shared" ca="1" si="50"/>
        <v>27</v>
      </c>
      <c r="AK255" s="8" t="s">
        <v>1358</v>
      </c>
      <c r="AL255" s="8"/>
      <c r="AM255" s="5"/>
      <c r="AN255" s="5"/>
      <c r="AO255" s="5"/>
      <c r="AP255" s="12" t="str">
        <f t="shared" ca="1" si="51"/>
        <v>NA</v>
      </c>
      <c r="AQ255" s="12" t="str">
        <f t="shared" ca="1" si="52"/>
        <v>NA</v>
      </c>
      <c r="AR255" s="12" t="str">
        <f t="shared" ca="1" si="53"/>
        <v>NA</v>
      </c>
      <c r="AS255" s="5"/>
      <c r="AT255" s="5"/>
      <c r="AU255" s="5"/>
      <c r="AV255" s="12" t="str">
        <f t="shared" ca="1" si="54"/>
        <v>NA</v>
      </c>
      <c r="AW255" s="12" t="str">
        <f t="shared" ca="1" si="55"/>
        <v>NA</v>
      </c>
      <c r="AX255" s="12" t="str">
        <f t="shared" ca="1" si="56"/>
        <v>NA</v>
      </c>
      <c r="AY255" s="5"/>
      <c r="AZ255" s="5"/>
      <c r="BA255" s="6"/>
      <c r="BB255" s="12" t="str">
        <f t="shared" ca="1" si="57"/>
        <v>NA</v>
      </c>
      <c r="BC255" s="12" t="str">
        <f t="shared" ca="1" si="58"/>
        <v>NA</v>
      </c>
      <c r="BD255" s="12" t="str">
        <f t="shared" ca="1" si="59"/>
        <v>NA</v>
      </c>
      <c r="BE255" s="5"/>
      <c r="BF255" s="5"/>
      <c r="BG255" s="5"/>
      <c r="BH255" s="12" t="str">
        <f t="shared" ca="1" si="60"/>
        <v>NA</v>
      </c>
      <c r="BI255" s="12" t="str">
        <f t="shared" ca="1" si="61"/>
        <v>NA</v>
      </c>
      <c r="BJ255" s="12" t="str">
        <f t="shared" ca="1" si="62"/>
        <v>NA</v>
      </c>
      <c r="BK255" s="5"/>
      <c r="BL255" s="5"/>
      <c r="BM255" s="12" t="str">
        <f t="shared" ca="1" si="63"/>
        <v>NA</v>
      </c>
      <c r="BN255" s="12" t="str">
        <f t="shared" ca="1" si="64"/>
        <v>NA</v>
      </c>
      <c r="BO255" s="12" t="str">
        <f t="shared" ca="1" si="65"/>
        <v>NA</v>
      </c>
      <c r="BP255" s="5"/>
      <c r="BQ255" s="5"/>
      <c r="BR255" s="5"/>
      <c r="BS255" s="12" t="str">
        <f t="shared" ca="1" si="66"/>
        <v>NA</v>
      </c>
      <c r="BT255" s="12" t="str">
        <f t="shared" ca="1" si="67"/>
        <v>NA</v>
      </c>
      <c r="BU255" s="12" t="str">
        <f t="shared" ca="1" si="68"/>
        <v>NA</v>
      </c>
      <c r="BV255" s="5"/>
      <c r="BW255" s="5"/>
      <c r="BX255" s="12" t="str">
        <f t="shared" ca="1" si="69"/>
        <v>NA</v>
      </c>
      <c r="BY255" s="12" t="str">
        <f t="shared" ca="1" si="70"/>
        <v>NA</v>
      </c>
      <c r="BZ255" s="12" t="str">
        <f t="shared" ca="1" si="71"/>
        <v>NA</v>
      </c>
      <c r="CA255" s="5"/>
    </row>
    <row r="256" spans="1:79" ht="12.75" customHeight="1" x14ac:dyDescent="0.15">
      <c r="A256" s="4">
        <v>2669</v>
      </c>
      <c r="B256" s="5" t="s">
        <v>79</v>
      </c>
      <c r="C256" s="5" t="s">
        <v>79</v>
      </c>
      <c r="D256" s="6" t="s">
        <v>1359</v>
      </c>
      <c r="E256" s="7">
        <v>23675</v>
      </c>
      <c r="F256" s="6" t="s">
        <v>1360</v>
      </c>
      <c r="G256" s="8"/>
      <c r="H256" s="8"/>
      <c r="I256" s="8"/>
      <c r="J256" s="8"/>
      <c r="K256" s="8"/>
      <c r="L256" s="8" t="s">
        <v>82</v>
      </c>
      <c r="M256" s="7">
        <v>2646</v>
      </c>
      <c r="N256" s="7">
        <v>2637</v>
      </c>
      <c r="O256" s="13">
        <v>42485</v>
      </c>
      <c r="P256" s="10">
        <f t="shared" ca="1" si="38"/>
        <v>8.3333333333333332E-3</v>
      </c>
      <c r="Q256" s="5">
        <f t="shared" ca="1" si="39"/>
        <v>0</v>
      </c>
      <c r="R256" s="5">
        <f t="shared" ca="1" si="40"/>
        <v>3</v>
      </c>
      <c r="S256" s="7">
        <f t="shared" ca="1" si="41"/>
        <v>2016</v>
      </c>
      <c r="T256" s="7">
        <f t="shared" ca="1" si="42"/>
        <v>4</v>
      </c>
      <c r="U256" s="7">
        <f t="shared" ca="1" si="43"/>
        <v>25</v>
      </c>
      <c r="V256" s="6" t="s">
        <v>1361</v>
      </c>
      <c r="W256" s="14" t="s">
        <v>96</v>
      </c>
      <c r="X256" s="15"/>
      <c r="Y256" s="5">
        <f t="shared" ca="1" si="78"/>
        <v>0</v>
      </c>
      <c r="Z256" s="6"/>
      <c r="AA256" s="12" t="str">
        <f t="shared" ca="1" si="45"/>
        <v>NA</v>
      </c>
      <c r="AB256" s="12" t="str">
        <f t="shared" ca="1" si="46"/>
        <v>NA</v>
      </c>
      <c r="AC256" s="12" t="str">
        <f t="shared" ca="1" si="47"/>
        <v>NA</v>
      </c>
      <c r="AD256" s="6"/>
      <c r="AE256" s="5"/>
      <c r="AF256" s="6"/>
      <c r="AG256" s="11">
        <v>42488</v>
      </c>
      <c r="AH256" s="12">
        <f t="shared" ca="1" si="48"/>
        <v>2016</v>
      </c>
      <c r="AI256" s="12">
        <f t="shared" ca="1" si="49"/>
        <v>4</v>
      </c>
      <c r="AJ256" s="12">
        <f t="shared" ca="1" si="50"/>
        <v>28</v>
      </c>
      <c r="AK256" s="8" t="s">
        <v>1362</v>
      </c>
      <c r="AL256" s="8"/>
      <c r="AM256" s="5"/>
      <c r="AN256" s="5"/>
      <c r="AO256" s="5"/>
      <c r="AP256" s="12" t="str">
        <f t="shared" ca="1" si="51"/>
        <v>NA</v>
      </c>
      <c r="AQ256" s="12" t="str">
        <f t="shared" ca="1" si="52"/>
        <v>NA</v>
      </c>
      <c r="AR256" s="12" t="str">
        <f t="shared" ca="1" si="53"/>
        <v>NA</v>
      </c>
      <c r="AS256" s="5"/>
      <c r="AT256" s="5"/>
      <c r="AU256" s="5"/>
      <c r="AV256" s="12" t="str">
        <f t="shared" ca="1" si="54"/>
        <v>NA</v>
      </c>
      <c r="AW256" s="12" t="str">
        <f t="shared" ca="1" si="55"/>
        <v>NA</v>
      </c>
      <c r="AX256" s="12" t="str">
        <f t="shared" ca="1" si="56"/>
        <v>NA</v>
      </c>
      <c r="AY256" s="5"/>
      <c r="AZ256" s="5"/>
      <c r="BA256" s="6"/>
      <c r="BB256" s="12" t="str">
        <f t="shared" ca="1" si="57"/>
        <v>NA</v>
      </c>
      <c r="BC256" s="12" t="str">
        <f t="shared" ca="1" si="58"/>
        <v>NA</v>
      </c>
      <c r="BD256" s="12" t="str">
        <f t="shared" ca="1" si="59"/>
        <v>NA</v>
      </c>
      <c r="BE256" s="5"/>
      <c r="BF256" s="5"/>
      <c r="BG256" s="5"/>
      <c r="BH256" s="12" t="str">
        <f t="shared" ca="1" si="60"/>
        <v>NA</v>
      </c>
      <c r="BI256" s="12" t="str">
        <f t="shared" ca="1" si="61"/>
        <v>NA</v>
      </c>
      <c r="BJ256" s="12" t="str">
        <f t="shared" ca="1" si="62"/>
        <v>NA</v>
      </c>
      <c r="BK256" s="5"/>
      <c r="BL256" s="5"/>
      <c r="BM256" s="12" t="str">
        <f t="shared" ca="1" si="63"/>
        <v>NA</v>
      </c>
      <c r="BN256" s="12" t="str">
        <f t="shared" ca="1" si="64"/>
        <v>NA</v>
      </c>
      <c r="BO256" s="12" t="str">
        <f t="shared" ca="1" si="65"/>
        <v>NA</v>
      </c>
      <c r="BP256" s="5"/>
      <c r="BQ256" s="5"/>
      <c r="BR256" s="5"/>
      <c r="BS256" s="12" t="str">
        <f t="shared" ca="1" si="66"/>
        <v>NA</v>
      </c>
      <c r="BT256" s="12" t="str">
        <f t="shared" ca="1" si="67"/>
        <v>NA</v>
      </c>
      <c r="BU256" s="12" t="str">
        <f t="shared" ca="1" si="68"/>
        <v>NA</v>
      </c>
      <c r="BV256" s="5"/>
      <c r="BW256" s="5"/>
      <c r="BX256" s="12" t="str">
        <f t="shared" ca="1" si="69"/>
        <v>NA</v>
      </c>
      <c r="BY256" s="12" t="str">
        <f t="shared" ca="1" si="70"/>
        <v>NA</v>
      </c>
      <c r="BZ256" s="12" t="str">
        <f t="shared" ca="1" si="71"/>
        <v>NA</v>
      </c>
      <c r="CA256" s="5"/>
    </row>
    <row r="257" spans="1:79" ht="12.75" customHeight="1" x14ac:dyDescent="0.15">
      <c r="A257" s="4">
        <v>2670</v>
      </c>
      <c r="B257" s="5" t="s">
        <v>79</v>
      </c>
      <c r="C257" s="5" t="s">
        <v>79</v>
      </c>
      <c r="D257" s="6" t="s">
        <v>1363</v>
      </c>
      <c r="E257" s="7">
        <v>201812</v>
      </c>
      <c r="F257" s="6" t="s">
        <v>1364</v>
      </c>
      <c r="G257" s="8"/>
      <c r="H257" s="8"/>
      <c r="I257" s="8"/>
      <c r="J257" s="8"/>
      <c r="K257" s="8"/>
      <c r="L257" s="8" t="s">
        <v>82</v>
      </c>
      <c r="M257" s="7">
        <v>2449</v>
      </c>
      <c r="N257" s="7">
        <v>2632</v>
      </c>
      <c r="O257" s="13">
        <v>42641</v>
      </c>
      <c r="P257" s="10">
        <f t="shared" ca="1" si="38"/>
        <v>2.7777777777777779E-3</v>
      </c>
      <c r="Q257" s="5">
        <f t="shared" ca="1" si="39"/>
        <v>0</v>
      </c>
      <c r="R257" s="5">
        <f t="shared" ca="1" si="40"/>
        <v>1</v>
      </c>
      <c r="S257" s="7">
        <f t="shared" ca="1" si="41"/>
        <v>2016</v>
      </c>
      <c r="T257" s="7">
        <f t="shared" ca="1" si="42"/>
        <v>9</v>
      </c>
      <c r="U257" s="7">
        <f t="shared" ca="1" si="43"/>
        <v>28</v>
      </c>
      <c r="V257" s="6" t="s">
        <v>1365</v>
      </c>
      <c r="W257" s="14" t="s">
        <v>96</v>
      </c>
      <c r="X257" s="15"/>
      <c r="Y257" s="5">
        <f t="shared" ref="Y257:Y258" ca="1" si="79">COUNT(AP257,AV257,BB257,BH257,BM257,BS258,BX258)</f>
        <v>0</v>
      </c>
      <c r="Z257" s="6"/>
      <c r="AA257" s="12" t="str">
        <f t="shared" ca="1" si="45"/>
        <v>NA</v>
      </c>
      <c r="AB257" s="12" t="str">
        <f t="shared" ca="1" si="46"/>
        <v>NA</v>
      </c>
      <c r="AC257" s="12" t="str">
        <f t="shared" ca="1" si="47"/>
        <v>NA</v>
      </c>
      <c r="AD257" s="6"/>
      <c r="AE257" s="5"/>
      <c r="AF257" s="6"/>
      <c r="AG257" s="11">
        <v>42642</v>
      </c>
      <c r="AH257" s="12">
        <f t="shared" ca="1" si="48"/>
        <v>2016</v>
      </c>
      <c r="AI257" s="12">
        <f t="shared" ca="1" si="49"/>
        <v>9</v>
      </c>
      <c r="AJ257" s="12">
        <f t="shared" ca="1" si="50"/>
        <v>29</v>
      </c>
      <c r="AK257" s="8" t="s">
        <v>1366</v>
      </c>
      <c r="AL257" s="8"/>
      <c r="AM257" s="5"/>
      <c r="AN257" s="5"/>
      <c r="AO257" s="5"/>
      <c r="AP257" s="12" t="str">
        <f t="shared" ca="1" si="51"/>
        <v>NA</v>
      </c>
      <c r="AQ257" s="12" t="str">
        <f t="shared" ca="1" si="52"/>
        <v>NA</v>
      </c>
      <c r="AR257" s="12" t="str">
        <f t="shared" ca="1" si="53"/>
        <v>NA</v>
      </c>
      <c r="AS257" s="5"/>
      <c r="AT257" s="5"/>
      <c r="AU257" s="5"/>
      <c r="AV257" s="12" t="str">
        <f t="shared" ca="1" si="54"/>
        <v>NA</v>
      </c>
      <c r="AW257" s="12" t="str">
        <f t="shared" ca="1" si="55"/>
        <v>NA</v>
      </c>
      <c r="AX257" s="12" t="str">
        <f t="shared" ca="1" si="56"/>
        <v>NA</v>
      </c>
      <c r="AY257" s="5"/>
      <c r="AZ257" s="5"/>
      <c r="BA257" s="6"/>
      <c r="BB257" s="12" t="str">
        <f t="shared" ca="1" si="57"/>
        <v>NA</v>
      </c>
      <c r="BC257" s="12" t="str">
        <f t="shared" ca="1" si="58"/>
        <v>NA</v>
      </c>
      <c r="BD257" s="12" t="str">
        <f t="shared" ca="1" si="59"/>
        <v>NA</v>
      </c>
      <c r="BE257" s="5"/>
      <c r="BF257" s="5"/>
      <c r="BG257" s="5"/>
      <c r="BH257" s="12" t="str">
        <f t="shared" ca="1" si="60"/>
        <v>NA</v>
      </c>
      <c r="BI257" s="12" t="str">
        <f t="shared" ca="1" si="61"/>
        <v>NA</v>
      </c>
      <c r="BJ257" s="12" t="str">
        <f t="shared" ca="1" si="62"/>
        <v>NA</v>
      </c>
      <c r="BK257" s="5"/>
      <c r="BL257" s="5"/>
      <c r="BM257" s="12" t="str">
        <f t="shared" ca="1" si="63"/>
        <v>NA</v>
      </c>
      <c r="BN257" s="12" t="str">
        <f t="shared" ca="1" si="64"/>
        <v>NA</v>
      </c>
      <c r="BO257" s="12" t="str">
        <f t="shared" ca="1" si="65"/>
        <v>NA</v>
      </c>
      <c r="BP257" s="5"/>
      <c r="BQ257" s="5"/>
      <c r="BR257" s="5"/>
      <c r="BS257" s="12" t="str">
        <f t="shared" ca="1" si="66"/>
        <v>NA</v>
      </c>
      <c r="BT257" s="12" t="str">
        <f t="shared" ca="1" si="67"/>
        <v>NA</v>
      </c>
      <c r="BU257" s="12" t="str">
        <f t="shared" ca="1" si="68"/>
        <v>NA</v>
      </c>
      <c r="BV257" s="5"/>
      <c r="BW257" s="5"/>
      <c r="BX257" s="12" t="str">
        <f t="shared" ca="1" si="69"/>
        <v>NA</v>
      </c>
      <c r="BY257" s="12" t="str">
        <f t="shared" ca="1" si="70"/>
        <v>NA</v>
      </c>
      <c r="BZ257" s="12" t="str">
        <f t="shared" ca="1" si="71"/>
        <v>NA</v>
      </c>
      <c r="CA257" s="5"/>
    </row>
    <row r="258" spans="1:79" ht="12.75" customHeight="1" x14ac:dyDescent="0.15">
      <c r="A258" s="4">
        <v>2623</v>
      </c>
      <c r="B258" s="5" t="s">
        <v>852</v>
      </c>
      <c r="C258" s="5" t="s">
        <v>852</v>
      </c>
      <c r="D258" s="6" t="s">
        <v>1367</v>
      </c>
      <c r="E258" s="6" t="s">
        <v>1368</v>
      </c>
      <c r="F258" s="6" t="s">
        <v>1369</v>
      </c>
      <c r="G258" s="8" t="s">
        <v>856</v>
      </c>
      <c r="H258" s="6" t="s">
        <v>1370</v>
      </c>
      <c r="I258" s="8">
        <v>2640</v>
      </c>
      <c r="J258" s="8"/>
      <c r="K258" s="8"/>
      <c r="L258" s="8" t="s">
        <v>82</v>
      </c>
      <c r="M258" s="7">
        <v>2498</v>
      </c>
      <c r="N258" s="7">
        <v>2502</v>
      </c>
      <c r="O258" s="13">
        <v>40438</v>
      </c>
      <c r="P258" s="10" t="str">
        <f t="shared" ca="1" si="38"/>
        <v>NA</v>
      </c>
      <c r="Q258" s="5" t="str">
        <f t="shared" ca="1" si="39"/>
        <v>NA</v>
      </c>
      <c r="R258" s="5" t="str">
        <f t="shared" ca="1" si="40"/>
        <v>NA</v>
      </c>
      <c r="S258" s="7">
        <f t="shared" ca="1" si="41"/>
        <v>2010</v>
      </c>
      <c r="T258" s="7">
        <f t="shared" ca="1" si="42"/>
        <v>9</v>
      </c>
      <c r="U258" s="7">
        <f t="shared" ca="1" si="43"/>
        <v>17</v>
      </c>
      <c r="V258" s="6" t="s">
        <v>1371</v>
      </c>
      <c r="W258" s="14" t="s">
        <v>96</v>
      </c>
      <c r="X258" s="15"/>
      <c r="Y258" s="5">
        <f t="shared" ca="1" si="79"/>
        <v>2</v>
      </c>
      <c r="Z258" s="6"/>
      <c r="AA258" s="12" t="str">
        <f t="shared" ca="1" si="45"/>
        <v>NA</v>
      </c>
      <c r="AB258" s="12" t="str">
        <f t="shared" ca="1" si="46"/>
        <v>NA</v>
      </c>
      <c r="AC258" s="12" t="str">
        <f t="shared" ca="1" si="47"/>
        <v>NA</v>
      </c>
      <c r="AD258" s="6"/>
      <c r="AE258" s="5"/>
      <c r="AF258" s="6"/>
      <c r="AG258" s="5"/>
      <c r="AH258" s="12" t="str">
        <f t="shared" ca="1" si="48"/>
        <v>NA</v>
      </c>
      <c r="AI258" s="12" t="str">
        <f t="shared" ca="1" si="49"/>
        <v>NA</v>
      </c>
      <c r="AJ258" s="12" t="str">
        <f t="shared" ca="1" si="50"/>
        <v>NA</v>
      </c>
      <c r="AK258" s="5"/>
      <c r="AL258" s="5"/>
      <c r="AM258" s="5"/>
      <c r="AN258" s="5"/>
      <c r="AO258" s="11">
        <v>40878</v>
      </c>
      <c r="AP258" s="12">
        <f t="shared" ca="1" si="51"/>
        <v>2011</v>
      </c>
      <c r="AQ258" s="12">
        <f t="shared" ca="1" si="52"/>
        <v>12</v>
      </c>
      <c r="AR258" s="12">
        <f t="shared" ca="1" si="53"/>
        <v>1</v>
      </c>
      <c r="AS258" s="8" t="s">
        <v>1372</v>
      </c>
      <c r="AT258" s="8"/>
      <c r="AU258" s="11">
        <v>41773</v>
      </c>
      <c r="AV258" s="12">
        <f t="shared" ca="1" si="54"/>
        <v>2014</v>
      </c>
      <c r="AW258" s="12">
        <f t="shared" ca="1" si="55"/>
        <v>5</v>
      </c>
      <c r="AX258" s="12">
        <f t="shared" ca="1" si="56"/>
        <v>14</v>
      </c>
      <c r="AY258" s="8" t="s">
        <v>1373</v>
      </c>
      <c r="AZ258" s="8"/>
      <c r="BA258" s="5"/>
      <c r="BB258" s="12" t="str">
        <f t="shared" ca="1" si="57"/>
        <v>NA</v>
      </c>
      <c r="BC258" s="12" t="str">
        <f t="shared" ca="1" si="58"/>
        <v>NA</v>
      </c>
      <c r="BD258" s="12" t="str">
        <f t="shared" ca="1" si="59"/>
        <v>NA</v>
      </c>
      <c r="BE258" s="5"/>
      <c r="BF258" s="5"/>
      <c r="BG258" s="5"/>
      <c r="BH258" s="12" t="str">
        <f t="shared" ca="1" si="60"/>
        <v>NA</v>
      </c>
      <c r="BI258" s="12" t="str">
        <f t="shared" ca="1" si="61"/>
        <v>NA</v>
      </c>
      <c r="BJ258" s="12" t="str">
        <f t="shared" ca="1" si="62"/>
        <v>NA</v>
      </c>
      <c r="BK258" s="5"/>
      <c r="BL258" s="5"/>
      <c r="BM258" s="12" t="str">
        <f t="shared" ca="1" si="63"/>
        <v>NA</v>
      </c>
      <c r="BN258" s="12" t="str">
        <f t="shared" ca="1" si="64"/>
        <v>NA</v>
      </c>
      <c r="BO258" s="12" t="str">
        <f t="shared" ca="1" si="65"/>
        <v>NA</v>
      </c>
      <c r="BP258" s="5"/>
      <c r="BQ258" s="5"/>
      <c r="BR258" s="5"/>
      <c r="BS258" s="12" t="str">
        <f t="shared" ca="1" si="66"/>
        <v>NA</v>
      </c>
      <c r="BT258" s="12" t="str">
        <f t="shared" ca="1" si="67"/>
        <v>NA</v>
      </c>
      <c r="BU258" s="12" t="str">
        <f t="shared" ca="1" si="68"/>
        <v>NA</v>
      </c>
      <c r="BV258" s="5"/>
      <c r="BW258" s="5"/>
      <c r="BX258" s="12" t="str">
        <f t="shared" ca="1" si="69"/>
        <v>NA</v>
      </c>
      <c r="BY258" s="12" t="str">
        <f t="shared" ca="1" si="70"/>
        <v>NA</v>
      </c>
      <c r="BZ258" s="12" t="str">
        <f t="shared" ca="1" si="71"/>
        <v>NA</v>
      </c>
      <c r="CA258" s="5"/>
    </row>
    <row r="259" spans="1:79" ht="12.75" customHeight="1" x14ac:dyDescent="0.15">
      <c r="A259" s="4">
        <v>2672</v>
      </c>
      <c r="B259" s="5" t="s">
        <v>79</v>
      </c>
      <c r="C259" s="5" t="s">
        <v>79</v>
      </c>
      <c r="D259" s="6" t="s">
        <v>1374</v>
      </c>
      <c r="E259" s="7">
        <v>201811</v>
      </c>
      <c r="F259" s="6" t="s">
        <v>1375</v>
      </c>
      <c r="G259" s="8"/>
      <c r="H259" s="8"/>
      <c r="I259" s="8"/>
      <c r="J259" s="8"/>
      <c r="K259" s="8"/>
      <c r="L259" s="8" t="s">
        <v>82</v>
      </c>
      <c r="M259" s="7">
        <v>2449</v>
      </c>
      <c r="N259" s="7">
        <v>2632</v>
      </c>
      <c r="O259" s="13">
        <v>42641</v>
      </c>
      <c r="P259" s="10">
        <f t="shared" ca="1" si="38"/>
        <v>3.3333333333333333E-2</v>
      </c>
      <c r="Q259" s="5">
        <f t="shared" ca="1" si="39"/>
        <v>0</v>
      </c>
      <c r="R259" s="5">
        <f t="shared" ca="1" si="40"/>
        <v>12</v>
      </c>
      <c r="S259" s="7">
        <f t="shared" ca="1" si="41"/>
        <v>2016</v>
      </c>
      <c r="T259" s="7">
        <f t="shared" ca="1" si="42"/>
        <v>9</v>
      </c>
      <c r="U259" s="7">
        <f t="shared" ca="1" si="43"/>
        <v>28</v>
      </c>
      <c r="V259" s="6" t="s">
        <v>1376</v>
      </c>
      <c r="W259" s="14" t="s">
        <v>96</v>
      </c>
      <c r="X259" s="15"/>
      <c r="Y259" s="5">
        <f t="shared" ref="Y259:Y260" ca="1" si="80">COUNT(AP259,AV259,BB259,BH259,BM259,BS261,BX261)</f>
        <v>0</v>
      </c>
      <c r="Z259" s="6"/>
      <c r="AA259" s="12" t="str">
        <f t="shared" ca="1" si="45"/>
        <v>NA</v>
      </c>
      <c r="AB259" s="12" t="str">
        <f t="shared" ca="1" si="46"/>
        <v>NA</v>
      </c>
      <c r="AC259" s="12" t="str">
        <f t="shared" ca="1" si="47"/>
        <v>NA</v>
      </c>
      <c r="AD259" s="6"/>
      <c r="AE259" s="5"/>
      <c r="AF259" s="6"/>
      <c r="AG259" s="11">
        <v>42653</v>
      </c>
      <c r="AH259" s="12">
        <f t="shared" ca="1" si="48"/>
        <v>2016</v>
      </c>
      <c r="AI259" s="12">
        <f t="shared" ca="1" si="49"/>
        <v>10</v>
      </c>
      <c r="AJ259" s="12">
        <f t="shared" ca="1" si="50"/>
        <v>10</v>
      </c>
      <c r="AK259" s="8" t="s">
        <v>1377</v>
      </c>
      <c r="AL259" s="8"/>
      <c r="AM259" s="5"/>
      <c r="AN259" s="5"/>
      <c r="AO259" s="5"/>
      <c r="AP259" s="12" t="str">
        <f t="shared" ca="1" si="51"/>
        <v>NA</v>
      </c>
      <c r="AQ259" s="12" t="str">
        <f t="shared" ca="1" si="52"/>
        <v>NA</v>
      </c>
      <c r="AR259" s="12" t="str">
        <f t="shared" ca="1" si="53"/>
        <v>NA</v>
      </c>
      <c r="AS259" s="5"/>
      <c r="AT259" s="5"/>
      <c r="AU259" s="5"/>
      <c r="AV259" s="12" t="str">
        <f t="shared" ca="1" si="54"/>
        <v>NA</v>
      </c>
      <c r="AW259" s="12" t="str">
        <f t="shared" ca="1" si="55"/>
        <v>NA</v>
      </c>
      <c r="AX259" s="12" t="str">
        <f t="shared" ca="1" si="56"/>
        <v>NA</v>
      </c>
      <c r="AY259" s="5"/>
      <c r="AZ259" s="5"/>
      <c r="BA259" s="6"/>
      <c r="BB259" s="12" t="str">
        <f t="shared" ca="1" si="57"/>
        <v>NA</v>
      </c>
      <c r="BC259" s="12" t="str">
        <f t="shared" ca="1" si="58"/>
        <v>NA</v>
      </c>
      <c r="BD259" s="12" t="str">
        <f t="shared" ca="1" si="59"/>
        <v>NA</v>
      </c>
      <c r="BE259" s="5"/>
      <c r="BF259" s="5"/>
      <c r="BG259" s="5"/>
      <c r="BH259" s="12" t="str">
        <f t="shared" ca="1" si="60"/>
        <v>NA</v>
      </c>
      <c r="BI259" s="12" t="str">
        <f t="shared" ca="1" si="61"/>
        <v>NA</v>
      </c>
      <c r="BJ259" s="12" t="str">
        <f t="shared" ca="1" si="62"/>
        <v>NA</v>
      </c>
      <c r="BK259" s="5"/>
      <c r="BL259" s="5"/>
      <c r="BM259" s="12" t="str">
        <f t="shared" ca="1" si="63"/>
        <v>NA</v>
      </c>
      <c r="BN259" s="12" t="str">
        <f t="shared" ca="1" si="64"/>
        <v>NA</v>
      </c>
      <c r="BO259" s="12" t="str">
        <f t="shared" ca="1" si="65"/>
        <v>NA</v>
      </c>
      <c r="BP259" s="5"/>
      <c r="BQ259" s="5"/>
      <c r="BR259" s="5"/>
      <c r="BS259" s="12" t="str">
        <f t="shared" ca="1" si="66"/>
        <v>NA</v>
      </c>
      <c r="BT259" s="12" t="str">
        <f t="shared" ca="1" si="67"/>
        <v>NA</v>
      </c>
      <c r="BU259" s="12" t="str">
        <f t="shared" ca="1" si="68"/>
        <v>NA</v>
      </c>
      <c r="BV259" s="5"/>
      <c r="BW259" s="5"/>
      <c r="BX259" s="12" t="str">
        <f t="shared" ca="1" si="69"/>
        <v>NA</v>
      </c>
      <c r="BY259" s="12" t="str">
        <f t="shared" ca="1" si="70"/>
        <v>NA</v>
      </c>
      <c r="BZ259" s="12" t="str">
        <f t="shared" ca="1" si="71"/>
        <v>NA</v>
      </c>
      <c r="CA259" s="5"/>
    </row>
    <row r="260" spans="1:79" ht="12.75" customHeight="1" x14ac:dyDescent="0.15">
      <c r="A260" s="4">
        <v>2640</v>
      </c>
      <c r="B260" s="5" t="s">
        <v>852</v>
      </c>
      <c r="C260" s="5" t="s">
        <v>852</v>
      </c>
      <c r="D260" s="6" t="s">
        <v>1378</v>
      </c>
      <c r="E260" s="6" t="s">
        <v>1379</v>
      </c>
      <c r="F260" s="6" t="s">
        <v>1380</v>
      </c>
      <c r="G260" s="8" t="s">
        <v>856</v>
      </c>
      <c r="H260" s="6" t="s">
        <v>1381</v>
      </c>
      <c r="I260" s="8">
        <v>2623</v>
      </c>
      <c r="J260" s="8"/>
      <c r="K260" s="8"/>
      <c r="L260" s="8" t="s">
        <v>82</v>
      </c>
      <c r="M260" s="7">
        <v>2420</v>
      </c>
      <c r="N260" s="7">
        <v>2608</v>
      </c>
      <c r="O260" s="13">
        <v>41008</v>
      </c>
      <c r="P260" s="10" t="str">
        <f t="shared" ca="1" si="38"/>
        <v>NA</v>
      </c>
      <c r="Q260" s="5" t="str">
        <f t="shared" ca="1" si="39"/>
        <v>NA</v>
      </c>
      <c r="R260" s="5" t="str">
        <f t="shared" ca="1" si="40"/>
        <v>NA</v>
      </c>
      <c r="S260" s="7">
        <f t="shared" ca="1" si="41"/>
        <v>2012</v>
      </c>
      <c r="T260" s="7">
        <f t="shared" ca="1" si="42"/>
        <v>4</v>
      </c>
      <c r="U260" s="7">
        <f t="shared" ca="1" si="43"/>
        <v>9</v>
      </c>
      <c r="V260" s="6" t="s">
        <v>1382</v>
      </c>
      <c r="W260" s="14" t="s">
        <v>96</v>
      </c>
      <c r="X260" s="15"/>
      <c r="Y260" s="5">
        <f t="shared" ca="1" si="80"/>
        <v>1</v>
      </c>
      <c r="Z260" s="6"/>
      <c r="AA260" s="12" t="str">
        <f t="shared" ca="1" si="45"/>
        <v>NA</v>
      </c>
      <c r="AB260" s="12" t="str">
        <f t="shared" ca="1" si="46"/>
        <v>NA</v>
      </c>
      <c r="AC260" s="12" t="str">
        <f t="shared" ca="1" si="47"/>
        <v>NA</v>
      </c>
      <c r="AD260" s="6"/>
      <c r="AE260" s="5"/>
      <c r="AF260" s="6"/>
      <c r="AG260" s="5"/>
      <c r="AH260" s="12" t="str">
        <f t="shared" ca="1" si="48"/>
        <v>NA</v>
      </c>
      <c r="AI260" s="12" t="str">
        <f t="shared" ca="1" si="49"/>
        <v>NA</v>
      </c>
      <c r="AJ260" s="12" t="str">
        <f t="shared" ca="1" si="50"/>
        <v>NA</v>
      </c>
      <c r="AK260" s="5"/>
      <c r="AL260" s="5"/>
      <c r="AM260" s="5"/>
      <c r="AN260" s="5"/>
      <c r="AO260" s="11">
        <v>41773</v>
      </c>
      <c r="AP260" s="12">
        <f t="shared" ca="1" si="51"/>
        <v>2014</v>
      </c>
      <c r="AQ260" s="12">
        <f t="shared" ca="1" si="52"/>
        <v>5</v>
      </c>
      <c r="AR260" s="12">
        <f t="shared" ca="1" si="53"/>
        <v>14</v>
      </c>
      <c r="AS260" s="8" t="s">
        <v>1383</v>
      </c>
      <c r="AT260" s="8"/>
      <c r="AU260" s="5"/>
      <c r="AV260" s="12" t="str">
        <f t="shared" ca="1" si="54"/>
        <v>NA</v>
      </c>
      <c r="AW260" s="12" t="str">
        <f t="shared" ca="1" si="55"/>
        <v>NA</v>
      </c>
      <c r="AX260" s="12" t="str">
        <f t="shared" ca="1" si="56"/>
        <v>NA</v>
      </c>
      <c r="AY260" s="5"/>
      <c r="AZ260" s="5"/>
      <c r="BA260" s="5"/>
      <c r="BB260" s="12" t="str">
        <f t="shared" ca="1" si="57"/>
        <v>NA</v>
      </c>
      <c r="BC260" s="12" t="str">
        <f t="shared" ca="1" si="58"/>
        <v>NA</v>
      </c>
      <c r="BD260" s="12" t="str">
        <f t="shared" ca="1" si="59"/>
        <v>NA</v>
      </c>
      <c r="BE260" s="5"/>
      <c r="BF260" s="5"/>
      <c r="BG260" s="5"/>
      <c r="BH260" s="12" t="str">
        <f t="shared" ca="1" si="60"/>
        <v>NA</v>
      </c>
      <c r="BI260" s="12" t="str">
        <f t="shared" ca="1" si="61"/>
        <v>NA</v>
      </c>
      <c r="BJ260" s="12" t="str">
        <f t="shared" ca="1" si="62"/>
        <v>NA</v>
      </c>
      <c r="BK260" s="5"/>
      <c r="BL260" s="5"/>
      <c r="BM260" s="12" t="str">
        <f t="shared" ca="1" si="63"/>
        <v>NA</v>
      </c>
      <c r="BN260" s="12" t="str">
        <f t="shared" ca="1" si="64"/>
        <v>NA</v>
      </c>
      <c r="BO260" s="12" t="str">
        <f t="shared" ca="1" si="65"/>
        <v>NA</v>
      </c>
      <c r="BP260" s="5"/>
      <c r="BQ260" s="5"/>
      <c r="BR260" s="5"/>
      <c r="BS260" s="12" t="str">
        <f t="shared" ca="1" si="66"/>
        <v>NA</v>
      </c>
      <c r="BT260" s="12" t="str">
        <f t="shared" ca="1" si="67"/>
        <v>NA</v>
      </c>
      <c r="BU260" s="12" t="str">
        <f t="shared" ca="1" si="68"/>
        <v>NA</v>
      </c>
      <c r="BV260" s="5"/>
      <c r="BW260" s="5"/>
      <c r="BX260" s="12" t="str">
        <f t="shared" ca="1" si="69"/>
        <v>NA</v>
      </c>
      <c r="BY260" s="12" t="str">
        <f t="shared" ca="1" si="70"/>
        <v>NA</v>
      </c>
      <c r="BZ260" s="12" t="str">
        <f t="shared" ca="1" si="71"/>
        <v>NA</v>
      </c>
      <c r="CA260" s="5"/>
    </row>
    <row r="261" spans="1:79" ht="12.75" customHeight="1" x14ac:dyDescent="0.15">
      <c r="A261" s="4">
        <v>2674</v>
      </c>
      <c r="B261" s="5" t="s">
        <v>79</v>
      </c>
      <c r="C261" s="5" t="s">
        <v>852</v>
      </c>
      <c r="D261" s="6" t="s">
        <v>1384</v>
      </c>
      <c r="E261" s="6" t="s">
        <v>1385</v>
      </c>
      <c r="F261" s="6" t="s">
        <v>1386</v>
      </c>
      <c r="G261" s="8"/>
      <c r="H261" s="8"/>
      <c r="I261" s="8"/>
      <c r="J261" s="8"/>
      <c r="K261" s="8"/>
      <c r="L261" s="8" t="s">
        <v>82</v>
      </c>
      <c r="M261" s="7">
        <v>2649</v>
      </c>
      <c r="N261" s="7">
        <v>2638</v>
      </c>
      <c r="O261" s="13">
        <v>42720</v>
      </c>
      <c r="P261" s="10" t="str">
        <f t="shared" ca="1" si="38"/>
        <v>NA</v>
      </c>
      <c r="Q261" s="5" t="str">
        <f t="shared" ca="1" si="39"/>
        <v>NA</v>
      </c>
      <c r="R261" s="5" t="str">
        <f t="shared" ca="1" si="40"/>
        <v>NA</v>
      </c>
      <c r="S261" s="7">
        <f t="shared" ca="1" si="41"/>
        <v>2016</v>
      </c>
      <c r="T261" s="7">
        <f t="shared" ca="1" si="42"/>
        <v>12</v>
      </c>
      <c r="U261" s="7">
        <f t="shared" ca="1" si="43"/>
        <v>16</v>
      </c>
      <c r="V261" s="6" t="s">
        <v>1387</v>
      </c>
      <c r="W261" s="14" t="s">
        <v>96</v>
      </c>
      <c r="X261" s="15"/>
      <c r="Y261" s="5">
        <f ca="1">COUNT(AP261,AV261,BB261,BH261,BM261,BS262,BX262)</f>
        <v>1</v>
      </c>
      <c r="Z261" s="6"/>
      <c r="AA261" s="12" t="str">
        <f t="shared" ca="1" si="45"/>
        <v>NA</v>
      </c>
      <c r="AB261" s="12" t="str">
        <f t="shared" ca="1" si="46"/>
        <v>NA</v>
      </c>
      <c r="AC261" s="12" t="str">
        <f t="shared" ca="1" si="47"/>
        <v>NA</v>
      </c>
      <c r="AD261" s="6"/>
      <c r="AE261" s="5"/>
      <c r="AF261" s="6"/>
      <c r="AG261" s="5"/>
      <c r="AH261" s="12" t="str">
        <f t="shared" ca="1" si="48"/>
        <v>NA</v>
      </c>
      <c r="AI261" s="12" t="str">
        <f t="shared" ca="1" si="49"/>
        <v>NA</v>
      </c>
      <c r="AJ261" s="12" t="str">
        <f t="shared" ca="1" si="50"/>
        <v>NA</v>
      </c>
      <c r="AK261" s="5"/>
      <c r="AL261" s="5"/>
      <c r="AM261" s="5"/>
      <c r="AN261" s="5"/>
      <c r="AO261" s="11">
        <v>43216</v>
      </c>
      <c r="AP261" s="12">
        <f t="shared" ca="1" si="51"/>
        <v>2018</v>
      </c>
      <c r="AQ261" s="12">
        <f t="shared" ca="1" si="52"/>
        <v>4</v>
      </c>
      <c r="AR261" s="12">
        <f t="shared" ca="1" si="53"/>
        <v>26</v>
      </c>
      <c r="AS261" s="8" t="s">
        <v>1388</v>
      </c>
      <c r="AT261" s="8"/>
      <c r="AU261" s="5"/>
      <c r="AV261" s="12" t="str">
        <f t="shared" ca="1" si="54"/>
        <v>NA</v>
      </c>
      <c r="AW261" s="12" t="str">
        <f t="shared" ca="1" si="55"/>
        <v>NA</v>
      </c>
      <c r="AX261" s="12" t="str">
        <f t="shared" ca="1" si="56"/>
        <v>NA</v>
      </c>
      <c r="AY261" s="5"/>
      <c r="AZ261" s="5"/>
      <c r="BA261" s="5"/>
      <c r="BB261" s="12" t="str">
        <f t="shared" ca="1" si="57"/>
        <v>NA</v>
      </c>
      <c r="BC261" s="12" t="str">
        <f t="shared" ca="1" si="58"/>
        <v>NA</v>
      </c>
      <c r="BD261" s="12" t="str">
        <f t="shared" ca="1" si="59"/>
        <v>NA</v>
      </c>
      <c r="BE261" s="5"/>
      <c r="BF261" s="5"/>
      <c r="BG261" s="5"/>
      <c r="BH261" s="12" t="str">
        <f t="shared" ca="1" si="60"/>
        <v>NA</v>
      </c>
      <c r="BI261" s="12" t="str">
        <f t="shared" ca="1" si="61"/>
        <v>NA</v>
      </c>
      <c r="BJ261" s="12" t="str">
        <f t="shared" ca="1" si="62"/>
        <v>NA</v>
      </c>
      <c r="BK261" s="5"/>
      <c r="BL261" s="5"/>
      <c r="BM261" s="12" t="str">
        <f t="shared" ca="1" si="63"/>
        <v>NA</v>
      </c>
      <c r="BN261" s="12" t="str">
        <f t="shared" ca="1" si="64"/>
        <v>NA</v>
      </c>
      <c r="BO261" s="12" t="str">
        <f t="shared" ca="1" si="65"/>
        <v>NA</v>
      </c>
      <c r="BP261" s="5"/>
      <c r="BQ261" s="5"/>
      <c r="BR261" s="5"/>
      <c r="BS261" s="12" t="str">
        <f t="shared" ca="1" si="66"/>
        <v>NA</v>
      </c>
      <c r="BT261" s="12" t="str">
        <f t="shared" ca="1" si="67"/>
        <v>NA</v>
      </c>
      <c r="BU261" s="12" t="str">
        <f t="shared" ca="1" si="68"/>
        <v>NA</v>
      </c>
      <c r="BV261" s="5"/>
      <c r="BW261" s="5"/>
      <c r="BX261" s="12" t="str">
        <f t="shared" ca="1" si="69"/>
        <v>NA</v>
      </c>
      <c r="BY261" s="12" t="str">
        <f t="shared" ca="1" si="70"/>
        <v>NA</v>
      </c>
      <c r="BZ261" s="12" t="str">
        <f t="shared" ca="1" si="71"/>
        <v>NA</v>
      </c>
      <c r="CA261" s="5"/>
    </row>
    <row r="262" spans="1:79" ht="12.75" customHeight="1" x14ac:dyDescent="0.15">
      <c r="A262" s="4">
        <v>2675</v>
      </c>
      <c r="B262" s="5" t="s">
        <v>79</v>
      </c>
      <c r="C262" s="5" t="s">
        <v>79</v>
      </c>
      <c r="D262" s="6" t="s">
        <v>1389</v>
      </c>
      <c r="E262" s="7">
        <v>7506</v>
      </c>
      <c r="F262" s="6" t="s">
        <v>1390</v>
      </c>
      <c r="G262" s="8"/>
      <c r="H262" s="8"/>
      <c r="I262" s="8"/>
      <c r="J262" s="8"/>
      <c r="K262" s="8"/>
      <c r="L262" s="8" t="s">
        <v>82</v>
      </c>
      <c r="M262" s="7">
        <v>2631</v>
      </c>
      <c r="N262" s="7">
        <v>2626</v>
      </c>
      <c r="O262" s="13">
        <v>42677</v>
      </c>
      <c r="P262" s="10">
        <f t="shared" ca="1" si="38"/>
        <v>1.6666666666666666E-2</v>
      </c>
      <c r="Q262" s="5">
        <f t="shared" ca="1" si="39"/>
        <v>0</v>
      </c>
      <c r="R262" s="5">
        <f t="shared" ca="1" si="40"/>
        <v>6</v>
      </c>
      <c r="S262" s="7">
        <f t="shared" ca="1" si="41"/>
        <v>2016</v>
      </c>
      <c r="T262" s="7">
        <f t="shared" ca="1" si="42"/>
        <v>11</v>
      </c>
      <c r="U262" s="7">
        <f t="shared" ca="1" si="43"/>
        <v>3</v>
      </c>
      <c r="V262" s="6" t="s">
        <v>1391</v>
      </c>
      <c r="W262" s="14" t="s">
        <v>96</v>
      </c>
      <c r="X262" s="15"/>
      <c r="Y262" s="5">
        <f ca="1">COUNT(AP262,AV262,BB262,BH262,BM262,#REF!,#REF!)</f>
        <v>0</v>
      </c>
      <c r="Z262" s="6"/>
      <c r="AA262" s="12" t="str">
        <f t="shared" ca="1" si="45"/>
        <v>NA</v>
      </c>
      <c r="AB262" s="12" t="str">
        <f t="shared" ca="1" si="46"/>
        <v>NA</v>
      </c>
      <c r="AC262" s="12" t="str">
        <f t="shared" ca="1" si="47"/>
        <v>NA</v>
      </c>
      <c r="AD262" s="6"/>
      <c r="AE262" s="5"/>
      <c r="AF262" s="6"/>
      <c r="AG262" s="11">
        <v>42683</v>
      </c>
      <c r="AH262" s="12">
        <f t="shared" ca="1" si="48"/>
        <v>2016</v>
      </c>
      <c r="AI262" s="12">
        <f t="shared" ca="1" si="49"/>
        <v>11</v>
      </c>
      <c r="AJ262" s="12">
        <f t="shared" ca="1" si="50"/>
        <v>9</v>
      </c>
      <c r="AK262" s="8" t="s">
        <v>1392</v>
      </c>
      <c r="AL262" s="8"/>
      <c r="AM262" s="5"/>
      <c r="AN262" s="5"/>
      <c r="AO262" s="5"/>
      <c r="AP262" s="12" t="str">
        <f t="shared" ca="1" si="51"/>
        <v>NA</v>
      </c>
      <c r="AQ262" s="12" t="str">
        <f t="shared" ca="1" si="52"/>
        <v>NA</v>
      </c>
      <c r="AR262" s="12" t="str">
        <f t="shared" ca="1" si="53"/>
        <v>NA</v>
      </c>
      <c r="AS262" s="5"/>
      <c r="AT262" s="5"/>
      <c r="AU262" s="5"/>
      <c r="AV262" s="12" t="str">
        <f t="shared" ca="1" si="54"/>
        <v>NA</v>
      </c>
      <c r="AW262" s="12" t="str">
        <f t="shared" ca="1" si="55"/>
        <v>NA</v>
      </c>
      <c r="AX262" s="12" t="str">
        <f t="shared" ca="1" si="56"/>
        <v>NA</v>
      </c>
      <c r="AY262" s="5"/>
      <c r="AZ262" s="5"/>
      <c r="BA262" s="6"/>
      <c r="BB262" s="12" t="str">
        <f t="shared" ca="1" si="57"/>
        <v>NA</v>
      </c>
      <c r="BC262" s="12" t="str">
        <f t="shared" ca="1" si="58"/>
        <v>NA</v>
      </c>
      <c r="BD262" s="12" t="str">
        <f t="shared" ca="1" si="59"/>
        <v>NA</v>
      </c>
      <c r="BE262" s="5"/>
      <c r="BF262" s="5"/>
      <c r="BG262" s="5"/>
      <c r="BH262" s="12" t="str">
        <f t="shared" ca="1" si="60"/>
        <v>NA</v>
      </c>
      <c r="BI262" s="12" t="str">
        <f t="shared" ca="1" si="61"/>
        <v>NA</v>
      </c>
      <c r="BJ262" s="12" t="str">
        <f t="shared" ca="1" si="62"/>
        <v>NA</v>
      </c>
      <c r="BK262" s="5"/>
      <c r="BL262" s="5"/>
      <c r="BM262" s="12" t="str">
        <f t="shared" ca="1" si="63"/>
        <v>NA</v>
      </c>
      <c r="BN262" s="12" t="str">
        <f t="shared" ca="1" si="64"/>
        <v>NA</v>
      </c>
      <c r="BO262" s="12" t="str">
        <f t="shared" ca="1" si="65"/>
        <v>NA</v>
      </c>
      <c r="BP262" s="5"/>
      <c r="BQ262" s="5"/>
      <c r="BR262" s="5"/>
      <c r="BS262" s="12" t="str">
        <f t="shared" ca="1" si="66"/>
        <v>NA</v>
      </c>
      <c r="BT262" s="12" t="str">
        <f t="shared" ca="1" si="67"/>
        <v>NA</v>
      </c>
      <c r="BU262" s="12" t="str">
        <f t="shared" ca="1" si="68"/>
        <v>NA</v>
      </c>
      <c r="BV262" s="5"/>
      <c r="BW262" s="5"/>
      <c r="BX262" s="12" t="str">
        <f t="shared" ca="1" si="69"/>
        <v>NA</v>
      </c>
      <c r="BY262" s="12" t="str">
        <f t="shared" ca="1" si="70"/>
        <v>NA</v>
      </c>
      <c r="BZ262" s="12" t="str">
        <f t="shared" ca="1" si="71"/>
        <v>NA</v>
      </c>
      <c r="CA262" s="5"/>
    </row>
    <row r="263" spans="1:79" ht="12.75" customHeight="1" x14ac:dyDescent="0.15">
      <c r="A263" s="4">
        <v>2707</v>
      </c>
      <c r="B263" s="5" t="s">
        <v>852</v>
      </c>
      <c r="C263" s="5" t="s">
        <v>852</v>
      </c>
      <c r="D263" s="8" t="s">
        <v>1393</v>
      </c>
      <c r="E263" s="7">
        <v>9545</v>
      </c>
      <c r="F263" s="6" t="s">
        <v>1394</v>
      </c>
      <c r="G263" s="8" t="s">
        <v>1077</v>
      </c>
      <c r="H263" s="8" t="s">
        <v>1393</v>
      </c>
      <c r="I263" s="8">
        <v>2713</v>
      </c>
      <c r="J263" s="8"/>
      <c r="K263" s="8"/>
      <c r="L263" s="8" t="s">
        <v>82</v>
      </c>
      <c r="M263" s="7">
        <v>2631</v>
      </c>
      <c r="N263" s="7">
        <v>2626</v>
      </c>
      <c r="O263" s="13">
        <v>44069</v>
      </c>
      <c r="P263" s="10" t="str">
        <f t="shared" ca="1" si="38"/>
        <v>NA</v>
      </c>
      <c r="Q263" s="5" t="str">
        <f t="shared" ca="1" si="39"/>
        <v>NA</v>
      </c>
      <c r="R263" s="5" t="str">
        <f t="shared" ca="1" si="40"/>
        <v>NA</v>
      </c>
      <c r="S263" s="7">
        <f t="shared" ca="1" si="41"/>
        <v>2020</v>
      </c>
      <c r="T263" s="7">
        <f t="shared" ca="1" si="42"/>
        <v>8</v>
      </c>
      <c r="U263" s="7">
        <f t="shared" ca="1" si="43"/>
        <v>26</v>
      </c>
      <c r="V263" s="6" t="s">
        <v>1395</v>
      </c>
      <c r="W263" s="14" t="s">
        <v>96</v>
      </c>
      <c r="X263" s="15"/>
      <c r="Y263" s="5">
        <f t="shared" ref="Y263:Y264" ca="1" si="81">COUNT(AP263,AV263,BB263,BH263,BM263,BS264,BX264)</f>
        <v>0</v>
      </c>
      <c r="Z263" s="6"/>
      <c r="AA263" s="12" t="str">
        <f t="shared" ca="1" si="45"/>
        <v>NA</v>
      </c>
      <c r="AB263" s="12" t="str">
        <f t="shared" ca="1" si="46"/>
        <v>NA</v>
      </c>
      <c r="AC263" s="12" t="str">
        <f t="shared" ca="1" si="47"/>
        <v>NA</v>
      </c>
      <c r="AD263" s="6"/>
      <c r="AE263" s="5"/>
      <c r="AF263" s="6"/>
      <c r="AG263" s="5"/>
      <c r="AH263" s="12" t="str">
        <f t="shared" ca="1" si="48"/>
        <v>NA</v>
      </c>
      <c r="AI263" s="12" t="str">
        <f t="shared" ca="1" si="49"/>
        <v>NA</v>
      </c>
      <c r="AJ263" s="12" t="str">
        <f t="shared" ca="1" si="50"/>
        <v>NA</v>
      </c>
      <c r="AK263" s="5"/>
      <c r="AL263" s="5"/>
      <c r="AM263" s="5"/>
      <c r="AN263" s="5"/>
      <c r="AO263" s="5"/>
      <c r="AP263" s="12" t="str">
        <f t="shared" ca="1" si="51"/>
        <v>NA</v>
      </c>
      <c r="AQ263" s="12" t="str">
        <f t="shared" ca="1" si="52"/>
        <v>NA</v>
      </c>
      <c r="AR263" s="12" t="str">
        <f t="shared" ca="1" si="53"/>
        <v>NA</v>
      </c>
      <c r="AS263" s="8" t="s">
        <v>1393</v>
      </c>
      <c r="AT263" s="5"/>
      <c r="AU263" s="5"/>
      <c r="AV263" s="12" t="str">
        <f t="shared" ca="1" si="54"/>
        <v>NA</v>
      </c>
      <c r="AW263" s="12" t="str">
        <f t="shared" ca="1" si="55"/>
        <v>NA</v>
      </c>
      <c r="AX263" s="12" t="str">
        <f t="shared" ca="1" si="56"/>
        <v>NA</v>
      </c>
      <c r="AY263" s="24"/>
      <c r="AZ263" s="5"/>
      <c r="BA263" s="18"/>
      <c r="BB263" s="12" t="str">
        <f t="shared" ca="1" si="57"/>
        <v>NA</v>
      </c>
      <c r="BC263" s="12" t="str">
        <f t="shared" ca="1" si="58"/>
        <v>NA</v>
      </c>
      <c r="BD263" s="12" t="str">
        <f t="shared" ca="1" si="59"/>
        <v>NA</v>
      </c>
      <c r="BE263" s="5"/>
      <c r="BF263" s="5"/>
      <c r="BG263" s="5"/>
      <c r="BH263" s="12" t="str">
        <f t="shared" ca="1" si="60"/>
        <v>NA</v>
      </c>
      <c r="BI263" s="12" t="str">
        <f t="shared" ca="1" si="61"/>
        <v>NA</v>
      </c>
      <c r="BJ263" s="12" t="str">
        <f t="shared" ca="1" si="62"/>
        <v>NA</v>
      </c>
      <c r="BK263" s="5"/>
      <c r="BL263" s="5"/>
      <c r="BM263" s="12" t="str">
        <f t="shared" ca="1" si="63"/>
        <v>NA</v>
      </c>
      <c r="BN263" s="12" t="str">
        <f t="shared" ca="1" si="64"/>
        <v>NA</v>
      </c>
      <c r="BO263" s="12" t="str">
        <f t="shared" ca="1" si="65"/>
        <v>NA</v>
      </c>
      <c r="BP263" s="5"/>
      <c r="BQ263" s="5"/>
      <c r="BR263" s="5"/>
      <c r="BS263" s="12" t="str">
        <f t="shared" ca="1" si="66"/>
        <v>NA</v>
      </c>
      <c r="BT263" s="12" t="str">
        <f t="shared" ca="1" si="67"/>
        <v>NA</v>
      </c>
      <c r="BU263" s="12" t="str">
        <f t="shared" ca="1" si="68"/>
        <v>NA</v>
      </c>
      <c r="BV263" s="5"/>
      <c r="BW263" s="5"/>
      <c r="BX263" s="12" t="str">
        <f t="shared" ca="1" si="69"/>
        <v>NA</v>
      </c>
      <c r="BY263" s="12" t="str">
        <f t="shared" ca="1" si="70"/>
        <v>NA</v>
      </c>
      <c r="BZ263" s="12" t="str">
        <f t="shared" ca="1" si="71"/>
        <v>NA</v>
      </c>
      <c r="CA263" s="5"/>
    </row>
    <row r="264" spans="1:79" ht="12.75" customHeight="1" x14ac:dyDescent="0.15">
      <c r="A264" s="25">
        <v>2713</v>
      </c>
      <c r="B264" s="5" t="s">
        <v>852</v>
      </c>
      <c r="C264" s="5" t="s">
        <v>852</v>
      </c>
      <c r="D264" s="26" t="s">
        <v>1396</v>
      </c>
      <c r="E264" s="26" t="s">
        <v>1397</v>
      </c>
      <c r="F264" s="26" t="s">
        <v>1398</v>
      </c>
      <c r="G264" s="8" t="s">
        <v>856</v>
      </c>
      <c r="H264" s="6" t="s">
        <v>1399</v>
      </c>
      <c r="I264" s="8">
        <v>2707</v>
      </c>
      <c r="J264" s="8"/>
      <c r="K264" s="8"/>
      <c r="L264" s="8" t="s">
        <v>82</v>
      </c>
      <c r="M264" s="27">
        <v>2623</v>
      </c>
      <c r="N264" s="27">
        <v>2640</v>
      </c>
      <c r="O264" s="9">
        <v>44266</v>
      </c>
      <c r="P264" s="10" t="str">
        <f t="shared" ca="1" si="38"/>
        <v>NA</v>
      </c>
      <c r="Q264" s="5" t="str">
        <f t="shared" ca="1" si="39"/>
        <v>NA</v>
      </c>
      <c r="R264" s="5" t="str">
        <f t="shared" ca="1" si="40"/>
        <v>NA</v>
      </c>
      <c r="S264" s="7">
        <f t="shared" ca="1" si="41"/>
        <v>2021</v>
      </c>
      <c r="T264" s="7">
        <f t="shared" ca="1" si="42"/>
        <v>3</v>
      </c>
      <c r="U264" s="7">
        <f t="shared" ca="1" si="43"/>
        <v>11</v>
      </c>
      <c r="V264" s="26" t="s">
        <v>1400</v>
      </c>
      <c r="W264" s="8" t="s">
        <v>258</v>
      </c>
      <c r="X264" s="8"/>
      <c r="Y264" s="5">
        <f t="shared" ca="1" si="81"/>
        <v>0</v>
      </c>
      <c r="Z264" s="26"/>
      <c r="AA264" s="12" t="str">
        <f t="shared" ca="1" si="45"/>
        <v>NA</v>
      </c>
      <c r="AB264" s="12" t="str">
        <f t="shared" ca="1" si="46"/>
        <v>NA</v>
      </c>
      <c r="AC264" s="12" t="str">
        <f t="shared" ca="1" si="47"/>
        <v>NA</v>
      </c>
      <c r="AD264" s="26"/>
      <c r="AE264" s="5"/>
      <c r="AF264" s="26"/>
      <c r="AG264" s="5"/>
      <c r="AH264" s="12" t="str">
        <f t="shared" ca="1" si="48"/>
        <v>NA</v>
      </c>
      <c r="AI264" s="12" t="str">
        <f t="shared" ca="1" si="49"/>
        <v>NA</v>
      </c>
      <c r="AJ264" s="12" t="str">
        <f t="shared" ca="1" si="50"/>
        <v>NA</v>
      </c>
      <c r="AK264" s="5"/>
      <c r="AL264" s="5"/>
      <c r="AM264" s="5"/>
      <c r="AN264" s="5"/>
      <c r="AO264" s="5"/>
      <c r="AP264" s="12" t="str">
        <f t="shared" ca="1" si="51"/>
        <v>NA</v>
      </c>
      <c r="AQ264" s="12" t="str">
        <f t="shared" ca="1" si="52"/>
        <v>NA</v>
      </c>
      <c r="AR264" s="12" t="str">
        <f t="shared" ca="1" si="53"/>
        <v>NA</v>
      </c>
      <c r="AS264" s="5"/>
      <c r="AT264" s="5"/>
      <c r="AU264" s="5"/>
      <c r="AV264" s="12" t="str">
        <f t="shared" ca="1" si="54"/>
        <v>NA</v>
      </c>
      <c r="AW264" s="12" t="str">
        <f t="shared" ca="1" si="55"/>
        <v>NA</v>
      </c>
      <c r="AX264" s="12" t="str">
        <f t="shared" ca="1" si="56"/>
        <v>NA</v>
      </c>
      <c r="AY264" s="5"/>
      <c r="AZ264" s="5"/>
      <c r="BA264" s="5"/>
      <c r="BB264" s="12" t="str">
        <f t="shared" ca="1" si="57"/>
        <v>NA</v>
      </c>
      <c r="BC264" s="12" t="str">
        <f t="shared" ca="1" si="58"/>
        <v>NA</v>
      </c>
      <c r="BD264" s="12" t="str">
        <f t="shared" ca="1" si="59"/>
        <v>NA</v>
      </c>
      <c r="BE264" s="5"/>
      <c r="BF264" s="5"/>
      <c r="BG264" s="5"/>
      <c r="BH264" s="12" t="str">
        <f t="shared" ca="1" si="60"/>
        <v>NA</v>
      </c>
      <c r="BI264" s="12" t="str">
        <f t="shared" ca="1" si="61"/>
        <v>NA</v>
      </c>
      <c r="BJ264" s="12" t="str">
        <f t="shared" ca="1" si="62"/>
        <v>NA</v>
      </c>
      <c r="BK264" s="5"/>
      <c r="BL264" s="5"/>
      <c r="BM264" s="12" t="str">
        <f t="shared" ca="1" si="63"/>
        <v>NA</v>
      </c>
      <c r="BN264" s="12" t="str">
        <f t="shared" ca="1" si="64"/>
        <v>NA</v>
      </c>
      <c r="BO264" s="12" t="str">
        <f t="shared" ca="1" si="65"/>
        <v>NA</v>
      </c>
      <c r="BP264" s="5"/>
      <c r="BQ264" s="5"/>
      <c r="BR264" s="5"/>
      <c r="BS264" s="12" t="str">
        <f t="shared" ca="1" si="66"/>
        <v>NA</v>
      </c>
      <c r="BT264" s="12" t="str">
        <f t="shared" ca="1" si="67"/>
        <v>NA</v>
      </c>
      <c r="BU264" s="12" t="str">
        <f t="shared" ca="1" si="68"/>
        <v>NA</v>
      </c>
      <c r="BV264" s="5"/>
      <c r="BW264" s="5"/>
      <c r="BX264" s="12" t="str">
        <f t="shared" ca="1" si="69"/>
        <v>NA</v>
      </c>
      <c r="BY264" s="12" t="str">
        <f t="shared" ca="1" si="70"/>
        <v>NA</v>
      </c>
      <c r="BZ264" s="12" t="str">
        <f t="shared" ca="1" si="71"/>
        <v>NA</v>
      </c>
      <c r="CA264" s="5"/>
    </row>
    <row r="265" spans="1:79" ht="12.75" customHeight="1" x14ac:dyDescent="0.15">
      <c r="A265" s="4">
        <v>2678</v>
      </c>
      <c r="B265" s="5" t="s">
        <v>79</v>
      </c>
      <c r="C265" s="5" t="s">
        <v>79</v>
      </c>
      <c r="D265" s="6" t="s">
        <v>1401</v>
      </c>
      <c r="E265" s="7">
        <v>266</v>
      </c>
      <c r="F265" s="6" t="s">
        <v>1402</v>
      </c>
      <c r="G265" s="8"/>
      <c r="H265" s="8"/>
      <c r="I265" s="8"/>
      <c r="J265" s="8"/>
      <c r="K265" s="8"/>
      <c r="L265" s="8" t="s">
        <v>82</v>
      </c>
      <c r="M265" s="7">
        <v>2496</v>
      </c>
      <c r="N265" s="7">
        <v>2502</v>
      </c>
      <c r="O265" s="13">
        <v>42753</v>
      </c>
      <c r="P265" s="10">
        <f t="shared" ca="1" si="38"/>
        <v>2.7777777777777779E-3</v>
      </c>
      <c r="Q265" s="5">
        <f t="shared" ca="1" si="39"/>
        <v>0</v>
      </c>
      <c r="R265" s="5">
        <f t="shared" ca="1" si="40"/>
        <v>1</v>
      </c>
      <c r="S265" s="7">
        <f t="shared" ca="1" si="41"/>
        <v>2017</v>
      </c>
      <c r="T265" s="7">
        <f t="shared" ca="1" si="42"/>
        <v>1</v>
      </c>
      <c r="U265" s="7">
        <f t="shared" ca="1" si="43"/>
        <v>18</v>
      </c>
      <c r="V265" s="6" t="s">
        <v>1403</v>
      </c>
      <c r="W265" s="14" t="s">
        <v>96</v>
      </c>
      <c r="X265" s="15"/>
      <c r="Y265" s="5">
        <f t="shared" ref="Y265:Y266" ca="1" si="82">COUNT(AP265,AV265,BB265,BH265,BM265,BS267,BX267)</f>
        <v>0</v>
      </c>
      <c r="Z265" s="6"/>
      <c r="AA265" s="12" t="str">
        <f t="shared" ca="1" si="45"/>
        <v>NA</v>
      </c>
      <c r="AB265" s="12" t="str">
        <f t="shared" ca="1" si="46"/>
        <v>NA</v>
      </c>
      <c r="AC265" s="12" t="str">
        <f t="shared" ca="1" si="47"/>
        <v>NA</v>
      </c>
      <c r="AD265" s="6"/>
      <c r="AE265" s="5"/>
      <c r="AF265" s="6"/>
      <c r="AG265" s="11">
        <v>42754</v>
      </c>
      <c r="AH265" s="12">
        <f t="shared" ca="1" si="48"/>
        <v>2017</v>
      </c>
      <c r="AI265" s="12">
        <f t="shared" ca="1" si="49"/>
        <v>1</v>
      </c>
      <c r="AJ265" s="12">
        <f t="shared" ca="1" si="50"/>
        <v>19</v>
      </c>
      <c r="AK265" s="8" t="s">
        <v>1404</v>
      </c>
      <c r="AL265" s="8"/>
      <c r="AM265" s="5"/>
      <c r="AN265" s="5"/>
      <c r="AO265" s="5"/>
      <c r="AP265" s="12" t="str">
        <f t="shared" ca="1" si="51"/>
        <v>NA</v>
      </c>
      <c r="AQ265" s="12" t="str">
        <f t="shared" ca="1" si="52"/>
        <v>NA</v>
      </c>
      <c r="AR265" s="12" t="str">
        <f t="shared" ca="1" si="53"/>
        <v>NA</v>
      </c>
      <c r="AS265" s="5"/>
      <c r="AT265" s="5"/>
      <c r="AU265" s="5"/>
      <c r="AV265" s="12" t="str">
        <f t="shared" ca="1" si="54"/>
        <v>NA</v>
      </c>
      <c r="AW265" s="12" t="str">
        <f t="shared" ca="1" si="55"/>
        <v>NA</v>
      </c>
      <c r="AX265" s="12" t="str">
        <f t="shared" ca="1" si="56"/>
        <v>NA</v>
      </c>
      <c r="AY265" s="5"/>
      <c r="AZ265" s="5"/>
      <c r="BA265" s="6"/>
      <c r="BB265" s="12" t="str">
        <f t="shared" ca="1" si="57"/>
        <v>NA</v>
      </c>
      <c r="BC265" s="12" t="str">
        <f t="shared" ca="1" si="58"/>
        <v>NA</v>
      </c>
      <c r="BD265" s="12" t="str">
        <f t="shared" ca="1" si="59"/>
        <v>NA</v>
      </c>
      <c r="BE265" s="5"/>
      <c r="BF265" s="5"/>
      <c r="BG265" s="5"/>
      <c r="BH265" s="12" t="str">
        <f t="shared" ca="1" si="60"/>
        <v>NA</v>
      </c>
      <c r="BI265" s="12" t="str">
        <f t="shared" ca="1" si="61"/>
        <v>NA</v>
      </c>
      <c r="BJ265" s="12" t="str">
        <f t="shared" ca="1" si="62"/>
        <v>NA</v>
      </c>
      <c r="BK265" s="5"/>
      <c r="BL265" s="5"/>
      <c r="BM265" s="12" t="str">
        <f t="shared" ca="1" si="63"/>
        <v>NA</v>
      </c>
      <c r="BN265" s="12" t="str">
        <f t="shared" ca="1" si="64"/>
        <v>NA</v>
      </c>
      <c r="BO265" s="12" t="str">
        <f t="shared" ca="1" si="65"/>
        <v>NA</v>
      </c>
      <c r="BP265" s="5"/>
      <c r="BQ265" s="5"/>
      <c r="BR265" s="5"/>
      <c r="BS265" s="12" t="str">
        <f t="shared" ca="1" si="66"/>
        <v>NA</v>
      </c>
      <c r="BT265" s="12" t="str">
        <f t="shared" ca="1" si="67"/>
        <v>NA</v>
      </c>
      <c r="BU265" s="12" t="str">
        <f t="shared" ca="1" si="68"/>
        <v>NA</v>
      </c>
      <c r="BV265" s="5"/>
      <c r="BW265" s="5"/>
      <c r="BX265" s="12" t="str">
        <f t="shared" ca="1" si="69"/>
        <v>NA</v>
      </c>
      <c r="BY265" s="12" t="str">
        <f t="shared" ca="1" si="70"/>
        <v>NA</v>
      </c>
      <c r="BZ265" s="12" t="str">
        <f t="shared" ca="1" si="71"/>
        <v>NA</v>
      </c>
      <c r="CA265" s="5"/>
    </row>
    <row r="266" spans="1:79" ht="12.75" customHeight="1" x14ac:dyDescent="0.15">
      <c r="A266" s="4">
        <v>2679</v>
      </c>
      <c r="B266" s="5" t="s">
        <v>79</v>
      </c>
      <c r="C266" s="5" t="s">
        <v>79</v>
      </c>
      <c r="D266" s="6" t="s">
        <v>1405</v>
      </c>
      <c r="E266" s="7">
        <v>100503</v>
      </c>
      <c r="F266" s="6" t="s">
        <v>1406</v>
      </c>
      <c r="G266" s="8"/>
      <c r="H266" s="8"/>
      <c r="I266" s="8"/>
      <c r="J266" s="8"/>
      <c r="K266" s="8"/>
      <c r="L266" s="8" t="s">
        <v>82</v>
      </c>
      <c r="M266" s="7">
        <v>2639</v>
      </c>
      <c r="N266" s="7">
        <v>2642</v>
      </c>
      <c r="O266" s="13">
        <v>42771</v>
      </c>
      <c r="P266" s="10" t="str">
        <f t="shared" ca="1" si="38"/>
        <v>NA</v>
      </c>
      <c r="Q266" s="5" t="str">
        <f t="shared" ca="1" si="39"/>
        <v>NA</v>
      </c>
      <c r="R266" s="5" t="str">
        <f t="shared" ca="1" si="40"/>
        <v>NA</v>
      </c>
      <c r="S266" s="7">
        <f t="shared" ca="1" si="41"/>
        <v>2017</v>
      </c>
      <c r="T266" s="7">
        <f t="shared" ca="1" si="42"/>
        <v>2</v>
      </c>
      <c r="U266" s="7">
        <f t="shared" ca="1" si="43"/>
        <v>5</v>
      </c>
      <c r="V266" s="6" t="s">
        <v>1407</v>
      </c>
      <c r="W266" s="14" t="s">
        <v>96</v>
      </c>
      <c r="X266" s="15"/>
      <c r="Y266" s="5">
        <f t="shared" ca="1" si="82"/>
        <v>1</v>
      </c>
      <c r="Z266" s="6"/>
      <c r="AA266" s="12" t="str">
        <f t="shared" ca="1" si="45"/>
        <v>NA</v>
      </c>
      <c r="AB266" s="12" t="str">
        <f t="shared" ca="1" si="46"/>
        <v>NA</v>
      </c>
      <c r="AC266" s="12" t="str">
        <f t="shared" ca="1" si="47"/>
        <v>NA</v>
      </c>
      <c r="AD266" s="6"/>
      <c r="AE266" s="5"/>
      <c r="AF266" s="6"/>
      <c r="AG266" s="5"/>
      <c r="AH266" s="12" t="str">
        <f t="shared" ca="1" si="48"/>
        <v>NA</v>
      </c>
      <c r="AI266" s="12" t="str">
        <f t="shared" ca="1" si="49"/>
        <v>NA</v>
      </c>
      <c r="AJ266" s="12" t="str">
        <f t="shared" ca="1" si="50"/>
        <v>NA</v>
      </c>
      <c r="AK266" s="5"/>
      <c r="AL266" s="5"/>
      <c r="AM266" s="5"/>
      <c r="AN266" s="5"/>
      <c r="AO266" s="11">
        <v>43657</v>
      </c>
      <c r="AP266" s="12">
        <f t="shared" ca="1" si="51"/>
        <v>2019</v>
      </c>
      <c r="AQ266" s="12">
        <f t="shared" ca="1" si="52"/>
        <v>7</v>
      </c>
      <c r="AR266" s="12">
        <f t="shared" ca="1" si="53"/>
        <v>11</v>
      </c>
      <c r="AS266" s="8" t="s">
        <v>1408</v>
      </c>
      <c r="AT266" s="8"/>
      <c r="AU266" s="5"/>
      <c r="AV266" s="12" t="str">
        <f t="shared" ca="1" si="54"/>
        <v>NA</v>
      </c>
      <c r="AW266" s="12" t="str">
        <f t="shared" ca="1" si="55"/>
        <v>NA</v>
      </c>
      <c r="AX266" s="12" t="str">
        <f t="shared" ca="1" si="56"/>
        <v>NA</v>
      </c>
      <c r="AY266" s="5"/>
      <c r="AZ266" s="5"/>
      <c r="BA266" s="6"/>
      <c r="BB266" s="12" t="str">
        <f t="shared" ca="1" si="57"/>
        <v>NA</v>
      </c>
      <c r="BC266" s="12" t="str">
        <f t="shared" ca="1" si="58"/>
        <v>NA</v>
      </c>
      <c r="BD266" s="12" t="str">
        <f t="shared" ca="1" si="59"/>
        <v>NA</v>
      </c>
      <c r="BE266" s="5"/>
      <c r="BF266" s="5"/>
      <c r="BG266" s="5"/>
      <c r="BH266" s="12" t="str">
        <f t="shared" ca="1" si="60"/>
        <v>NA</v>
      </c>
      <c r="BI266" s="12" t="str">
        <f t="shared" ca="1" si="61"/>
        <v>NA</v>
      </c>
      <c r="BJ266" s="12" t="str">
        <f t="shared" ca="1" si="62"/>
        <v>NA</v>
      </c>
      <c r="BK266" s="5"/>
      <c r="BL266" s="5"/>
      <c r="BM266" s="12" t="str">
        <f t="shared" ca="1" si="63"/>
        <v>NA</v>
      </c>
      <c r="BN266" s="12" t="str">
        <f t="shared" ca="1" si="64"/>
        <v>NA</v>
      </c>
      <c r="BO266" s="12" t="str">
        <f t="shared" ca="1" si="65"/>
        <v>NA</v>
      </c>
      <c r="BP266" s="5"/>
      <c r="BQ266" s="5"/>
      <c r="BR266" s="5"/>
      <c r="BS266" s="12" t="str">
        <f t="shared" ca="1" si="66"/>
        <v>NA</v>
      </c>
      <c r="BT266" s="12" t="str">
        <f t="shared" ca="1" si="67"/>
        <v>NA</v>
      </c>
      <c r="BU266" s="12" t="str">
        <f t="shared" ca="1" si="68"/>
        <v>NA</v>
      </c>
      <c r="BV266" s="5"/>
      <c r="BW266" s="5"/>
      <c r="BX266" s="12" t="str">
        <f t="shared" ca="1" si="69"/>
        <v>NA</v>
      </c>
      <c r="BY266" s="12" t="str">
        <f t="shared" ca="1" si="70"/>
        <v>NA</v>
      </c>
      <c r="BZ266" s="12" t="str">
        <f t="shared" ca="1" si="71"/>
        <v>NA</v>
      </c>
      <c r="CA266" s="5"/>
    </row>
    <row r="267" spans="1:79" ht="12.75" customHeight="1" x14ac:dyDescent="0.15">
      <c r="A267" s="4">
        <v>2708</v>
      </c>
      <c r="B267" s="5" t="s">
        <v>852</v>
      </c>
      <c r="C267" s="5" t="s">
        <v>852</v>
      </c>
      <c r="D267" s="8" t="s">
        <v>1409</v>
      </c>
      <c r="E267" s="7">
        <v>9546</v>
      </c>
      <c r="F267" s="6" t="s">
        <v>1410</v>
      </c>
      <c r="G267" s="8" t="s">
        <v>1077</v>
      </c>
      <c r="H267" s="8" t="s">
        <v>1409</v>
      </c>
      <c r="I267" s="8">
        <v>2715</v>
      </c>
      <c r="J267" s="8"/>
      <c r="K267" s="8"/>
      <c r="L267" s="8" t="s">
        <v>82</v>
      </c>
      <c r="M267" s="7">
        <v>2631</v>
      </c>
      <c r="N267" s="7">
        <v>2626</v>
      </c>
      <c r="O267" s="13">
        <v>44069</v>
      </c>
      <c r="P267" s="10" t="str">
        <f t="shared" ca="1" si="38"/>
        <v>NA</v>
      </c>
      <c r="Q267" s="5" t="str">
        <f t="shared" ca="1" si="39"/>
        <v>NA</v>
      </c>
      <c r="R267" s="5" t="str">
        <f t="shared" ca="1" si="40"/>
        <v>NA</v>
      </c>
      <c r="S267" s="7">
        <f t="shared" ca="1" si="41"/>
        <v>2020</v>
      </c>
      <c r="T267" s="7">
        <f t="shared" ca="1" si="42"/>
        <v>8</v>
      </c>
      <c r="U267" s="7">
        <f t="shared" ca="1" si="43"/>
        <v>26</v>
      </c>
      <c r="V267" s="6" t="s">
        <v>1411</v>
      </c>
      <c r="W267" s="14" t="s">
        <v>96</v>
      </c>
      <c r="X267" s="15"/>
      <c r="Y267" s="5">
        <f ca="1">COUNT(AP267,AV267,BB267,BH267,BM267,BS268,BX268)</f>
        <v>0</v>
      </c>
      <c r="Z267" s="6"/>
      <c r="AA267" s="12" t="str">
        <f t="shared" ca="1" si="45"/>
        <v>NA</v>
      </c>
      <c r="AB267" s="12" t="str">
        <f t="shared" ca="1" si="46"/>
        <v>NA</v>
      </c>
      <c r="AC267" s="12" t="str">
        <f t="shared" ca="1" si="47"/>
        <v>NA</v>
      </c>
      <c r="AD267" s="6"/>
      <c r="AE267" s="5"/>
      <c r="AF267" s="6"/>
      <c r="AG267" s="5"/>
      <c r="AH267" s="12" t="str">
        <f t="shared" ca="1" si="48"/>
        <v>NA</v>
      </c>
      <c r="AI267" s="12" t="str">
        <f t="shared" ca="1" si="49"/>
        <v>NA</v>
      </c>
      <c r="AJ267" s="12" t="str">
        <f t="shared" ca="1" si="50"/>
        <v>NA</v>
      </c>
      <c r="AK267" s="5"/>
      <c r="AL267" s="5"/>
      <c r="AM267" s="5"/>
      <c r="AN267" s="5"/>
      <c r="AO267" s="5"/>
      <c r="AP267" s="12" t="str">
        <f t="shared" ca="1" si="51"/>
        <v>NA</v>
      </c>
      <c r="AQ267" s="12" t="str">
        <f t="shared" ca="1" si="52"/>
        <v>NA</v>
      </c>
      <c r="AR267" s="12" t="str">
        <f t="shared" ca="1" si="53"/>
        <v>NA</v>
      </c>
      <c r="AS267" s="8" t="s">
        <v>1409</v>
      </c>
      <c r="AT267" s="5"/>
      <c r="AU267" s="5"/>
      <c r="AV267" s="12" t="str">
        <f t="shared" ca="1" si="54"/>
        <v>NA</v>
      </c>
      <c r="AW267" s="12" t="str">
        <f t="shared" ca="1" si="55"/>
        <v>NA</v>
      </c>
      <c r="AX267" s="12" t="str">
        <f t="shared" ca="1" si="56"/>
        <v>NA</v>
      </c>
      <c r="AY267" s="24"/>
      <c r="AZ267" s="5"/>
      <c r="BA267" s="18"/>
      <c r="BB267" s="12" t="str">
        <f t="shared" ca="1" si="57"/>
        <v>NA</v>
      </c>
      <c r="BC267" s="12" t="str">
        <f t="shared" ca="1" si="58"/>
        <v>NA</v>
      </c>
      <c r="BD267" s="12" t="str">
        <f t="shared" ca="1" si="59"/>
        <v>NA</v>
      </c>
      <c r="BE267" s="5"/>
      <c r="BF267" s="5"/>
      <c r="BG267" s="5"/>
      <c r="BH267" s="12" t="str">
        <f t="shared" ca="1" si="60"/>
        <v>NA</v>
      </c>
      <c r="BI267" s="12" t="str">
        <f t="shared" ca="1" si="61"/>
        <v>NA</v>
      </c>
      <c r="BJ267" s="12" t="str">
        <f t="shared" ca="1" si="62"/>
        <v>NA</v>
      </c>
      <c r="BK267" s="5"/>
      <c r="BL267" s="5"/>
      <c r="BM267" s="12" t="str">
        <f t="shared" ca="1" si="63"/>
        <v>NA</v>
      </c>
      <c r="BN267" s="12" t="str">
        <f t="shared" ca="1" si="64"/>
        <v>NA</v>
      </c>
      <c r="BO267" s="12" t="str">
        <f t="shared" ca="1" si="65"/>
        <v>NA</v>
      </c>
      <c r="BP267" s="5"/>
      <c r="BQ267" s="5"/>
      <c r="BR267" s="5"/>
      <c r="BS267" s="12" t="str">
        <f t="shared" ca="1" si="66"/>
        <v>NA</v>
      </c>
      <c r="BT267" s="12" t="str">
        <f t="shared" ca="1" si="67"/>
        <v>NA</v>
      </c>
      <c r="BU267" s="12" t="str">
        <f t="shared" ca="1" si="68"/>
        <v>NA</v>
      </c>
      <c r="BV267" s="5"/>
      <c r="BW267" s="5"/>
      <c r="BX267" s="12" t="str">
        <f t="shared" ca="1" si="69"/>
        <v>NA</v>
      </c>
      <c r="BY267" s="12" t="str">
        <f t="shared" ca="1" si="70"/>
        <v>NA</v>
      </c>
      <c r="BZ267" s="12" t="str">
        <f t="shared" ca="1" si="71"/>
        <v>NA</v>
      </c>
      <c r="CA267" s="5"/>
    </row>
    <row r="268" spans="1:79" ht="12.75" customHeight="1" x14ac:dyDescent="0.15">
      <c r="A268" s="4">
        <v>2680</v>
      </c>
      <c r="B268" s="5" t="s">
        <v>79</v>
      </c>
      <c r="C268" s="5" t="s">
        <v>79</v>
      </c>
      <c r="D268" s="6" t="s">
        <v>1412</v>
      </c>
      <c r="E268" s="7">
        <v>217010</v>
      </c>
      <c r="F268" s="6" t="s">
        <v>1413</v>
      </c>
      <c r="G268" s="8"/>
      <c r="H268" s="8"/>
      <c r="I268" s="8"/>
      <c r="J268" s="8"/>
      <c r="K268" s="8"/>
      <c r="L268" s="8" t="s">
        <v>82</v>
      </c>
      <c r="M268" s="7">
        <v>2639</v>
      </c>
      <c r="N268" s="7">
        <v>2642</v>
      </c>
      <c r="O268" s="13">
        <v>42771</v>
      </c>
      <c r="P268" s="10">
        <f t="shared" ca="1" si="38"/>
        <v>0</v>
      </c>
      <c r="Q268" s="5">
        <f t="shared" ca="1" si="39"/>
        <v>0</v>
      </c>
      <c r="R268" s="5">
        <f t="shared" ca="1" si="40"/>
        <v>0</v>
      </c>
      <c r="S268" s="7">
        <f t="shared" ca="1" si="41"/>
        <v>2017</v>
      </c>
      <c r="T268" s="7">
        <f t="shared" ca="1" si="42"/>
        <v>2</v>
      </c>
      <c r="U268" s="7">
        <f t="shared" ca="1" si="43"/>
        <v>5</v>
      </c>
      <c r="V268" s="6" t="s">
        <v>1414</v>
      </c>
      <c r="W268" s="14" t="s">
        <v>96</v>
      </c>
      <c r="X268" s="15"/>
      <c r="Y268" s="5">
        <f t="shared" ref="Y268:Y269" ca="1" si="83">COUNT(AP268,AV268,BB268,BH268,BM268,BS270,BX270)</f>
        <v>0</v>
      </c>
      <c r="Z268" s="6"/>
      <c r="AA268" s="12" t="str">
        <f t="shared" ca="1" si="45"/>
        <v>NA</v>
      </c>
      <c r="AB268" s="12" t="str">
        <f t="shared" ca="1" si="46"/>
        <v>NA</v>
      </c>
      <c r="AC268" s="12" t="str">
        <f t="shared" ca="1" si="47"/>
        <v>NA</v>
      </c>
      <c r="AD268" s="6"/>
      <c r="AE268" s="5"/>
      <c r="AF268" s="6"/>
      <c r="AG268" s="11">
        <v>42771</v>
      </c>
      <c r="AH268" s="12">
        <f t="shared" ca="1" si="48"/>
        <v>2017</v>
      </c>
      <c r="AI268" s="12">
        <f t="shared" ca="1" si="49"/>
        <v>2</v>
      </c>
      <c r="AJ268" s="12">
        <f t="shared" ca="1" si="50"/>
        <v>5</v>
      </c>
      <c r="AK268" s="8" t="s">
        <v>1415</v>
      </c>
      <c r="AL268" s="8"/>
      <c r="AM268" s="5"/>
      <c r="AN268" s="5"/>
      <c r="AO268" s="5"/>
      <c r="AP268" s="12" t="str">
        <f t="shared" ca="1" si="51"/>
        <v>NA</v>
      </c>
      <c r="AQ268" s="12" t="str">
        <f t="shared" ca="1" si="52"/>
        <v>NA</v>
      </c>
      <c r="AR268" s="12" t="str">
        <f t="shared" ca="1" si="53"/>
        <v>NA</v>
      </c>
      <c r="AS268" s="5"/>
      <c r="AT268" s="5"/>
      <c r="AU268" s="5"/>
      <c r="AV268" s="12" t="str">
        <f t="shared" ca="1" si="54"/>
        <v>NA</v>
      </c>
      <c r="AW268" s="12" t="str">
        <f t="shared" ca="1" si="55"/>
        <v>NA</v>
      </c>
      <c r="AX268" s="12" t="str">
        <f t="shared" ca="1" si="56"/>
        <v>NA</v>
      </c>
      <c r="AY268" s="5"/>
      <c r="AZ268" s="5"/>
      <c r="BA268" s="6"/>
      <c r="BB268" s="12" t="str">
        <f t="shared" ca="1" si="57"/>
        <v>NA</v>
      </c>
      <c r="BC268" s="12" t="str">
        <f t="shared" ca="1" si="58"/>
        <v>NA</v>
      </c>
      <c r="BD268" s="12" t="str">
        <f t="shared" ca="1" si="59"/>
        <v>NA</v>
      </c>
      <c r="BE268" s="5"/>
      <c r="BF268" s="5"/>
      <c r="BG268" s="5"/>
      <c r="BH268" s="12" t="str">
        <f t="shared" ca="1" si="60"/>
        <v>NA</v>
      </c>
      <c r="BI268" s="12" t="str">
        <f t="shared" ca="1" si="61"/>
        <v>NA</v>
      </c>
      <c r="BJ268" s="12" t="str">
        <f t="shared" ca="1" si="62"/>
        <v>NA</v>
      </c>
      <c r="BK268" s="5"/>
      <c r="BL268" s="5"/>
      <c r="BM268" s="12" t="str">
        <f t="shared" ca="1" si="63"/>
        <v>NA</v>
      </c>
      <c r="BN268" s="12" t="str">
        <f t="shared" ca="1" si="64"/>
        <v>NA</v>
      </c>
      <c r="BO268" s="12" t="str">
        <f t="shared" ca="1" si="65"/>
        <v>NA</v>
      </c>
      <c r="BP268" s="5"/>
      <c r="BQ268" s="5"/>
      <c r="BR268" s="5"/>
      <c r="BS268" s="12" t="str">
        <f t="shared" ca="1" si="66"/>
        <v>NA</v>
      </c>
      <c r="BT268" s="12" t="str">
        <f t="shared" ca="1" si="67"/>
        <v>NA</v>
      </c>
      <c r="BU268" s="12" t="str">
        <f t="shared" ca="1" si="68"/>
        <v>NA</v>
      </c>
      <c r="BV268" s="5"/>
      <c r="BW268" s="5"/>
      <c r="BX268" s="12" t="str">
        <f t="shared" ca="1" si="69"/>
        <v>NA</v>
      </c>
      <c r="BY268" s="12" t="str">
        <f t="shared" ca="1" si="70"/>
        <v>NA</v>
      </c>
      <c r="BZ268" s="12" t="str">
        <f t="shared" ca="1" si="71"/>
        <v>NA</v>
      </c>
      <c r="CA268" s="5"/>
    </row>
    <row r="269" spans="1:79" ht="12.75" customHeight="1" x14ac:dyDescent="0.15">
      <c r="A269" s="4">
        <v>2681</v>
      </c>
      <c r="B269" s="5" t="s">
        <v>79</v>
      </c>
      <c r="C269" s="5" t="s">
        <v>79</v>
      </c>
      <c r="D269" s="6" t="s">
        <v>1416</v>
      </c>
      <c r="E269" s="7">
        <v>23782</v>
      </c>
      <c r="F269" s="6" t="s">
        <v>1417</v>
      </c>
      <c r="G269" s="8"/>
      <c r="H269" s="8"/>
      <c r="I269" s="8"/>
      <c r="J269" s="8"/>
      <c r="K269" s="8"/>
      <c r="L269" s="8" t="s">
        <v>82</v>
      </c>
      <c r="M269" s="7">
        <v>2646</v>
      </c>
      <c r="N269" s="7">
        <v>2637</v>
      </c>
      <c r="O269" s="13">
        <v>42795</v>
      </c>
      <c r="P269" s="10">
        <f t="shared" ca="1" si="38"/>
        <v>7.4999999999999997E-2</v>
      </c>
      <c r="Q269" s="5">
        <f t="shared" ca="1" si="39"/>
        <v>0</v>
      </c>
      <c r="R269" s="5">
        <f t="shared" ca="1" si="40"/>
        <v>27</v>
      </c>
      <c r="S269" s="7">
        <f t="shared" ca="1" si="41"/>
        <v>2017</v>
      </c>
      <c r="T269" s="7">
        <f t="shared" ca="1" si="42"/>
        <v>3</v>
      </c>
      <c r="U269" s="7">
        <f t="shared" ca="1" si="43"/>
        <v>1</v>
      </c>
      <c r="V269" s="6" t="s">
        <v>1418</v>
      </c>
      <c r="W269" s="14" t="s">
        <v>96</v>
      </c>
      <c r="X269" s="15"/>
      <c r="Y269" s="5">
        <f t="shared" ca="1" si="83"/>
        <v>0</v>
      </c>
      <c r="Z269" s="6"/>
      <c r="AA269" s="12" t="str">
        <f t="shared" ca="1" si="45"/>
        <v>NA</v>
      </c>
      <c r="AB269" s="12" t="str">
        <f t="shared" ca="1" si="46"/>
        <v>NA</v>
      </c>
      <c r="AC269" s="12" t="str">
        <f t="shared" ca="1" si="47"/>
        <v>NA</v>
      </c>
      <c r="AD269" s="6"/>
      <c r="AE269" s="5"/>
      <c r="AF269" s="6"/>
      <c r="AG269" s="11">
        <v>42822</v>
      </c>
      <c r="AH269" s="12">
        <f t="shared" ca="1" si="48"/>
        <v>2017</v>
      </c>
      <c r="AI269" s="12">
        <f t="shared" ca="1" si="49"/>
        <v>3</v>
      </c>
      <c r="AJ269" s="12">
        <f t="shared" ca="1" si="50"/>
        <v>28</v>
      </c>
      <c r="AK269" s="8" t="s">
        <v>1419</v>
      </c>
      <c r="AL269" s="8"/>
      <c r="AM269" s="5"/>
      <c r="AN269" s="5"/>
      <c r="AO269" s="5"/>
      <c r="AP269" s="12" t="str">
        <f t="shared" ca="1" si="51"/>
        <v>NA</v>
      </c>
      <c r="AQ269" s="12" t="str">
        <f t="shared" ca="1" si="52"/>
        <v>NA</v>
      </c>
      <c r="AR269" s="12" t="str">
        <f t="shared" ca="1" si="53"/>
        <v>NA</v>
      </c>
      <c r="AS269" s="5"/>
      <c r="AT269" s="5"/>
      <c r="AU269" s="5"/>
      <c r="AV269" s="12" t="str">
        <f t="shared" ca="1" si="54"/>
        <v>NA</v>
      </c>
      <c r="AW269" s="12" t="str">
        <f t="shared" ca="1" si="55"/>
        <v>NA</v>
      </c>
      <c r="AX269" s="12" t="str">
        <f t="shared" ca="1" si="56"/>
        <v>NA</v>
      </c>
      <c r="AY269" s="5"/>
      <c r="AZ269" s="5"/>
      <c r="BA269" s="6"/>
      <c r="BB269" s="12" t="str">
        <f t="shared" ca="1" si="57"/>
        <v>NA</v>
      </c>
      <c r="BC269" s="12" t="str">
        <f t="shared" ca="1" si="58"/>
        <v>NA</v>
      </c>
      <c r="BD269" s="12" t="str">
        <f t="shared" ca="1" si="59"/>
        <v>NA</v>
      </c>
      <c r="BE269" s="5"/>
      <c r="BF269" s="5"/>
      <c r="BG269" s="5"/>
      <c r="BH269" s="12" t="str">
        <f t="shared" ca="1" si="60"/>
        <v>NA</v>
      </c>
      <c r="BI269" s="12" t="str">
        <f t="shared" ca="1" si="61"/>
        <v>NA</v>
      </c>
      <c r="BJ269" s="12" t="str">
        <f t="shared" ca="1" si="62"/>
        <v>NA</v>
      </c>
      <c r="BK269" s="5"/>
      <c r="BL269" s="5"/>
      <c r="BM269" s="12" t="str">
        <f t="shared" ca="1" si="63"/>
        <v>NA</v>
      </c>
      <c r="BN269" s="12" t="str">
        <f t="shared" ca="1" si="64"/>
        <v>NA</v>
      </c>
      <c r="BO269" s="12" t="str">
        <f t="shared" ca="1" si="65"/>
        <v>NA</v>
      </c>
      <c r="BP269" s="5"/>
      <c r="BQ269" s="5"/>
      <c r="BR269" s="5"/>
      <c r="BS269" s="12" t="str">
        <f t="shared" ca="1" si="66"/>
        <v>NA</v>
      </c>
      <c r="BT269" s="12" t="str">
        <f t="shared" ca="1" si="67"/>
        <v>NA</v>
      </c>
      <c r="BU269" s="12" t="str">
        <f t="shared" ca="1" si="68"/>
        <v>NA</v>
      </c>
      <c r="BV269" s="5"/>
      <c r="BW269" s="5"/>
      <c r="BX269" s="12" t="str">
        <f t="shared" ca="1" si="69"/>
        <v>NA</v>
      </c>
      <c r="BY269" s="12" t="str">
        <f t="shared" ca="1" si="70"/>
        <v>NA</v>
      </c>
      <c r="BZ269" s="12" t="str">
        <f t="shared" ca="1" si="71"/>
        <v>NA</v>
      </c>
      <c r="CA269" s="5"/>
    </row>
    <row r="270" spans="1:79" ht="12.75" customHeight="1" x14ac:dyDescent="0.15">
      <c r="A270" s="4">
        <v>2715</v>
      </c>
      <c r="B270" s="5" t="s">
        <v>852</v>
      </c>
      <c r="C270" s="5" t="s">
        <v>852</v>
      </c>
      <c r="D270" s="6" t="s">
        <v>1409</v>
      </c>
      <c r="E270" s="7">
        <v>7879</v>
      </c>
      <c r="F270" s="6" t="s">
        <v>1420</v>
      </c>
      <c r="G270" s="8" t="s">
        <v>1077</v>
      </c>
      <c r="H270" s="6" t="s">
        <v>1409</v>
      </c>
      <c r="I270" s="8">
        <v>2708</v>
      </c>
      <c r="J270" s="8"/>
      <c r="K270" s="8"/>
      <c r="L270" s="8" t="s">
        <v>82</v>
      </c>
      <c r="M270" s="7">
        <v>7403</v>
      </c>
      <c r="N270" s="7">
        <v>7508</v>
      </c>
      <c r="O270" s="13"/>
      <c r="P270" s="10"/>
      <c r="Q270" s="5"/>
      <c r="R270" s="5"/>
      <c r="S270" s="7"/>
      <c r="T270" s="7"/>
      <c r="U270" s="7"/>
      <c r="V270" s="6" t="s">
        <v>1095</v>
      </c>
      <c r="W270" s="14" t="s">
        <v>96</v>
      </c>
      <c r="X270" s="15"/>
      <c r="Y270" s="5"/>
      <c r="Z270" s="6"/>
      <c r="AA270" s="12"/>
      <c r="AB270" s="12"/>
      <c r="AC270" s="12"/>
      <c r="AD270" s="6"/>
      <c r="AE270" s="5"/>
      <c r="AF270" s="6"/>
      <c r="AG270" s="5"/>
      <c r="AH270" s="12"/>
      <c r="AI270" s="12"/>
      <c r="AJ270" s="12"/>
      <c r="AK270" s="5"/>
      <c r="AL270" s="5"/>
      <c r="AM270" s="5"/>
      <c r="AN270" s="5"/>
      <c r="AO270" s="11"/>
      <c r="AP270" s="12"/>
      <c r="AQ270" s="12"/>
      <c r="AR270" s="12"/>
      <c r="AS270" s="6" t="s">
        <v>1409</v>
      </c>
      <c r="AT270" s="8"/>
      <c r="AU270" s="5"/>
      <c r="AV270" s="12"/>
      <c r="AW270" s="12"/>
      <c r="AX270" s="12"/>
      <c r="AY270" s="24"/>
      <c r="AZ270" s="5"/>
      <c r="BA270" s="5"/>
      <c r="BB270" s="12"/>
      <c r="BC270" s="12"/>
      <c r="BD270" s="12"/>
      <c r="BE270" s="5"/>
      <c r="BF270" s="5"/>
      <c r="BG270" s="5"/>
      <c r="BH270" s="12"/>
      <c r="BI270" s="12"/>
      <c r="BJ270" s="12"/>
      <c r="BK270" s="5"/>
      <c r="BL270" s="5"/>
      <c r="BM270" s="12"/>
      <c r="BN270" s="12"/>
      <c r="BO270" s="12"/>
      <c r="BP270" s="5"/>
      <c r="BQ270" s="5"/>
      <c r="BR270" s="5"/>
      <c r="BS270" s="12"/>
      <c r="BT270" s="12"/>
      <c r="BU270" s="12"/>
      <c r="BV270" s="5"/>
      <c r="BW270" s="5"/>
      <c r="BX270" s="12"/>
      <c r="BY270" s="12"/>
      <c r="BZ270" s="12"/>
      <c r="CA270" s="5"/>
    </row>
    <row r="271" spans="1:79" ht="12.75" customHeight="1" x14ac:dyDescent="0.15">
      <c r="A271" s="4">
        <v>2652</v>
      </c>
      <c r="B271" s="5" t="s">
        <v>852</v>
      </c>
      <c r="C271" s="5" t="s">
        <v>852</v>
      </c>
      <c r="D271" s="6" t="s">
        <v>1421</v>
      </c>
      <c r="E271" s="7">
        <v>24485</v>
      </c>
      <c r="F271" s="6" t="s">
        <v>1422</v>
      </c>
      <c r="G271" s="8" t="s">
        <v>856</v>
      </c>
      <c r="H271" s="6" t="s">
        <v>1423</v>
      </c>
      <c r="I271" s="8">
        <v>2677</v>
      </c>
      <c r="J271" s="8"/>
      <c r="K271" s="8"/>
      <c r="L271" s="8" t="s">
        <v>82</v>
      </c>
      <c r="M271" s="7">
        <v>2408</v>
      </c>
      <c r="N271" s="7">
        <v>2418</v>
      </c>
      <c r="O271" s="13">
        <v>41507</v>
      </c>
      <c r="P271" s="10" t="str">
        <f t="shared" ref="P271:P369" ca="1" si="84">IF(AND(CELL("type", AG271)="v", CELL("type", O271)="v"), YEARFRAC(AG271,O271), "NA")</f>
        <v>NA</v>
      </c>
      <c r="Q271" s="5" t="str">
        <f t="shared" ref="Q271:Q369" ca="1" si="85">IF(AND(CELL("type", AG271)="v", CELL("type", O271)="v"), DATEDIF(O271,AG271, "m"), "NA")</f>
        <v>NA</v>
      </c>
      <c r="R271" s="5" t="str">
        <f t="shared" ref="R271:R369" ca="1" si="86">IF(AND(CELL("type", AG271)="v", CELL("type", O271)="v"), DATEDIF(O271,AG271, "d"), "NA")</f>
        <v>NA</v>
      </c>
      <c r="S271" s="7">
        <f t="shared" ref="S271:S369" ca="1" si="87">IF(CELL("type", O271)="v", YEAR(O271), "NA")</f>
        <v>2013</v>
      </c>
      <c r="T271" s="7">
        <f t="shared" ref="T271:T369" ca="1" si="88">IF(CELL("type", O271)="v", MONTH(O271), "NA")</f>
        <v>8</v>
      </c>
      <c r="U271" s="7">
        <f t="shared" ref="U271:U369" ca="1" si="89">IF(CELL("type", O271)="v", DAY(O271), "NA")</f>
        <v>21</v>
      </c>
      <c r="V271" s="6" t="s">
        <v>1424</v>
      </c>
      <c r="W271" s="14" t="s">
        <v>96</v>
      </c>
      <c r="X271" s="15"/>
      <c r="Y271" s="5">
        <f t="shared" ref="Y271:Y273" ca="1" si="90">COUNT(AP271,AV271,BB271,BH271,BM271,BS273,BX273)</f>
        <v>1</v>
      </c>
      <c r="Z271" s="6"/>
      <c r="AA271" s="12" t="str">
        <f t="shared" ref="AA271:AA369" ca="1" si="91">IF(CELL("type", Z271)="v", YEAR(Z271), "NA")</f>
        <v>NA</v>
      </c>
      <c r="AB271" s="12" t="str">
        <f t="shared" ref="AB271:AB369" ca="1" si="92">IF(CELL("type", Z271)="v", MONTH(Z271), "NA")</f>
        <v>NA</v>
      </c>
      <c r="AC271" s="12" t="str">
        <f t="shared" ref="AC271:AC369" ca="1" si="93">IF(CELL("type", Z271)="v", DAY(Z271), "NA")</f>
        <v>NA</v>
      </c>
      <c r="AD271" s="6"/>
      <c r="AE271" s="5"/>
      <c r="AF271" s="6"/>
      <c r="AG271" s="5"/>
      <c r="AH271" s="12" t="str">
        <f t="shared" ref="AH271:AH369" ca="1" si="94">IF(CELL("type", AG271)="v", YEAR(AG271), "NA")</f>
        <v>NA</v>
      </c>
      <c r="AI271" s="12" t="str">
        <f t="shared" ref="AI271:AI369" ca="1" si="95">IF(CELL("type", AG271)="v", MONTH(AG271), "NA")</f>
        <v>NA</v>
      </c>
      <c r="AJ271" s="12" t="str">
        <f t="shared" ref="AJ271:AJ369" ca="1" si="96">IF(CELL("type", AG271)="v", DAY(AG271), "NA")</f>
        <v>NA</v>
      </c>
      <c r="AK271" s="5"/>
      <c r="AL271" s="5"/>
      <c r="AM271" s="5"/>
      <c r="AN271" s="5"/>
      <c r="AO271" s="11">
        <v>42894</v>
      </c>
      <c r="AP271" s="12">
        <f t="shared" ref="AP271:AP369" ca="1" si="97">IF(CELL("type", AO271)="v", YEAR(AO271), "NA")</f>
        <v>2017</v>
      </c>
      <c r="AQ271" s="12">
        <f t="shared" ref="AQ271:AQ369" ca="1" si="98">IF(CELL("type", AO271)="v", MONTH(AO271), "NA")</f>
        <v>6</v>
      </c>
      <c r="AR271" s="12">
        <f t="shared" ref="AR271:AR369" ca="1" si="99">IF(CELL("type", AO271)="v", DAY(AO271), "NA")</f>
        <v>8</v>
      </c>
      <c r="AS271" s="8" t="s">
        <v>1425</v>
      </c>
      <c r="AT271" s="8"/>
      <c r="AU271" s="5"/>
      <c r="AV271" s="12" t="str">
        <f t="shared" ref="AV271:AV369" ca="1" si="100">IF(CELL("type", AU271)="v", YEAR(AU271), "NA")</f>
        <v>NA</v>
      </c>
      <c r="AW271" s="12" t="str">
        <f t="shared" ref="AW271:AW369" ca="1" si="101">IF(CELL("type", AU271)="v", MONTH(AU271), "NA")</f>
        <v>NA</v>
      </c>
      <c r="AX271" s="12" t="str">
        <f t="shared" ref="AX271:AX369" ca="1" si="102">IF(CELL("type", AU271)="v", DAY(AU271), "NA")</f>
        <v>NA</v>
      </c>
      <c r="AY271" s="5"/>
      <c r="AZ271" s="5"/>
      <c r="BA271" s="5"/>
      <c r="BB271" s="12" t="str">
        <f t="shared" ref="BB271:BB369" ca="1" si="103">IF(CELL("type", BA271)="v", YEAR(BA271), "NA")</f>
        <v>NA</v>
      </c>
      <c r="BC271" s="12" t="str">
        <f t="shared" ref="BC271:BC369" ca="1" si="104">IF(CELL("type", BA271)="v", MONTH(BA271), "NA")</f>
        <v>NA</v>
      </c>
      <c r="BD271" s="12" t="str">
        <f t="shared" ref="BD271:BD369" ca="1" si="105">IF(CELL("type", BA271)="v", DAY(BA271), "NA")</f>
        <v>NA</v>
      </c>
      <c r="BE271" s="5"/>
      <c r="BF271" s="5"/>
      <c r="BG271" s="5"/>
      <c r="BH271" s="12" t="str">
        <f t="shared" ref="BH271:BH369" ca="1" si="106">IF(CELL("type", BG271)="v", YEAR(BG271), "NA")</f>
        <v>NA</v>
      </c>
      <c r="BI271" s="12" t="str">
        <f t="shared" ref="BI271:BI369" ca="1" si="107">IF(CELL("type", BG271)="v", MONTH(BG271), "NA")</f>
        <v>NA</v>
      </c>
      <c r="BJ271" s="12" t="str">
        <f t="shared" ref="BJ271:BJ369" ca="1" si="108">IF(CELL("type", BG271)="v", DAY(BG271), "NA")</f>
        <v>NA</v>
      </c>
      <c r="BK271" s="5"/>
      <c r="BL271" s="5"/>
      <c r="BM271" s="12" t="str">
        <f t="shared" ref="BM271:BM369" ca="1" si="109">IF(CELL("type", BL271)="v", YEAR(BL271), "NA")</f>
        <v>NA</v>
      </c>
      <c r="BN271" s="12" t="str">
        <f t="shared" ref="BN271:BN369" ca="1" si="110">IF(CELL("type", BL271)="v", MONTH(BL271), "NA")</f>
        <v>NA</v>
      </c>
      <c r="BO271" s="12" t="str">
        <f t="shared" ref="BO271:BO369" ca="1" si="111">IF(CELL("type", BL271)="v", DAY(BL271), "NA")</f>
        <v>NA</v>
      </c>
      <c r="BP271" s="5"/>
      <c r="BQ271" s="5"/>
      <c r="BR271" s="5"/>
      <c r="BS271" s="12" t="str">
        <f t="shared" ref="BS271:BS369" ca="1" si="112">IF(CELL("type", BR271)="v", YEAR(BR271), "NA")</f>
        <v>NA</v>
      </c>
      <c r="BT271" s="12" t="str">
        <f t="shared" ref="BT271:BT369" ca="1" si="113">IF(CELL("type", BR271)="v", MONTH(BR271), "NA")</f>
        <v>NA</v>
      </c>
      <c r="BU271" s="12" t="str">
        <f t="shared" ref="BU271:BU369" ca="1" si="114">IF(CELL("type", BR271)="v", DAY(BR271), "NA")</f>
        <v>NA</v>
      </c>
      <c r="BV271" s="5"/>
      <c r="BW271" s="5"/>
      <c r="BX271" s="12" t="str">
        <f t="shared" ref="BX271:BX369" ca="1" si="115">IF(CELL("type", BW271)="v", YEAR(BW271), "NA")</f>
        <v>NA</v>
      </c>
      <c r="BY271" s="12" t="str">
        <f t="shared" ref="BY271:BY369" ca="1" si="116">IF(CELL("type", BW271)="v", MONTH(BW271), "NA")</f>
        <v>NA</v>
      </c>
      <c r="BZ271" s="12" t="str">
        <f t="shared" ref="BZ271:BZ369" ca="1" si="117">IF(CELL("type", BW271)="v", DAY(BW271), "NA")</f>
        <v>NA</v>
      </c>
      <c r="CA271" s="5"/>
    </row>
    <row r="272" spans="1:79" ht="12.75" customHeight="1" x14ac:dyDescent="0.15">
      <c r="A272" s="4">
        <v>2684</v>
      </c>
      <c r="B272" s="5" t="s">
        <v>79</v>
      </c>
      <c r="C272" s="5" t="s">
        <v>79</v>
      </c>
      <c r="D272" s="6" t="s">
        <v>1426</v>
      </c>
      <c r="E272" s="7">
        <v>23921</v>
      </c>
      <c r="F272" s="6" t="s">
        <v>1427</v>
      </c>
      <c r="G272" s="8"/>
      <c r="H272" s="8"/>
      <c r="I272" s="8"/>
      <c r="J272" s="8"/>
      <c r="K272" s="8"/>
      <c r="L272" s="8" t="s">
        <v>82</v>
      </c>
      <c r="M272" s="7">
        <v>2646</v>
      </c>
      <c r="N272" s="7">
        <v>2637</v>
      </c>
      <c r="O272" s="13">
        <v>43067</v>
      </c>
      <c r="P272" s="10">
        <f t="shared" ca="1" si="84"/>
        <v>5.5555555555555558E-3</v>
      </c>
      <c r="Q272" s="5">
        <f t="shared" ca="1" si="85"/>
        <v>0</v>
      </c>
      <c r="R272" s="5">
        <f t="shared" ca="1" si="86"/>
        <v>2</v>
      </c>
      <c r="S272" s="7">
        <f t="shared" ca="1" si="87"/>
        <v>2017</v>
      </c>
      <c r="T272" s="7">
        <f t="shared" ca="1" si="88"/>
        <v>11</v>
      </c>
      <c r="U272" s="7">
        <f t="shared" ca="1" si="89"/>
        <v>28</v>
      </c>
      <c r="V272" s="6" t="s">
        <v>1428</v>
      </c>
      <c r="W272" s="14" t="s">
        <v>96</v>
      </c>
      <c r="X272" s="15"/>
      <c r="Y272" s="5">
        <f t="shared" ca="1" si="90"/>
        <v>0</v>
      </c>
      <c r="Z272" s="6"/>
      <c r="AA272" s="12" t="str">
        <f t="shared" ca="1" si="91"/>
        <v>NA</v>
      </c>
      <c r="AB272" s="12" t="str">
        <f t="shared" ca="1" si="92"/>
        <v>NA</v>
      </c>
      <c r="AC272" s="12" t="str">
        <f t="shared" ca="1" si="93"/>
        <v>NA</v>
      </c>
      <c r="AD272" s="6"/>
      <c r="AE272" s="5"/>
      <c r="AF272" s="6"/>
      <c r="AG272" s="11">
        <v>43069</v>
      </c>
      <c r="AH272" s="12">
        <f t="shared" ca="1" si="94"/>
        <v>2017</v>
      </c>
      <c r="AI272" s="12">
        <f t="shared" ca="1" si="95"/>
        <v>11</v>
      </c>
      <c r="AJ272" s="12">
        <f t="shared" ca="1" si="96"/>
        <v>30</v>
      </c>
      <c r="AK272" s="8" t="s">
        <v>1429</v>
      </c>
      <c r="AL272" s="8"/>
      <c r="AM272" s="5"/>
      <c r="AN272" s="5"/>
      <c r="AO272" s="5"/>
      <c r="AP272" s="12" t="str">
        <f t="shared" ca="1" si="97"/>
        <v>NA</v>
      </c>
      <c r="AQ272" s="12" t="str">
        <f t="shared" ca="1" si="98"/>
        <v>NA</v>
      </c>
      <c r="AR272" s="12" t="str">
        <f t="shared" ca="1" si="99"/>
        <v>NA</v>
      </c>
      <c r="AS272" s="5"/>
      <c r="AT272" s="5"/>
      <c r="AU272" s="5"/>
      <c r="AV272" s="12" t="str">
        <f t="shared" ca="1" si="100"/>
        <v>NA</v>
      </c>
      <c r="AW272" s="12" t="str">
        <f t="shared" ca="1" si="101"/>
        <v>NA</v>
      </c>
      <c r="AX272" s="12" t="str">
        <f t="shared" ca="1" si="102"/>
        <v>NA</v>
      </c>
      <c r="AY272" s="5"/>
      <c r="AZ272" s="5"/>
      <c r="BA272" s="6"/>
      <c r="BB272" s="12" t="str">
        <f t="shared" ca="1" si="103"/>
        <v>NA</v>
      </c>
      <c r="BC272" s="12" t="str">
        <f t="shared" ca="1" si="104"/>
        <v>NA</v>
      </c>
      <c r="BD272" s="12" t="str">
        <f t="shared" ca="1" si="105"/>
        <v>NA</v>
      </c>
      <c r="BE272" s="5"/>
      <c r="BF272" s="5"/>
      <c r="BG272" s="5"/>
      <c r="BH272" s="12" t="str">
        <f t="shared" ca="1" si="106"/>
        <v>NA</v>
      </c>
      <c r="BI272" s="12" t="str">
        <f t="shared" ca="1" si="107"/>
        <v>NA</v>
      </c>
      <c r="BJ272" s="12" t="str">
        <f t="shared" ca="1" si="108"/>
        <v>NA</v>
      </c>
      <c r="BK272" s="5"/>
      <c r="BL272" s="5"/>
      <c r="BM272" s="12" t="str">
        <f t="shared" ca="1" si="109"/>
        <v>NA</v>
      </c>
      <c r="BN272" s="12" t="str">
        <f t="shared" ca="1" si="110"/>
        <v>NA</v>
      </c>
      <c r="BO272" s="12" t="str">
        <f t="shared" ca="1" si="111"/>
        <v>NA</v>
      </c>
      <c r="BP272" s="5"/>
      <c r="BQ272" s="5"/>
      <c r="BR272" s="5"/>
      <c r="BS272" s="12" t="str">
        <f t="shared" ca="1" si="112"/>
        <v>NA</v>
      </c>
      <c r="BT272" s="12" t="str">
        <f t="shared" ca="1" si="113"/>
        <v>NA</v>
      </c>
      <c r="BU272" s="12" t="str">
        <f t="shared" ca="1" si="114"/>
        <v>NA</v>
      </c>
      <c r="BV272" s="5"/>
      <c r="BW272" s="5"/>
      <c r="BX272" s="12" t="str">
        <f t="shared" ca="1" si="115"/>
        <v>NA</v>
      </c>
      <c r="BY272" s="12" t="str">
        <f t="shared" ca="1" si="116"/>
        <v>NA</v>
      </c>
      <c r="BZ272" s="12" t="str">
        <f t="shared" ca="1" si="117"/>
        <v>NA</v>
      </c>
      <c r="CA272" s="5"/>
    </row>
    <row r="273" spans="1:79" ht="12.75" customHeight="1" x14ac:dyDescent="0.15">
      <c r="A273" s="4">
        <v>2685</v>
      </c>
      <c r="B273" s="5" t="s">
        <v>79</v>
      </c>
      <c r="C273" s="5" t="s">
        <v>79</v>
      </c>
      <c r="D273" s="6" t="s">
        <v>1430</v>
      </c>
      <c r="E273" s="7">
        <v>100504</v>
      </c>
      <c r="F273" s="6" t="s">
        <v>1431</v>
      </c>
      <c r="G273" s="8"/>
      <c r="H273" s="8"/>
      <c r="I273" s="8"/>
      <c r="J273" s="8"/>
      <c r="K273" s="8"/>
      <c r="L273" s="8" t="s">
        <v>82</v>
      </c>
      <c r="M273" s="7">
        <v>2646</v>
      </c>
      <c r="N273" s="7">
        <v>2637</v>
      </c>
      <c r="O273" s="13">
        <v>43067</v>
      </c>
      <c r="P273" s="10" t="str">
        <f t="shared" ca="1" si="84"/>
        <v>NA</v>
      </c>
      <c r="Q273" s="5" t="str">
        <f t="shared" ca="1" si="85"/>
        <v>NA</v>
      </c>
      <c r="R273" s="5" t="str">
        <f t="shared" ca="1" si="86"/>
        <v>NA</v>
      </c>
      <c r="S273" s="7">
        <f t="shared" ca="1" si="87"/>
        <v>2017</v>
      </c>
      <c r="T273" s="7">
        <f t="shared" ca="1" si="88"/>
        <v>11</v>
      </c>
      <c r="U273" s="7">
        <f t="shared" ca="1" si="89"/>
        <v>28</v>
      </c>
      <c r="V273" s="6" t="s">
        <v>1432</v>
      </c>
      <c r="W273" s="14" t="s">
        <v>96</v>
      </c>
      <c r="X273" s="15"/>
      <c r="Y273" s="5">
        <f t="shared" ca="1" si="90"/>
        <v>1</v>
      </c>
      <c r="Z273" s="6"/>
      <c r="AA273" s="12" t="str">
        <f t="shared" ca="1" si="91"/>
        <v>NA</v>
      </c>
      <c r="AB273" s="12" t="str">
        <f t="shared" ca="1" si="92"/>
        <v>NA</v>
      </c>
      <c r="AC273" s="12" t="str">
        <f t="shared" ca="1" si="93"/>
        <v>NA</v>
      </c>
      <c r="AD273" s="6"/>
      <c r="AE273" s="5"/>
      <c r="AF273" s="6"/>
      <c r="AG273" s="5"/>
      <c r="AH273" s="12" t="str">
        <f t="shared" ca="1" si="94"/>
        <v>NA</v>
      </c>
      <c r="AI273" s="12" t="str">
        <f t="shared" ca="1" si="95"/>
        <v>NA</v>
      </c>
      <c r="AJ273" s="12" t="str">
        <f t="shared" ca="1" si="96"/>
        <v>NA</v>
      </c>
      <c r="AK273" s="5"/>
      <c r="AL273" s="5"/>
      <c r="AM273" s="5"/>
      <c r="AN273" s="5"/>
      <c r="AO273" s="11">
        <v>43657</v>
      </c>
      <c r="AP273" s="12">
        <f t="shared" ca="1" si="97"/>
        <v>2019</v>
      </c>
      <c r="AQ273" s="12">
        <f t="shared" ca="1" si="98"/>
        <v>7</v>
      </c>
      <c r="AR273" s="12">
        <f t="shared" ca="1" si="99"/>
        <v>11</v>
      </c>
      <c r="AS273" s="8" t="s">
        <v>1433</v>
      </c>
      <c r="AT273" s="8"/>
      <c r="AU273" s="5"/>
      <c r="AV273" s="12" t="str">
        <f t="shared" ca="1" si="100"/>
        <v>NA</v>
      </c>
      <c r="AW273" s="12" t="str">
        <f t="shared" ca="1" si="101"/>
        <v>NA</v>
      </c>
      <c r="AX273" s="12" t="str">
        <f t="shared" ca="1" si="102"/>
        <v>NA</v>
      </c>
      <c r="AY273" s="5"/>
      <c r="AZ273" s="5"/>
      <c r="BA273" s="6"/>
      <c r="BB273" s="12" t="str">
        <f t="shared" ca="1" si="103"/>
        <v>NA</v>
      </c>
      <c r="BC273" s="12" t="str">
        <f t="shared" ca="1" si="104"/>
        <v>NA</v>
      </c>
      <c r="BD273" s="12" t="str">
        <f t="shared" ca="1" si="105"/>
        <v>NA</v>
      </c>
      <c r="BE273" s="5"/>
      <c r="BF273" s="5"/>
      <c r="BG273" s="5"/>
      <c r="BH273" s="12" t="str">
        <f t="shared" ca="1" si="106"/>
        <v>NA</v>
      </c>
      <c r="BI273" s="12" t="str">
        <f t="shared" ca="1" si="107"/>
        <v>NA</v>
      </c>
      <c r="BJ273" s="12" t="str">
        <f t="shared" ca="1" si="108"/>
        <v>NA</v>
      </c>
      <c r="BK273" s="5"/>
      <c r="BL273" s="5"/>
      <c r="BM273" s="12" t="str">
        <f t="shared" ca="1" si="109"/>
        <v>NA</v>
      </c>
      <c r="BN273" s="12" t="str">
        <f t="shared" ca="1" si="110"/>
        <v>NA</v>
      </c>
      <c r="BO273" s="12" t="str">
        <f t="shared" ca="1" si="111"/>
        <v>NA</v>
      </c>
      <c r="BP273" s="5"/>
      <c r="BQ273" s="5"/>
      <c r="BR273" s="5"/>
      <c r="BS273" s="12" t="str">
        <f t="shared" ca="1" si="112"/>
        <v>NA</v>
      </c>
      <c r="BT273" s="12" t="str">
        <f t="shared" ca="1" si="113"/>
        <v>NA</v>
      </c>
      <c r="BU273" s="12" t="str">
        <f t="shared" ca="1" si="114"/>
        <v>NA</v>
      </c>
      <c r="BV273" s="5"/>
      <c r="BW273" s="5"/>
      <c r="BX273" s="12" t="str">
        <f t="shared" ca="1" si="115"/>
        <v>NA</v>
      </c>
      <c r="BY273" s="12" t="str">
        <f t="shared" ca="1" si="116"/>
        <v>NA</v>
      </c>
      <c r="BZ273" s="12" t="str">
        <f t="shared" ca="1" si="117"/>
        <v>NA</v>
      </c>
      <c r="CA273" s="5"/>
    </row>
    <row r="274" spans="1:79" ht="12.75" customHeight="1" x14ac:dyDescent="0.15">
      <c r="A274" s="4">
        <v>2677</v>
      </c>
      <c r="B274" s="5" t="s">
        <v>852</v>
      </c>
      <c r="C274" s="5" t="s">
        <v>852</v>
      </c>
      <c r="D274" s="6" t="s">
        <v>1434</v>
      </c>
      <c r="E274" s="7">
        <v>24709</v>
      </c>
      <c r="F274" s="6" t="s">
        <v>1435</v>
      </c>
      <c r="G274" s="8" t="s">
        <v>856</v>
      </c>
      <c r="H274" s="6" t="s">
        <v>1436</v>
      </c>
      <c r="I274" s="8">
        <v>2652</v>
      </c>
      <c r="J274" s="8"/>
      <c r="K274" s="8"/>
      <c r="L274" s="8" t="s">
        <v>82</v>
      </c>
      <c r="M274" s="7">
        <v>2496</v>
      </c>
      <c r="N274" s="7">
        <v>2502</v>
      </c>
      <c r="O274" s="13">
        <v>42753</v>
      </c>
      <c r="P274" s="10" t="str">
        <f t="shared" ca="1" si="84"/>
        <v>NA</v>
      </c>
      <c r="Q274" s="5" t="str">
        <f t="shared" ca="1" si="85"/>
        <v>NA</v>
      </c>
      <c r="R274" s="5" t="str">
        <f t="shared" ca="1" si="86"/>
        <v>NA</v>
      </c>
      <c r="S274" s="7">
        <f t="shared" ca="1" si="87"/>
        <v>2017</v>
      </c>
      <c r="T274" s="7">
        <f t="shared" ca="1" si="88"/>
        <v>1</v>
      </c>
      <c r="U274" s="7">
        <f t="shared" ca="1" si="89"/>
        <v>18</v>
      </c>
      <c r="V274" s="6" t="s">
        <v>1437</v>
      </c>
      <c r="W274" s="14" t="s">
        <v>96</v>
      </c>
      <c r="X274" s="15"/>
      <c r="Y274" s="5">
        <f ca="1">COUNT(AP274,AV274,BB274,BH274,BM274,BS275,BX275)</f>
        <v>1</v>
      </c>
      <c r="Z274" s="6"/>
      <c r="AA274" s="12" t="str">
        <f t="shared" ca="1" si="91"/>
        <v>NA</v>
      </c>
      <c r="AB274" s="12" t="str">
        <f t="shared" ca="1" si="92"/>
        <v>NA</v>
      </c>
      <c r="AC274" s="12" t="str">
        <f t="shared" ca="1" si="93"/>
        <v>NA</v>
      </c>
      <c r="AD274" s="6"/>
      <c r="AE274" s="5"/>
      <c r="AF274" s="6"/>
      <c r="AG274" s="5"/>
      <c r="AH274" s="12" t="str">
        <f t="shared" ca="1" si="94"/>
        <v>NA</v>
      </c>
      <c r="AI274" s="12" t="str">
        <f t="shared" ca="1" si="95"/>
        <v>NA</v>
      </c>
      <c r="AJ274" s="12" t="str">
        <f t="shared" ca="1" si="96"/>
        <v>NA</v>
      </c>
      <c r="AK274" s="5"/>
      <c r="AL274" s="5"/>
      <c r="AM274" s="5"/>
      <c r="AN274" s="5"/>
      <c r="AO274" s="11">
        <v>42992</v>
      </c>
      <c r="AP274" s="12">
        <f t="shared" ca="1" si="97"/>
        <v>2017</v>
      </c>
      <c r="AQ274" s="12">
        <f t="shared" ca="1" si="98"/>
        <v>9</v>
      </c>
      <c r="AR274" s="12">
        <f t="shared" ca="1" si="99"/>
        <v>14</v>
      </c>
      <c r="AS274" s="8" t="s">
        <v>1438</v>
      </c>
      <c r="AT274" s="8"/>
      <c r="AU274" s="5"/>
      <c r="AV274" s="12" t="str">
        <f t="shared" ca="1" si="100"/>
        <v>NA</v>
      </c>
      <c r="AW274" s="12" t="str">
        <f t="shared" ca="1" si="101"/>
        <v>NA</v>
      </c>
      <c r="AX274" s="12" t="str">
        <f t="shared" ca="1" si="102"/>
        <v>NA</v>
      </c>
      <c r="AY274" s="5"/>
      <c r="AZ274" s="5"/>
      <c r="BA274" s="5"/>
      <c r="BB274" s="12" t="str">
        <f t="shared" ca="1" si="103"/>
        <v>NA</v>
      </c>
      <c r="BC274" s="12" t="str">
        <f t="shared" ca="1" si="104"/>
        <v>NA</v>
      </c>
      <c r="BD274" s="12" t="str">
        <f t="shared" ca="1" si="105"/>
        <v>NA</v>
      </c>
      <c r="BE274" s="5"/>
      <c r="BF274" s="5"/>
      <c r="BG274" s="5"/>
      <c r="BH274" s="12" t="str">
        <f t="shared" ca="1" si="106"/>
        <v>NA</v>
      </c>
      <c r="BI274" s="12" t="str">
        <f t="shared" ca="1" si="107"/>
        <v>NA</v>
      </c>
      <c r="BJ274" s="12" t="str">
        <f t="shared" ca="1" si="108"/>
        <v>NA</v>
      </c>
      <c r="BK274" s="5"/>
      <c r="BL274" s="5"/>
      <c r="BM274" s="12" t="str">
        <f t="shared" ca="1" si="109"/>
        <v>NA</v>
      </c>
      <c r="BN274" s="12" t="str">
        <f t="shared" ca="1" si="110"/>
        <v>NA</v>
      </c>
      <c r="BO274" s="12" t="str">
        <f t="shared" ca="1" si="111"/>
        <v>NA</v>
      </c>
      <c r="BP274" s="5"/>
      <c r="BQ274" s="5"/>
      <c r="BR274" s="5"/>
      <c r="BS274" s="12" t="str">
        <f t="shared" ca="1" si="112"/>
        <v>NA</v>
      </c>
      <c r="BT274" s="12" t="str">
        <f t="shared" ca="1" si="113"/>
        <v>NA</v>
      </c>
      <c r="BU274" s="12" t="str">
        <f t="shared" ca="1" si="114"/>
        <v>NA</v>
      </c>
      <c r="BV274" s="5"/>
      <c r="BW274" s="5"/>
      <c r="BX274" s="12" t="str">
        <f t="shared" ca="1" si="115"/>
        <v>NA</v>
      </c>
      <c r="BY274" s="12" t="str">
        <f t="shared" ca="1" si="116"/>
        <v>NA</v>
      </c>
      <c r="BZ274" s="12" t="str">
        <f t="shared" ca="1" si="117"/>
        <v>NA</v>
      </c>
      <c r="CA274" s="5"/>
    </row>
    <row r="275" spans="1:79" ht="12.75" customHeight="1" x14ac:dyDescent="0.15">
      <c r="A275" s="4">
        <v>2686</v>
      </c>
      <c r="B275" s="5" t="s">
        <v>79</v>
      </c>
      <c r="C275" s="5" t="s">
        <v>79</v>
      </c>
      <c r="D275" s="6" t="s">
        <v>1439</v>
      </c>
      <c r="E275" s="7">
        <v>218073</v>
      </c>
      <c r="F275" s="6" t="s">
        <v>1440</v>
      </c>
      <c r="G275" s="8"/>
      <c r="H275" s="8"/>
      <c r="I275" s="8"/>
      <c r="J275" s="8"/>
      <c r="K275" s="8"/>
      <c r="L275" s="8" t="s">
        <v>82</v>
      </c>
      <c r="M275" s="7">
        <v>2639</v>
      </c>
      <c r="N275" s="7">
        <v>2659</v>
      </c>
      <c r="O275" s="13">
        <v>43247</v>
      </c>
      <c r="P275" s="10">
        <f t="shared" ca="1" si="84"/>
        <v>1.9444444444444445E-2</v>
      </c>
      <c r="Q275" s="5">
        <f t="shared" ca="1" si="85"/>
        <v>0</v>
      </c>
      <c r="R275" s="5">
        <f t="shared" ca="1" si="86"/>
        <v>8</v>
      </c>
      <c r="S275" s="7">
        <f t="shared" ca="1" si="87"/>
        <v>2018</v>
      </c>
      <c r="T275" s="7">
        <f t="shared" ca="1" si="88"/>
        <v>5</v>
      </c>
      <c r="U275" s="7">
        <f t="shared" ca="1" si="89"/>
        <v>27</v>
      </c>
      <c r="V275" s="6" t="s">
        <v>1441</v>
      </c>
      <c r="W275" s="14" t="s">
        <v>96</v>
      </c>
      <c r="X275" s="15"/>
      <c r="Y275" s="5">
        <f ca="1">COUNT(AP275,AV275,BB275,BH275,BM275,BS277,BX277)</f>
        <v>0</v>
      </c>
      <c r="Z275" s="6"/>
      <c r="AA275" s="12" t="str">
        <f t="shared" ca="1" si="91"/>
        <v>NA</v>
      </c>
      <c r="AB275" s="12" t="str">
        <f t="shared" ca="1" si="92"/>
        <v>NA</v>
      </c>
      <c r="AC275" s="12" t="str">
        <f t="shared" ca="1" si="93"/>
        <v>NA</v>
      </c>
      <c r="AD275" s="6"/>
      <c r="AE275" s="5"/>
      <c r="AF275" s="6"/>
      <c r="AG275" s="11">
        <v>43255</v>
      </c>
      <c r="AH275" s="12">
        <f t="shared" ca="1" si="94"/>
        <v>2018</v>
      </c>
      <c r="AI275" s="12">
        <f t="shared" ca="1" si="95"/>
        <v>6</v>
      </c>
      <c r="AJ275" s="12">
        <f t="shared" ca="1" si="96"/>
        <v>4</v>
      </c>
      <c r="AK275" s="8" t="s">
        <v>1442</v>
      </c>
      <c r="AL275" s="8"/>
      <c r="AM275" s="5"/>
      <c r="AN275" s="5"/>
      <c r="AO275" s="5"/>
      <c r="AP275" s="12" t="str">
        <f t="shared" ca="1" si="97"/>
        <v>NA</v>
      </c>
      <c r="AQ275" s="12" t="str">
        <f t="shared" ca="1" si="98"/>
        <v>NA</v>
      </c>
      <c r="AR275" s="12" t="str">
        <f t="shared" ca="1" si="99"/>
        <v>NA</v>
      </c>
      <c r="AS275" s="5"/>
      <c r="AT275" s="5"/>
      <c r="AU275" s="5"/>
      <c r="AV275" s="12" t="str">
        <f t="shared" ca="1" si="100"/>
        <v>NA</v>
      </c>
      <c r="AW275" s="12" t="str">
        <f t="shared" ca="1" si="101"/>
        <v>NA</v>
      </c>
      <c r="AX275" s="12" t="str">
        <f t="shared" ca="1" si="102"/>
        <v>NA</v>
      </c>
      <c r="AY275" s="5"/>
      <c r="AZ275" s="5"/>
      <c r="BA275" s="6"/>
      <c r="BB275" s="12" t="str">
        <f t="shared" ca="1" si="103"/>
        <v>NA</v>
      </c>
      <c r="BC275" s="12" t="str">
        <f t="shared" ca="1" si="104"/>
        <v>NA</v>
      </c>
      <c r="BD275" s="12" t="str">
        <f t="shared" ca="1" si="105"/>
        <v>NA</v>
      </c>
      <c r="BE275" s="5"/>
      <c r="BF275" s="5"/>
      <c r="BG275" s="5"/>
      <c r="BH275" s="12" t="str">
        <f t="shared" ca="1" si="106"/>
        <v>NA</v>
      </c>
      <c r="BI275" s="12" t="str">
        <f t="shared" ca="1" si="107"/>
        <v>NA</v>
      </c>
      <c r="BJ275" s="12" t="str">
        <f t="shared" ca="1" si="108"/>
        <v>NA</v>
      </c>
      <c r="BK275" s="5"/>
      <c r="BL275" s="5"/>
      <c r="BM275" s="12" t="str">
        <f t="shared" ca="1" si="109"/>
        <v>NA</v>
      </c>
      <c r="BN275" s="12" t="str">
        <f t="shared" ca="1" si="110"/>
        <v>NA</v>
      </c>
      <c r="BO275" s="12" t="str">
        <f t="shared" ca="1" si="111"/>
        <v>NA</v>
      </c>
      <c r="BP275" s="5"/>
      <c r="BQ275" s="5"/>
      <c r="BR275" s="5"/>
      <c r="BS275" s="12" t="str">
        <f t="shared" ca="1" si="112"/>
        <v>NA</v>
      </c>
      <c r="BT275" s="12" t="str">
        <f t="shared" ca="1" si="113"/>
        <v>NA</v>
      </c>
      <c r="BU275" s="12" t="str">
        <f t="shared" ca="1" si="114"/>
        <v>NA</v>
      </c>
      <c r="BV275" s="5"/>
      <c r="BW275" s="5"/>
      <c r="BX275" s="12" t="str">
        <f t="shared" ca="1" si="115"/>
        <v>NA</v>
      </c>
      <c r="BY275" s="12" t="str">
        <f t="shared" ca="1" si="116"/>
        <v>NA</v>
      </c>
      <c r="BZ275" s="12" t="str">
        <f t="shared" ca="1" si="117"/>
        <v>NA</v>
      </c>
      <c r="CA275" s="5"/>
    </row>
    <row r="276" spans="1:79" ht="12.75" customHeight="1" x14ac:dyDescent="0.15">
      <c r="A276" s="4">
        <v>2687</v>
      </c>
      <c r="B276" s="5" t="s">
        <v>79</v>
      </c>
      <c r="C276" s="5" t="s">
        <v>79</v>
      </c>
      <c r="D276" s="6" t="s">
        <v>1443</v>
      </c>
      <c r="E276" s="7">
        <v>218074</v>
      </c>
      <c r="F276" s="6" t="s">
        <v>1444</v>
      </c>
      <c r="G276" s="8"/>
      <c r="H276" s="8"/>
      <c r="I276" s="8"/>
      <c r="J276" s="8"/>
      <c r="K276" s="8"/>
      <c r="L276" s="8" t="s">
        <v>82</v>
      </c>
      <c r="M276" s="7">
        <v>2639</v>
      </c>
      <c r="N276" s="7">
        <v>2659</v>
      </c>
      <c r="O276" s="13">
        <v>43247</v>
      </c>
      <c r="P276" s="10">
        <f t="shared" ca="1" si="84"/>
        <v>0</v>
      </c>
      <c r="Q276" s="5">
        <f t="shared" ca="1" si="85"/>
        <v>0</v>
      </c>
      <c r="R276" s="5">
        <f t="shared" ca="1" si="86"/>
        <v>0</v>
      </c>
      <c r="S276" s="7">
        <f t="shared" ca="1" si="87"/>
        <v>2018</v>
      </c>
      <c r="T276" s="7">
        <f t="shared" ca="1" si="88"/>
        <v>5</v>
      </c>
      <c r="U276" s="7">
        <f t="shared" ca="1" si="89"/>
        <v>27</v>
      </c>
      <c r="V276" s="6" t="s">
        <v>1445</v>
      </c>
      <c r="W276" s="14" t="s">
        <v>96</v>
      </c>
      <c r="X276" s="15"/>
      <c r="Y276" s="5">
        <f ca="1">COUNT(AP276,AV276,BB276,BH276,BM276,#REF!,#REF!)</f>
        <v>0</v>
      </c>
      <c r="Z276" s="6"/>
      <c r="AA276" s="12" t="str">
        <f t="shared" ca="1" si="91"/>
        <v>NA</v>
      </c>
      <c r="AB276" s="12" t="str">
        <f t="shared" ca="1" si="92"/>
        <v>NA</v>
      </c>
      <c r="AC276" s="12" t="str">
        <f t="shared" ca="1" si="93"/>
        <v>NA</v>
      </c>
      <c r="AD276" s="6"/>
      <c r="AE276" s="5"/>
      <c r="AF276" s="6"/>
      <c r="AG276" s="11">
        <v>43247</v>
      </c>
      <c r="AH276" s="12">
        <f t="shared" ca="1" si="94"/>
        <v>2018</v>
      </c>
      <c r="AI276" s="12">
        <f t="shared" ca="1" si="95"/>
        <v>5</v>
      </c>
      <c r="AJ276" s="12">
        <f t="shared" ca="1" si="96"/>
        <v>27</v>
      </c>
      <c r="AK276" s="8" t="s">
        <v>1446</v>
      </c>
      <c r="AL276" s="8"/>
      <c r="AM276" s="5"/>
      <c r="AN276" s="5"/>
      <c r="AO276" s="5"/>
      <c r="AP276" s="12" t="str">
        <f t="shared" ca="1" si="97"/>
        <v>NA</v>
      </c>
      <c r="AQ276" s="12" t="str">
        <f t="shared" ca="1" si="98"/>
        <v>NA</v>
      </c>
      <c r="AR276" s="12" t="str">
        <f t="shared" ca="1" si="99"/>
        <v>NA</v>
      </c>
      <c r="AS276" s="5"/>
      <c r="AT276" s="5"/>
      <c r="AU276" s="5"/>
      <c r="AV276" s="12" t="str">
        <f t="shared" ca="1" si="100"/>
        <v>NA</v>
      </c>
      <c r="AW276" s="12" t="str">
        <f t="shared" ca="1" si="101"/>
        <v>NA</v>
      </c>
      <c r="AX276" s="12" t="str">
        <f t="shared" ca="1" si="102"/>
        <v>NA</v>
      </c>
      <c r="AY276" s="5"/>
      <c r="AZ276" s="5"/>
      <c r="BA276" s="6"/>
      <c r="BB276" s="12" t="str">
        <f t="shared" ca="1" si="103"/>
        <v>NA</v>
      </c>
      <c r="BC276" s="12" t="str">
        <f t="shared" ca="1" si="104"/>
        <v>NA</v>
      </c>
      <c r="BD276" s="12" t="str">
        <f t="shared" ca="1" si="105"/>
        <v>NA</v>
      </c>
      <c r="BE276" s="5"/>
      <c r="BF276" s="5"/>
      <c r="BG276" s="5"/>
      <c r="BH276" s="12" t="str">
        <f t="shared" ca="1" si="106"/>
        <v>NA</v>
      </c>
      <c r="BI276" s="12" t="str">
        <f t="shared" ca="1" si="107"/>
        <v>NA</v>
      </c>
      <c r="BJ276" s="12" t="str">
        <f t="shared" ca="1" si="108"/>
        <v>NA</v>
      </c>
      <c r="BK276" s="5"/>
      <c r="BL276" s="5"/>
      <c r="BM276" s="12" t="str">
        <f t="shared" ca="1" si="109"/>
        <v>NA</v>
      </c>
      <c r="BN276" s="12" t="str">
        <f t="shared" ca="1" si="110"/>
        <v>NA</v>
      </c>
      <c r="BO276" s="12" t="str">
        <f t="shared" ca="1" si="111"/>
        <v>NA</v>
      </c>
      <c r="BP276" s="5"/>
      <c r="BQ276" s="5"/>
      <c r="BR276" s="5"/>
      <c r="BS276" s="12" t="str">
        <f t="shared" ca="1" si="112"/>
        <v>NA</v>
      </c>
      <c r="BT276" s="12" t="str">
        <f t="shared" ca="1" si="113"/>
        <v>NA</v>
      </c>
      <c r="BU276" s="12" t="str">
        <f t="shared" ca="1" si="114"/>
        <v>NA</v>
      </c>
      <c r="BV276" s="5"/>
      <c r="BW276" s="5"/>
      <c r="BX276" s="12" t="str">
        <f t="shared" ca="1" si="115"/>
        <v>NA</v>
      </c>
      <c r="BY276" s="12" t="str">
        <f t="shared" ca="1" si="116"/>
        <v>NA</v>
      </c>
      <c r="BZ276" s="12" t="str">
        <f t="shared" ca="1" si="117"/>
        <v>NA</v>
      </c>
      <c r="CA276" s="5"/>
    </row>
    <row r="277" spans="1:79" ht="12.75" customHeight="1" x14ac:dyDescent="0.15">
      <c r="A277" s="4">
        <v>2688</v>
      </c>
      <c r="B277" s="5" t="s">
        <v>79</v>
      </c>
      <c r="C277" s="5" t="s">
        <v>79</v>
      </c>
      <c r="D277" s="6" t="s">
        <v>1447</v>
      </c>
      <c r="E277" s="7">
        <v>1000071</v>
      </c>
      <c r="F277" s="6" t="s">
        <v>1448</v>
      </c>
      <c r="G277" s="8"/>
      <c r="H277" s="8"/>
      <c r="I277" s="8"/>
      <c r="J277" s="8"/>
      <c r="K277" s="8"/>
      <c r="L277" s="8" t="s">
        <v>82</v>
      </c>
      <c r="M277" s="7">
        <v>2653</v>
      </c>
      <c r="N277" s="7">
        <v>2607</v>
      </c>
      <c r="O277" s="13">
        <v>43496</v>
      </c>
      <c r="P277" s="10">
        <f t="shared" ca="1" si="84"/>
        <v>0</v>
      </c>
      <c r="Q277" s="5">
        <f t="shared" ca="1" si="85"/>
        <v>0</v>
      </c>
      <c r="R277" s="5">
        <f t="shared" ca="1" si="86"/>
        <v>0</v>
      </c>
      <c r="S277" s="7">
        <f t="shared" ca="1" si="87"/>
        <v>2019</v>
      </c>
      <c r="T277" s="7">
        <f t="shared" ca="1" si="88"/>
        <v>1</v>
      </c>
      <c r="U277" s="7">
        <f t="shared" ca="1" si="89"/>
        <v>31</v>
      </c>
      <c r="V277" s="6" t="s">
        <v>1449</v>
      </c>
      <c r="W277" s="14" t="s">
        <v>96</v>
      </c>
      <c r="X277" s="15"/>
      <c r="Y277" s="5">
        <f ca="1">COUNT(AP277,AV277,BB277,BH277,BM277,BS279,BX279)</f>
        <v>0</v>
      </c>
      <c r="Z277" s="6"/>
      <c r="AA277" s="12" t="str">
        <f t="shared" ca="1" si="91"/>
        <v>NA</v>
      </c>
      <c r="AB277" s="12" t="str">
        <f t="shared" ca="1" si="92"/>
        <v>NA</v>
      </c>
      <c r="AC277" s="12" t="str">
        <f t="shared" ca="1" si="93"/>
        <v>NA</v>
      </c>
      <c r="AD277" s="6"/>
      <c r="AE277" s="5"/>
      <c r="AF277" s="6"/>
      <c r="AG277" s="11">
        <v>43496</v>
      </c>
      <c r="AH277" s="12">
        <f t="shared" ca="1" si="94"/>
        <v>2019</v>
      </c>
      <c r="AI277" s="12">
        <f t="shared" ca="1" si="95"/>
        <v>1</v>
      </c>
      <c r="AJ277" s="12">
        <f t="shared" ca="1" si="96"/>
        <v>31</v>
      </c>
      <c r="AK277" s="8" t="s">
        <v>1450</v>
      </c>
      <c r="AL277" s="8"/>
      <c r="AM277" s="5"/>
      <c r="AN277" s="5"/>
      <c r="AO277" s="5"/>
      <c r="AP277" s="12" t="str">
        <f t="shared" ca="1" si="97"/>
        <v>NA</v>
      </c>
      <c r="AQ277" s="12" t="str">
        <f t="shared" ca="1" si="98"/>
        <v>NA</v>
      </c>
      <c r="AR277" s="12" t="str">
        <f t="shared" ca="1" si="99"/>
        <v>NA</v>
      </c>
      <c r="AS277" s="5"/>
      <c r="AT277" s="5"/>
      <c r="AU277" s="5"/>
      <c r="AV277" s="12" t="str">
        <f t="shared" ca="1" si="100"/>
        <v>NA</v>
      </c>
      <c r="AW277" s="12" t="str">
        <f t="shared" ca="1" si="101"/>
        <v>NA</v>
      </c>
      <c r="AX277" s="12" t="str">
        <f t="shared" ca="1" si="102"/>
        <v>NA</v>
      </c>
      <c r="AY277" s="5"/>
      <c r="AZ277" s="5"/>
      <c r="BA277" s="6"/>
      <c r="BB277" s="12" t="str">
        <f t="shared" ca="1" si="103"/>
        <v>NA</v>
      </c>
      <c r="BC277" s="12" t="str">
        <f t="shared" ca="1" si="104"/>
        <v>NA</v>
      </c>
      <c r="BD277" s="12" t="str">
        <f t="shared" ca="1" si="105"/>
        <v>NA</v>
      </c>
      <c r="BE277" s="5"/>
      <c r="BF277" s="5"/>
      <c r="BG277" s="5"/>
      <c r="BH277" s="12" t="str">
        <f t="shared" ca="1" si="106"/>
        <v>NA</v>
      </c>
      <c r="BI277" s="12" t="str">
        <f t="shared" ca="1" si="107"/>
        <v>NA</v>
      </c>
      <c r="BJ277" s="12" t="str">
        <f t="shared" ca="1" si="108"/>
        <v>NA</v>
      </c>
      <c r="BK277" s="5"/>
      <c r="BL277" s="5"/>
      <c r="BM277" s="12" t="str">
        <f t="shared" ca="1" si="109"/>
        <v>NA</v>
      </c>
      <c r="BN277" s="12" t="str">
        <f t="shared" ca="1" si="110"/>
        <v>NA</v>
      </c>
      <c r="BO277" s="12" t="str">
        <f t="shared" ca="1" si="111"/>
        <v>NA</v>
      </c>
      <c r="BP277" s="5"/>
      <c r="BQ277" s="5"/>
      <c r="BR277" s="5"/>
      <c r="BS277" s="12" t="str">
        <f t="shared" ca="1" si="112"/>
        <v>NA</v>
      </c>
      <c r="BT277" s="12" t="str">
        <f t="shared" ca="1" si="113"/>
        <v>NA</v>
      </c>
      <c r="BU277" s="12" t="str">
        <f t="shared" ca="1" si="114"/>
        <v>NA</v>
      </c>
      <c r="BV277" s="5"/>
      <c r="BW277" s="5"/>
      <c r="BX277" s="12" t="str">
        <f t="shared" ca="1" si="115"/>
        <v>NA</v>
      </c>
      <c r="BY277" s="12" t="str">
        <f t="shared" ca="1" si="116"/>
        <v>NA</v>
      </c>
      <c r="BZ277" s="12" t="str">
        <f t="shared" ca="1" si="117"/>
        <v>NA</v>
      </c>
      <c r="CA277" s="5"/>
    </row>
    <row r="278" spans="1:79" ht="12.75" customHeight="1" x14ac:dyDescent="0.15">
      <c r="A278" s="4">
        <v>2689</v>
      </c>
      <c r="B278" s="5" t="s">
        <v>79</v>
      </c>
      <c r="C278" s="5" t="s">
        <v>852</v>
      </c>
      <c r="D278" s="8" t="s">
        <v>992</v>
      </c>
      <c r="E278" s="7">
        <v>200616</v>
      </c>
      <c r="F278" s="6" t="s">
        <v>1451</v>
      </c>
      <c r="G278" s="8" t="s">
        <v>1077</v>
      </c>
      <c r="H278" s="8" t="s">
        <v>992</v>
      </c>
      <c r="I278" s="8" t="s">
        <v>988</v>
      </c>
      <c r="J278" s="8"/>
      <c r="K278" s="8" t="s">
        <v>1452</v>
      </c>
      <c r="L278" s="8" t="s">
        <v>82</v>
      </c>
      <c r="M278" s="7">
        <v>2639</v>
      </c>
      <c r="N278" s="7">
        <v>2659</v>
      </c>
      <c r="O278" s="13">
        <v>43613</v>
      </c>
      <c r="P278" s="10" t="str">
        <f t="shared" ca="1" si="84"/>
        <v>NA</v>
      </c>
      <c r="Q278" s="5" t="str">
        <f t="shared" ca="1" si="85"/>
        <v>NA</v>
      </c>
      <c r="R278" s="5" t="str">
        <f t="shared" ca="1" si="86"/>
        <v>NA</v>
      </c>
      <c r="S278" s="7">
        <f t="shared" ca="1" si="87"/>
        <v>2019</v>
      </c>
      <c r="T278" s="7">
        <f t="shared" ca="1" si="88"/>
        <v>5</v>
      </c>
      <c r="U278" s="7">
        <f t="shared" ca="1" si="89"/>
        <v>28</v>
      </c>
      <c r="V278" s="6" t="s">
        <v>1453</v>
      </c>
      <c r="W278" s="14" t="s">
        <v>96</v>
      </c>
      <c r="X278" s="15"/>
      <c r="Y278" s="5">
        <f t="shared" ref="Y278:Y279" ca="1" si="118">COUNT(AP278,AV278,BB278,BH278,BM278,BS279,BX279)</f>
        <v>1</v>
      </c>
      <c r="Z278" s="6"/>
      <c r="AA278" s="12" t="str">
        <f t="shared" ca="1" si="91"/>
        <v>NA</v>
      </c>
      <c r="AB278" s="12" t="str">
        <f t="shared" ca="1" si="92"/>
        <v>NA</v>
      </c>
      <c r="AC278" s="12" t="str">
        <f t="shared" ca="1" si="93"/>
        <v>NA</v>
      </c>
      <c r="AD278" s="6"/>
      <c r="AE278" s="5"/>
      <c r="AF278" s="6"/>
      <c r="AG278" s="5"/>
      <c r="AH278" s="12" t="str">
        <f t="shared" ca="1" si="94"/>
        <v>NA</v>
      </c>
      <c r="AI278" s="12" t="str">
        <f t="shared" ca="1" si="95"/>
        <v>NA</v>
      </c>
      <c r="AJ278" s="12" t="str">
        <f t="shared" ca="1" si="96"/>
        <v>NA</v>
      </c>
      <c r="AK278" s="5"/>
      <c r="AL278" s="5"/>
      <c r="AM278" s="5"/>
      <c r="AN278" s="5"/>
      <c r="AO278" s="11">
        <v>44007</v>
      </c>
      <c r="AP278" s="12">
        <f t="shared" ca="1" si="97"/>
        <v>2020</v>
      </c>
      <c r="AQ278" s="12">
        <f t="shared" ca="1" si="98"/>
        <v>6</v>
      </c>
      <c r="AR278" s="12">
        <f t="shared" ca="1" si="99"/>
        <v>25</v>
      </c>
      <c r="AS278" s="8" t="s">
        <v>1454</v>
      </c>
      <c r="AT278" s="8"/>
      <c r="AU278" s="5"/>
      <c r="AV278" s="12" t="str">
        <f t="shared" ca="1" si="100"/>
        <v>NA</v>
      </c>
      <c r="AW278" s="12" t="str">
        <f t="shared" ca="1" si="101"/>
        <v>NA</v>
      </c>
      <c r="AX278" s="12" t="str">
        <f t="shared" ca="1" si="102"/>
        <v>NA</v>
      </c>
      <c r="AY278" s="5" t="s">
        <v>992</v>
      </c>
      <c r="AZ278" s="5"/>
      <c r="BA278" s="5"/>
      <c r="BB278" s="12" t="str">
        <f t="shared" ca="1" si="103"/>
        <v>NA</v>
      </c>
      <c r="BC278" s="12" t="str">
        <f t="shared" ca="1" si="104"/>
        <v>NA</v>
      </c>
      <c r="BD278" s="12" t="str">
        <f t="shared" ca="1" si="105"/>
        <v>NA</v>
      </c>
      <c r="BE278" s="5"/>
      <c r="BF278" s="5"/>
      <c r="BG278" s="5"/>
      <c r="BH278" s="12" t="str">
        <f t="shared" ca="1" si="106"/>
        <v>NA</v>
      </c>
      <c r="BI278" s="12" t="str">
        <f t="shared" ca="1" si="107"/>
        <v>NA</v>
      </c>
      <c r="BJ278" s="12" t="str">
        <f t="shared" ca="1" si="108"/>
        <v>NA</v>
      </c>
      <c r="BK278" s="5"/>
      <c r="BL278" s="5"/>
      <c r="BM278" s="12" t="str">
        <f t="shared" ca="1" si="109"/>
        <v>NA</v>
      </c>
      <c r="BN278" s="12" t="str">
        <f t="shared" ca="1" si="110"/>
        <v>NA</v>
      </c>
      <c r="BO278" s="12" t="str">
        <f t="shared" ca="1" si="111"/>
        <v>NA</v>
      </c>
      <c r="BP278" s="5"/>
      <c r="BQ278" s="5"/>
      <c r="BR278" s="5"/>
      <c r="BS278" s="12" t="str">
        <f t="shared" ca="1" si="112"/>
        <v>NA</v>
      </c>
      <c r="BT278" s="12" t="str">
        <f t="shared" ca="1" si="113"/>
        <v>NA</v>
      </c>
      <c r="BU278" s="12" t="str">
        <f t="shared" ca="1" si="114"/>
        <v>NA</v>
      </c>
      <c r="BV278" s="5"/>
      <c r="BW278" s="5"/>
      <c r="BX278" s="12" t="str">
        <f t="shared" ca="1" si="115"/>
        <v>NA</v>
      </c>
      <c r="BY278" s="12" t="str">
        <f t="shared" ca="1" si="116"/>
        <v>NA</v>
      </c>
      <c r="BZ278" s="12" t="str">
        <f t="shared" ca="1" si="117"/>
        <v>NA</v>
      </c>
      <c r="CA278" s="5"/>
    </row>
    <row r="279" spans="1:79" ht="12.75" customHeight="1" x14ac:dyDescent="0.15">
      <c r="A279" s="4">
        <v>2690</v>
      </c>
      <c r="B279" s="5" t="s">
        <v>79</v>
      </c>
      <c r="C279" s="5" t="s">
        <v>852</v>
      </c>
      <c r="D279" s="8" t="s">
        <v>992</v>
      </c>
      <c r="E279" s="7">
        <v>200617</v>
      </c>
      <c r="F279" s="6" t="s">
        <v>1455</v>
      </c>
      <c r="G279" s="8" t="s">
        <v>1077</v>
      </c>
      <c r="H279" s="8" t="s">
        <v>992</v>
      </c>
      <c r="I279" s="8" t="s">
        <v>988</v>
      </c>
      <c r="J279" s="8"/>
      <c r="K279" s="8"/>
      <c r="L279" s="8" t="s">
        <v>82</v>
      </c>
      <c r="M279" s="7">
        <v>2639</v>
      </c>
      <c r="N279" s="7">
        <v>2659</v>
      </c>
      <c r="O279" s="13">
        <v>43613</v>
      </c>
      <c r="P279" s="10" t="str">
        <f t="shared" ca="1" si="84"/>
        <v>NA</v>
      </c>
      <c r="Q279" s="5" t="str">
        <f t="shared" ca="1" si="85"/>
        <v>NA</v>
      </c>
      <c r="R279" s="5" t="str">
        <f t="shared" ca="1" si="86"/>
        <v>NA</v>
      </c>
      <c r="S279" s="7">
        <f t="shared" ca="1" si="87"/>
        <v>2019</v>
      </c>
      <c r="T279" s="7">
        <f t="shared" ca="1" si="88"/>
        <v>5</v>
      </c>
      <c r="U279" s="7">
        <f t="shared" ca="1" si="89"/>
        <v>28</v>
      </c>
      <c r="V279" s="6" t="s">
        <v>1456</v>
      </c>
      <c r="W279" s="14" t="s">
        <v>96</v>
      </c>
      <c r="X279" s="15"/>
      <c r="Y279" s="5">
        <f t="shared" ca="1" si="118"/>
        <v>1</v>
      </c>
      <c r="Z279" s="6"/>
      <c r="AA279" s="12" t="str">
        <f t="shared" ca="1" si="91"/>
        <v>NA</v>
      </c>
      <c r="AB279" s="12" t="str">
        <f t="shared" ca="1" si="92"/>
        <v>NA</v>
      </c>
      <c r="AC279" s="12" t="str">
        <f t="shared" ca="1" si="93"/>
        <v>NA</v>
      </c>
      <c r="AD279" s="6"/>
      <c r="AE279" s="5"/>
      <c r="AF279" s="6"/>
      <c r="AG279" s="5"/>
      <c r="AH279" s="12" t="str">
        <f t="shared" ca="1" si="94"/>
        <v>NA</v>
      </c>
      <c r="AI279" s="12" t="str">
        <f t="shared" ca="1" si="95"/>
        <v>NA</v>
      </c>
      <c r="AJ279" s="12" t="str">
        <f t="shared" ca="1" si="96"/>
        <v>NA</v>
      </c>
      <c r="AK279" s="5"/>
      <c r="AL279" s="5"/>
      <c r="AM279" s="5"/>
      <c r="AN279" s="5"/>
      <c r="AO279" s="11">
        <v>44007</v>
      </c>
      <c r="AP279" s="12">
        <f t="shared" ca="1" si="97"/>
        <v>2020</v>
      </c>
      <c r="AQ279" s="12">
        <f t="shared" ca="1" si="98"/>
        <v>6</v>
      </c>
      <c r="AR279" s="12">
        <f t="shared" ca="1" si="99"/>
        <v>25</v>
      </c>
      <c r="AS279" s="8" t="s">
        <v>1457</v>
      </c>
      <c r="AT279" s="8"/>
      <c r="AU279" s="5"/>
      <c r="AV279" s="12" t="str">
        <f t="shared" ca="1" si="100"/>
        <v>NA</v>
      </c>
      <c r="AW279" s="12" t="str">
        <f t="shared" ca="1" si="101"/>
        <v>NA</v>
      </c>
      <c r="AX279" s="12" t="str">
        <f t="shared" ca="1" si="102"/>
        <v>NA</v>
      </c>
      <c r="AY279" s="5" t="s">
        <v>992</v>
      </c>
      <c r="AZ279" s="5"/>
      <c r="BA279" s="5"/>
      <c r="BB279" s="12" t="str">
        <f t="shared" ca="1" si="103"/>
        <v>NA</v>
      </c>
      <c r="BC279" s="12" t="str">
        <f t="shared" ca="1" si="104"/>
        <v>NA</v>
      </c>
      <c r="BD279" s="12" t="str">
        <f t="shared" ca="1" si="105"/>
        <v>NA</v>
      </c>
      <c r="BE279" s="5"/>
      <c r="BF279" s="5"/>
      <c r="BG279" s="5"/>
      <c r="BH279" s="12" t="str">
        <f t="shared" ca="1" si="106"/>
        <v>NA</v>
      </c>
      <c r="BI279" s="12" t="str">
        <f t="shared" ca="1" si="107"/>
        <v>NA</v>
      </c>
      <c r="BJ279" s="12" t="str">
        <f t="shared" ca="1" si="108"/>
        <v>NA</v>
      </c>
      <c r="BK279" s="5"/>
      <c r="BL279" s="5"/>
      <c r="BM279" s="12" t="str">
        <f t="shared" ca="1" si="109"/>
        <v>NA</v>
      </c>
      <c r="BN279" s="12" t="str">
        <f t="shared" ca="1" si="110"/>
        <v>NA</v>
      </c>
      <c r="BO279" s="12" t="str">
        <f t="shared" ca="1" si="111"/>
        <v>NA</v>
      </c>
      <c r="BP279" s="5"/>
      <c r="BQ279" s="5"/>
      <c r="BR279" s="5"/>
      <c r="BS279" s="12" t="str">
        <f t="shared" ca="1" si="112"/>
        <v>NA</v>
      </c>
      <c r="BT279" s="12" t="str">
        <f t="shared" ca="1" si="113"/>
        <v>NA</v>
      </c>
      <c r="BU279" s="12" t="str">
        <f t="shared" ca="1" si="114"/>
        <v>NA</v>
      </c>
      <c r="BV279" s="5"/>
      <c r="BW279" s="5"/>
      <c r="BX279" s="12" t="str">
        <f t="shared" ca="1" si="115"/>
        <v>NA</v>
      </c>
      <c r="BY279" s="12" t="str">
        <f t="shared" ca="1" si="116"/>
        <v>NA</v>
      </c>
      <c r="BZ279" s="12" t="str">
        <f t="shared" ca="1" si="117"/>
        <v>NA</v>
      </c>
      <c r="CA279" s="5"/>
    </row>
    <row r="280" spans="1:79" ht="12.75" customHeight="1" x14ac:dyDescent="0.15">
      <c r="A280" s="4">
        <v>2691</v>
      </c>
      <c r="B280" s="5" t="s">
        <v>79</v>
      </c>
      <c r="C280" s="5" t="s">
        <v>79</v>
      </c>
      <c r="D280" s="6" t="s">
        <v>1458</v>
      </c>
      <c r="E280" s="7">
        <v>102059</v>
      </c>
      <c r="F280" s="6" t="s">
        <v>1459</v>
      </c>
      <c r="G280" s="8"/>
      <c r="H280" s="8"/>
      <c r="I280" s="8"/>
      <c r="J280" s="8"/>
      <c r="K280" s="8"/>
      <c r="L280" s="8" t="s">
        <v>82</v>
      </c>
      <c r="M280" s="7">
        <v>2667</v>
      </c>
      <c r="N280" s="7">
        <v>2608</v>
      </c>
      <c r="O280" s="13">
        <v>43601</v>
      </c>
      <c r="P280" s="10">
        <f t="shared" ca="1" si="84"/>
        <v>0</v>
      </c>
      <c r="Q280" s="5">
        <f t="shared" ca="1" si="85"/>
        <v>0</v>
      </c>
      <c r="R280" s="5">
        <f t="shared" ca="1" si="86"/>
        <v>0</v>
      </c>
      <c r="S280" s="7">
        <f t="shared" ca="1" si="87"/>
        <v>2019</v>
      </c>
      <c r="T280" s="7">
        <f t="shared" ca="1" si="88"/>
        <v>5</v>
      </c>
      <c r="U280" s="7">
        <f t="shared" ca="1" si="89"/>
        <v>16</v>
      </c>
      <c r="V280" s="6" t="s">
        <v>1460</v>
      </c>
      <c r="W280" s="14" t="s">
        <v>96</v>
      </c>
      <c r="X280" s="15"/>
      <c r="Y280" s="5">
        <f t="shared" ref="Y280:Y293" ca="1" si="119">COUNT(AP280,AV280,BB280,BH280,BM280,BS282,BX282)</f>
        <v>0</v>
      </c>
      <c r="Z280" s="6"/>
      <c r="AA280" s="12" t="str">
        <f t="shared" ca="1" si="91"/>
        <v>NA</v>
      </c>
      <c r="AB280" s="12" t="str">
        <f t="shared" ca="1" si="92"/>
        <v>NA</v>
      </c>
      <c r="AC280" s="12" t="str">
        <f t="shared" ca="1" si="93"/>
        <v>NA</v>
      </c>
      <c r="AD280" s="6"/>
      <c r="AE280" s="5"/>
      <c r="AF280" s="6"/>
      <c r="AG280" s="11">
        <v>43601</v>
      </c>
      <c r="AH280" s="12">
        <f t="shared" ca="1" si="94"/>
        <v>2019</v>
      </c>
      <c r="AI280" s="12">
        <f t="shared" ca="1" si="95"/>
        <v>5</v>
      </c>
      <c r="AJ280" s="12">
        <f t="shared" ca="1" si="96"/>
        <v>16</v>
      </c>
      <c r="AK280" s="8" t="s">
        <v>1461</v>
      </c>
      <c r="AL280" s="8"/>
      <c r="AM280" s="5"/>
      <c r="AN280" s="5"/>
      <c r="AO280" s="5"/>
      <c r="AP280" s="12" t="str">
        <f t="shared" ca="1" si="97"/>
        <v>NA</v>
      </c>
      <c r="AQ280" s="12" t="str">
        <f t="shared" ca="1" si="98"/>
        <v>NA</v>
      </c>
      <c r="AR280" s="12" t="str">
        <f t="shared" ca="1" si="99"/>
        <v>NA</v>
      </c>
      <c r="AS280" s="5"/>
      <c r="AT280" s="5"/>
      <c r="AU280" s="5"/>
      <c r="AV280" s="12" t="str">
        <f t="shared" ca="1" si="100"/>
        <v>NA</v>
      </c>
      <c r="AW280" s="12" t="str">
        <f t="shared" ca="1" si="101"/>
        <v>NA</v>
      </c>
      <c r="AX280" s="12" t="str">
        <f t="shared" ca="1" si="102"/>
        <v>NA</v>
      </c>
      <c r="AY280" s="5"/>
      <c r="AZ280" s="5"/>
      <c r="BA280" s="6"/>
      <c r="BB280" s="12" t="str">
        <f t="shared" ca="1" si="103"/>
        <v>NA</v>
      </c>
      <c r="BC280" s="12" t="str">
        <f t="shared" ca="1" si="104"/>
        <v>NA</v>
      </c>
      <c r="BD280" s="12" t="str">
        <f t="shared" ca="1" si="105"/>
        <v>NA</v>
      </c>
      <c r="BE280" s="5"/>
      <c r="BF280" s="5"/>
      <c r="BG280" s="5"/>
      <c r="BH280" s="12" t="str">
        <f t="shared" ca="1" si="106"/>
        <v>NA</v>
      </c>
      <c r="BI280" s="12" t="str">
        <f t="shared" ca="1" si="107"/>
        <v>NA</v>
      </c>
      <c r="BJ280" s="12" t="str">
        <f t="shared" ca="1" si="108"/>
        <v>NA</v>
      </c>
      <c r="BK280" s="5"/>
      <c r="BL280" s="5"/>
      <c r="BM280" s="12" t="str">
        <f t="shared" ca="1" si="109"/>
        <v>NA</v>
      </c>
      <c r="BN280" s="12" t="str">
        <f t="shared" ca="1" si="110"/>
        <v>NA</v>
      </c>
      <c r="BO280" s="12" t="str">
        <f t="shared" ca="1" si="111"/>
        <v>NA</v>
      </c>
      <c r="BP280" s="5"/>
      <c r="BQ280" s="5"/>
      <c r="BR280" s="5"/>
      <c r="BS280" s="12" t="str">
        <f t="shared" ca="1" si="112"/>
        <v>NA</v>
      </c>
      <c r="BT280" s="12" t="str">
        <f t="shared" ca="1" si="113"/>
        <v>NA</v>
      </c>
      <c r="BU280" s="12" t="str">
        <f t="shared" ca="1" si="114"/>
        <v>NA</v>
      </c>
      <c r="BV280" s="5"/>
      <c r="BW280" s="5"/>
      <c r="BX280" s="12" t="str">
        <f t="shared" ca="1" si="115"/>
        <v>NA</v>
      </c>
      <c r="BY280" s="12" t="str">
        <f t="shared" ca="1" si="116"/>
        <v>NA</v>
      </c>
      <c r="BZ280" s="12" t="str">
        <f t="shared" ca="1" si="117"/>
        <v>NA</v>
      </c>
      <c r="CA280" s="5"/>
    </row>
    <row r="281" spans="1:79" ht="12.75" customHeight="1" x14ac:dyDescent="0.15">
      <c r="A281" s="4">
        <v>2692</v>
      </c>
      <c r="B281" s="5" t="s">
        <v>79</v>
      </c>
      <c r="C281" s="5" t="s">
        <v>79</v>
      </c>
      <c r="D281" s="6" t="s">
        <v>1462</v>
      </c>
      <c r="E281" s="7">
        <v>23127</v>
      </c>
      <c r="F281" s="6" t="s">
        <v>1463</v>
      </c>
      <c r="G281" s="8"/>
      <c r="H281" s="8"/>
      <c r="I281" s="8"/>
      <c r="J281" s="8"/>
      <c r="K281" s="8"/>
      <c r="L281" s="8" t="s">
        <v>82</v>
      </c>
      <c r="M281" s="7">
        <v>2415</v>
      </c>
      <c r="N281" s="7">
        <v>2416</v>
      </c>
      <c r="O281" s="13">
        <v>40446</v>
      </c>
      <c r="P281" s="10">
        <f t="shared" ca="1" si="84"/>
        <v>0</v>
      </c>
      <c r="Q281" s="5">
        <f t="shared" ca="1" si="85"/>
        <v>0</v>
      </c>
      <c r="R281" s="5">
        <f t="shared" ca="1" si="86"/>
        <v>0</v>
      </c>
      <c r="S281" s="7">
        <f t="shared" ca="1" si="87"/>
        <v>2010</v>
      </c>
      <c r="T281" s="7">
        <f t="shared" ca="1" si="88"/>
        <v>9</v>
      </c>
      <c r="U281" s="7">
        <f t="shared" ca="1" si="89"/>
        <v>25</v>
      </c>
      <c r="V281" s="6" t="s">
        <v>1464</v>
      </c>
      <c r="W281" s="14" t="s">
        <v>96</v>
      </c>
      <c r="X281" s="15"/>
      <c r="Y281" s="5">
        <f t="shared" ca="1" si="119"/>
        <v>0</v>
      </c>
      <c r="Z281" s="6"/>
      <c r="AA281" s="12" t="str">
        <f t="shared" ca="1" si="91"/>
        <v>NA</v>
      </c>
      <c r="AB281" s="12" t="str">
        <f t="shared" ca="1" si="92"/>
        <v>NA</v>
      </c>
      <c r="AC281" s="12" t="str">
        <f t="shared" ca="1" si="93"/>
        <v>NA</v>
      </c>
      <c r="AD281" s="6"/>
      <c r="AE281" s="5"/>
      <c r="AF281" s="6"/>
      <c r="AG281" s="11">
        <v>40446</v>
      </c>
      <c r="AH281" s="12">
        <f t="shared" ca="1" si="94"/>
        <v>2010</v>
      </c>
      <c r="AI281" s="12">
        <f t="shared" ca="1" si="95"/>
        <v>9</v>
      </c>
      <c r="AJ281" s="12">
        <f t="shared" ca="1" si="96"/>
        <v>25</v>
      </c>
      <c r="AK281" s="8" t="s">
        <v>1465</v>
      </c>
      <c r="AL281" s="8"/>
      <c r="AM281" s="5"/>
      <c r="AN281" s="5"/>
      <c r="AO281" s="5"/>
      <c r="AP281" s="12" t="str">
        <f t="shared" ca="1" si="97"/>
        <v>NA</v>
      </c>
      <c r="AQ281" s="12" t="str">
        <f t="shared" ca="1" si="98"/>
        <v>NA</v>
      </c>
      <c r="AR281" s="12" t="str">
        <f t="shared" ca="1" si="99"/>
        <v>NA</v>
      </c>
      <c r="AS281" s="5"/>
      <c r="AT281" s="5"/>
      <c r="AU281" s="5"/>
      <c r="AV281" s="12" t="str">
        <f t="shared" ca="1" si="100"/>
        <v>NA</v>
      </c>
      <c r="AW281" s="12" t="str">
        <f t="shared" ca="1" si="101"/>
        <v>NA</v>
      </c>
      <c r="AX281" s="12" t="str">
        <f t="shared" ca="1" si="102"/>
        <v>NA</v>
      </c>
      <c r="AY281" s="5"/>
      <c r="AZ281" s="5"/>
      <c r="BA281" s="6"/>
      <c r="BB281" s="12" t="str">
        <f t="shared" ca="1" si="103"/>
        <v>NA</v>
      </c>
      <c r="BC281" s="12" t="str">
        <f t="shared" ca="1" si="104"/>
        <v>NA</v>
      </c>
      <c r="BD281" s="12" t="str">
        <f t="shared" ca="1" si="105"/>
        <v>NA</v>
      </c>
      <c r="BE281" s="5"/>
      <c r="BF281" s="5"/>
      <c r="BG281" s="5"/>
      <c r="BH281" s="12" t="str">
        <f t="shared" ca="1" si="106"/>
        <v>NA</v>
      </c>
      <c r="BI281" s="12" t="str">
        <f t="shared" ca="1" si="107"/>
        <v>NA</v>
      </c>
      <c r="BJ281" s="12" t="str">
        <f t="shared" ca="1" si="108"/>
        <v>NA</v>
      </c>
      <c r="BK281" s="5"/>
      <c r="BL281" s="5"/>
      <c r="BM281" s="12" t="str">
        <f t="shared" ca="1" si="109"/>
        <v>NA</v>
      </c>
      <c r="BN281" s="12" t="str">
        <f t="shared" ca="1" si="110"/>
        <v>NA</v>
      </c>
      <c r="BO281" s="12" t="str">
        <f t="shared" ca="1" si="111"/>
        <v>NA</v>
      </c>
      <c r="BP281" s="5"/>
      <c r="BQ281" s="5"/>
      <c r="BR281" s="5"/>
      <c r="BS281" s="12" t="str">
        <f t="shared" ca="1" si="112"/>
        <v>NA</v>
      </c>
      <c r="BT281" s="12" t="str">
        <f t="shared" ca="1" si="113"/>
        <v>NA</v>
      </c>
      <c r="BU281" s="12" t="str">
        <f t="shared" ca="1" si="114"/>
        <v>NA</v>
      </c>
      <c r="BV281" s="5"/>
      <c r="BW281" s="5"/>
      <c r="BX281" s="12" t="str">
        <f t="shared" ca="1" si="115"/>
        <v>NA</v>
      </c>
      <c r="BY281" s="12" t="str">
        <f t="shared" ca="1" si="116"/>
        <v>NA</v>
      </c>
      <c r="BZ281" s="12" t="str">
        <f t="shared" ca="1" si="117"/>
        <v>NA</v>
      </c>
      <c r="CA281" s="5"/>
    </row>
    <row r="282" spans="1:79" ht="12.75" customHeight="1" x14ac:dyDescent="0.15">
      <c r="A282" s="4">
        <v>2693</v>
      </c>
      <c r="B282" s="5" t="s">
        <v>79</v>
      </c>
      <c r="C282" s="5" t="s">
        <v>79</v>
      </c>
      <c r="D282" s="6" t="s">
        <v>1466</v>
      </c>
      <c r="E282" s="6" t="s">
        <v>1467</v>
      </c>
      <c r="F282" s="6" t="s">
        <v>1468</v>
      </c>
      <c r="G282" s="8"/>
      <c r="H282" s="8"/>
      <c r="I282" s="8"/>
      <c r="J282" s="8"/>
      <c r="K282" s="8"/>
      <c r="L282" s="8" t="s">
        <v>82</v>
      </c>
      <c r="M282" s="7">
        <v>2417</v>
      </c>
      <c r="N282" s="7">
        <v>2423</v>
      </c>
      <c r="O282" s="13">
        <v>40518</v>
      </c>
      <c r="P282" s="10">
        <f t="shared" ca="1" si="84"/>
        <v>0</v>
      </c>
      <c r="Q282" s="5">
        <f t="shared" ca="1" si="85"/>
        <v>0</v>
      </c>
      <c r="R282" s="5">
        <f t="shared" ca="1" si="86"/>
        <v>0</v>
      </c>
      <c r="S282" s="7">
        <f t="shared" ca="1" si="87"/>
        <v>2010</v>
      </c>
      <c r="T282" s="7">
        <f t="shared" ca="1" si="88"/>
        <v>12</v>
      </c>
      <c r="U282" s="7">
        <f t="shared" ca="1" si="89"/>
        <v>6</v>
      </c>
      <c r="V282" s="6" t="s">
        <v>1469</v>
      </c>
      <c r="W282" s="14" t="s">
        <v>96</v>
      </c>
      <c r="X282" s="15"/>
      <c r="Y282" s="5">
        <f t="shared" ca="1" si="119"/>
        <v>0</v>
      </c>
      <c r="Z282" s="6"/>
      <c r="AA282" s="12" t="str">
        <f t="shared" ca="1" si="91"/>
        <v>NA</v>
      </c>
      <c r="AB282" s="12" t="str">
        <f t="shared" ca="1" si="92"/>
        <v>NA</v>
      </c>
      <c r="AC282" s="12" t="str">
        <f t="shared" ca="1" si="93"/>
        <v>NA</v>
      </c>
      <c r="AD282" s="6"/>
      <c r="AE282" s="5"/>
      <c r="AF282" s="6"/>
      <c r="AG282" s="11">
        <v>40518</v>
      </c>
      <c r="AH282" s="12">
        <f t="shared" ca="1" si="94"/>
        <v>2010</v>
      </c>
      <c r="AI282" s="12">
        <f t="shared" ca="1" si="95"/>
        <v>12</v>
      </c>
      <c r="AJ282" s="12">
        <f t="shared" ca="1" si="96"/>
        <v>6</v>
      </c>
      <c r="AK282" s="8" t="s">
        <v>1470</v>
      </c>
      <c r="AL282" s="8"/>
      <c r="AM282" s="5"/>
      <c r="AN282" s="5"/>
      <c r="AO282" s="5"/>
      <c r="AP282" s="12" t="str">
        <f t="shared" ca="1" si="97"/>
        <v>NA</v>
      </c>
      <c r="AQ282" s="12" t="str">
        <f t="shared" ca="1" si="98"/>
        <v>NA</v>
      </c>
      <c r="AR282" s="12" t="str">
        <f t="shared" ca="1" si="99"/>
        <v>NA</v>
      </c>
      <c r="AS282" s="5"/>
      <c r="AT282" s="5"/>
      <c r="AU282" s="5"/>
      <c r="AV282" s="12" t="str">
        <f t="shared" ca="1" si="100"/>
        <v>NA</v>
      </c>
      <c r="AW282" s="12" t="str">
        <f t="shared" ca="1" si="101"/>
        <v>NA</v>
      </c>
      <c r="AX282" s="12" t="str">
        <f t="shared" ca="1" si="102"/>
        <v>NA</v>
      </c>
      <c r="AY282" s="5"/>
      <c r="AZ282" s="5"/>
      <c r="BA282" s="6"/>
      <c r="BB282" s="12" t="str">
        <f t="shared" ca="1" si="103"/>
        <v>NA</v>
      </c>
      <c r="BC282" s="12" t="str">
        <f t="shared" ca="1" si="104"/>
        <v>NA</v>
      </c>
      <c r="BD282" s="12" t="str">
        <f t="shared" ca="1" si="105"/>
        <v>NA</v>
      </c>
      <c r="BE282" s="5"/>
      <c r="BF282" s="5"/>
      <c r="BG282" s="5"/>
      <c r="BH282" s="12" t="str">
        <f t="shared" ca="1" si="106"/>
        <v>NA</v>
      </c>
      <c r="BI282" s="12" t="str">
        <f t="shared" ca="1" si="107"/>
        <v>NA</v>
      </c>
      <c r="BJ282" s="12" t="str">
        <f t="shared" ca="1" si="108"/>
        <v>NA</v>
      </c>
      <c r="BK282" s="5"/>
      <c r="BL282" s="5"/>
      <c r="BM282" s="12" t="str">
        <f t="shared" ca="1" si="109"/>
        <v>NA</v>
      </c>
      <c r="BN282" s="12" t="str">
        <f t="shared" ca="1" si="110"/>
        <v>NA</v>
      </c>
      <c r="BO282" s="12" t="str">
        <f t="shared" ca="1" si="111"/>
        <v>NA</v>
      </c>
      <c r="BP282" s="5"/>
      <c r="BQ282" s="5"/>
      <c r="BR282" s="5"/>
      <c r="BS282" s="12" t="str">
        <f t="shared" ca="1" si="112"/>
        <v>NA</v>
      </c>
      <c r="BT282" s="12" t="str">
        <f t="shared" ca="1" si="113"/>
        <v>NA</v>
      </c>
      <c r="BU282" s="12" t="str">
        <f t="shared" ca="1" si="114"/>
        <v>NA</v>
      </c>
      <c r="BV282" s="5"/>
      <c r="BW282" s="5"/>
      <c r="BX282" s="12" t="str">
        <f t="shared" ca="1" si="115"/>
        <v>NA</v>
      </c>
      <c r="BY282" s="12" t="str">
        <f t="shared" ca="1" si="116"/>
        <v>NA</v>
      </c>
      <c r="BZ282" s="12" t="str">
        <f t="shared" ca="1" si="117"/>
        <v>NA</v>
      </c>
      <c r="CA282" s="5"/>
    </row>
    <row r="283" spans="1:79" ht="12.75" customHeight="1" x14ac:dyDescent="0.15">
      <c r="A283" s="4">
        <v>2694</v>
      </c>
      <c r="B283" s="5" t="s">
        <v>79</v>
      </c>
      <c r="C283" s="5" t="s">
        <v>79</v>
      </c>
      <c r="D283" s="6" t="s">
        <v>1471</v>
      </c>
      <c r="E283" s="7">
        <v>23128</v>
      </c>
      <c r="F283" s="6" t="s">
        <v>1472</v>
      </c>
      <c r="G283" s="8"/>
      <c r="H283" s="8"/>
      <c r="I283" s="8"/>
      <c r="J283" s="8"/>
      <c r="K283" s="8"/>
      <c r="L283" s="8" t="s">
        <v>82</v>
      </c>
      <c r="M283" s="7">
        <v>2415</v>
      </c>
      <c r="N283" s="7">
        <v>2416</v>
      </c>
      <c r="O283" s="13">
        <v>40448</v>
      </c>
      <c r="P283" s="10">
        <f t="shared" ca="1" si="84"/>
        <v>0</v>
      </c>
      <c r="Q283" s="5">
        <f t="shared" ca="1" si="85"/>
        <v>0</v>
      </c>
      <c r="R283" s="5">
        <f t="shared" ca="1" si="86"/>
        <v>0</v>
      </c>
      <c r="S283" s="7">
        <f t="shared" ca="1" si="87"/>
        <v>2010</v>
      </c>
      <c r="T283" s="7">
        <f t="shared" ca="1" si="88"/>
        <v>9</v>
      </c>
      <c r="U283" s="7">
        <f t="shared" ca="1" si="89"/>
        <v>27</v>
      </c>
      <c r="V283" s="6" t="s">
        <v>1473</v>
      </c>
      <c r="W283" s="14" t="s">
        <v>96</v>
      </c>
      <c r="X283" s="15"/>
      <c r="Y283" s="5">
        <f t="shared" ca="1" si="119"/>
        <v>0</v>
      </c>
      <c r="Z283" s="6"/>
      <c r="AA283" s="12" t="str">
        <f t="shared" ca="1" si="91"/>
        <v>NA</v>
      </c>
      <c r="AB283" s="12" t="str">
        <f t="shared" ca="1" si="92"/>
        <v>NA</v>
      </c>
      <c r="AC283" s="12" t="str">
        <f t="shared" ca="1" si="93"/>
        <v>NA</v>
      </c>
      <c r="AD283" s="6"/>
      <c r="AE283" s="5"/>
      <c r="AF283" s="6"/>
      <c r="AG283" s="11">
        <v>40448</v>
      </c>
      <c r="AH283" s="12">
        <f t="shared" ca="1" si="94"/>
        <v>2010</v>
      </c>
      <c r="AI283" s="12">
        <f t="shared" ca="1" si="95"/>
        <v>9</v>
      </c>
      <c r="AJ283" s="12">
        <f t="shared" ca="1" si="96"/>
        <v>27</v>
      </c>
      <c r="AK283" s="8" t="s">
        <v>1474</v>
      </c>
      <c r="AL283" s="8"/>
      <c r="AM283" s="5"/>
      <c r="AN283" s="5"/>
      <c r="AO283" s="5"/>
      <c r="AP283" s="12" t="str">
        <f t="shared" ca="1" si="97"/>
        <v>NA</v>
      </c>
      <c r="AQ283" s="12" t="str">
        <f t="shared" ca="1" si="98"/>
        <v>NA</v>
      </c>
      <c r="AR283" s="12" t="str">
        <f t="shared" ca="1" si="99"/>
        <v>NA</v>
      </c>
      <c r="AS283" s="5"/>
      <c r="AT283" s="5"/>
      <c r="AU283" s="5"/>
      <c r="AV283" s="12" t="str">
        <f t="shared" ca="1" si="100"/>
        <v>NA</v>
      </c>
      <c r="AW283" s="12" t="str">
        <f t="shared" ca="1" si="101"/>
        <v>NA</v>
      </c>
      <c r="AX283" s="12" t="str">
        <f t="shared" ca="1" si="102"/>
        <v>NA</v>
      </c>
      <c r="AY283" s="5"/>
      <c r="AZ283" s="5"/>
      <c r="BA283" s="6"/>
      <c r="BB283" s="12" t="str">
        <f t="shared" ca="1" si="103"/>
        <v>NA</v>
      </c>
      <c r="BC283" s="12" t="str">
        <f t="shared" ca="1" si="104"/>
        <v>NA</v>
      </c>
      <c r="BD283" s="12" t="str">
        <f t="shared" ca="1" si="105"/>
        <v>NA</v>
      </c>
      <c r="BE283" s="5"/>
      <c r="BF283" s="5"/>
      <c r="BG283" s="5"/>
      <c r="BH283" s="12" t="str">
        <f t="shared" ca="1" si="106"/>
        <v>NA</v>
      </c>
      <c r="BI283" s="12" t="str">
        <f t="shared" ca="1" si="107"/>
        <v>NA</v>
      </c>
      <c r="BJ283" s="12" t="str">
        <f t="shared" ca="1" si="108"/>
        <v>NA</v>
      </c>
      <c r="BK283" s="5"/>
      <c r="BL283" s="5"/>
      <c r="BM283" s="12" t="str">
        <f t="shared" ca="1" si="109"/>
        <v>NA</v>
      </c>
      <c r="BN283" s="12" t="str">
        <f t="shared" ca="1" si="110"/>
        <v>NA</v>
      </c>
      <c r="BO283" s="12" t="str">
        <f t="shared" ca="1" si="111"/>
        <v>NA</v>
      </c>
      <c r="BP283" s="5"/>
      <c r="BQ283" s="5"/>
      <c r="BR283" s="5"/>
      <c r="BS283" s="12" t="str">
        <f t="shared" ca="1" si="112"/>
        <v>NA</v>
      </c>
      <c r="BT283" s="12" t="str">
        <f t="shared" ca="1" si="113"/>
        <v>NA</v>
      </c>
      <c r="BU283" s="12" t="str">
        <f t="shared" ca="1" si="114"/>
        <v>NA</v>
      </c>
      <c r="BV283" s="5"/>
      <c r="BW283" s="5"/>
      <c r="BX283" s="12" t="str">
        <f t="shared" ca="1" si="115"/>
        <v>NA</v>
      </c>
      <c r="BY283" s="12" t="str">
        <f t="shared" ca="1" si="116"/>
        <v>NA</v>
      </c>
      <c r="BZ283" s="12" t="str">
        <f t="shared" ca="1" si="117"/>
        <v>NA</v>
      </c>
      <c r="CA283" s="5"/>
    </row>
    <row r="284" spans="1:79" ht="12.75" customHeight="1" x14ac:dyDescent="0.15">
      <c r="A284" s="4">
        <v>2695</v>
      </c>
      <c r="B284" s="5" t="s">
        <v>79</v>
      </c>
      <c r="C284" s="5" t="s">
        <v>79</v>
      </c>
      <c r="D284" s="6" t="s">
        <v>1475</v>
      </c>
      <c r="E284" s="7">
        <v>100653</v>
      </c>
      <c r="F284" s="6" t="s">
        <v>1476</v>
      </c>
      <c r="G284" s="8"/>
      <c r="H284" s="8"/>
      <c r="I284" s="8"/>
      <c r="J284" s="8"/>
      <c r="K284" s="8"/>
      <c r="L284" s="8" t="s">
        <v>82</v>
      </c>
      <c r="M284" s="7">
        <v>2408</v>
      </c>
      <c r="N284" s="7">
        <v>2400</v>
      </c>
      <c r="O284" s="13">
        <v>39772</v>
      </c>
      <c r="P284" s="10">
        <f t="shared" ca="1" si="84"/>
        <v>2.7777777777777779E-3</v>
      </c>
      <c r="Q284" s="5">
        <f t="shared" ca="1" si="85"/>
        <v>0</v>
      </c>
      <c r="R284" s="5">
        <f t="shared" ca="1" si="86"/>
        <v>1</v>
      </c>
      <c r="S284" s="7">
        <f t="shared" ca="1" si="87"/>
        <v>2008</v>
      </c>
      <c r="T284" s="7">
        <f t="shared" ca="1" si="88"/>
        <v>11</v>
      </c>
      <c r="U284" s="7">
        <f t="shared" ca="1" si="89"/>
        <v>20</v>
      </c>
      <c r="V284" s="6" t="s">
        <v>1477</v>
      </c>
      <c r="W284" s="14" t="s">
        <v>96</v>
      </c>
      <c r="X284" s="15"/>
      <c r="Y284" s="5">
        <f t="shared" ca="1" si="119"/>
        <v>0</v>
      </c>
      <c r="Z284" s="6"/>
      <c r="AA284" s="12" t="str">
        <f t="shared" ca="1" si="91"/>
        <v>NA</v>
      </c>
      <c r="AB284" s="12" t="str">
        <f t="shared" ca="1" si="92"/>
        <v>NA</v>
      </c>
      <c r="AC284" s="12" t="str">
        <f t="shared" ca="1" si="93"/>
        <v>NA</v>
      </c>
      <c r="AD284" s="6"/>
      <c r="AE284" s="5"/>
      <c r="AF284" s="6"/>
      <c r="AG284" s="11">
        <v>39773</v>
      </c>
      <c r="AH284" s="12">
        <f t="shared" ca="1" si="94"/>
        <v>2008</v>
      </c>
      <c r="AI284" s="12">
        <f t="shared" ca="1" si="95"/>
        <v>11</v>
      </c>
      <c r="AJ284" s="12">
        <f t="shared" ca="1" si="96"/>
        <v>21</v>
      </c>
      <c r="AK284" s="8" t="s">
        <v>1478</v>
      </c>
      <c r="AL284" s="8"/>
      <c r="AM284" s="5"/>
      <c r="AN284" s="5"/>
      <c r="AO284" s="5"/>
      <c r="AP284" s="12" t="str">
        <f t="shared" ca="1" si="97"/>
        <v>NA</v>
      </c>
      <c r="AQ284" s="12" t="str">
        <f t="shared" ca="1" si="98"/>
        <v>NA</v>
      </c>
      <c r="AR284" s="12" t="str">
        <f t="shared" ca="1" si="99"/>
        <v>NA</v>
      </c>
      <c r="AS284" s="5"/>
      <c r="AT284" s="5"/>
      <c r="AU284" s="5"/>
      <c r="AV284" s="12" t="str">
        <f t="shared" ca="1" si="100"/>
        <v>NA</v>
      </c>
      <c r="AW284" s="12" t="str">
        <f t="shared" ca="1" si="101"/>
        <v>NA</v>
      </c>
      <c r="AX284" s="12" t="str">
        <f t="shared" ca="1" si="102"/>
        <v>NA</v>
      </c>
      <c r="AY284" s="5"/>
      <c r="AZ284" s="5"/>
      <c r="BA284" s="6"/>
      <c r="BB284" s="12" t="str">
        <f t="shared" ca="1" si="103"/>
        <v>NA</v>
      </c>
      <c r="BC284" s="12" t="str">
        <f t="shared" ca="1" si="104"/>
        <v>NA</v>
      </c>
      <c r="BD284" s="12" t="str">
        <f t="shared" ca="1" si="105"/>
        <v>NA</v>
      </c>
      <c r="BE284" s="5"/>
      <c r="BF284" s="5"/>
      <c r="BG284" s="5"/>
      <c r="BH284" s="12" t="str">
        <f t="shared" ca="1" si="106"/>
        <v>NA</v>
      </c>
      <c r="BI284" s="12" t="str">
        <f t="shared" ca="1" si="107"/>
        <v>NA</v>
      </c>
      <c r="BJ284" s="12" t="str">
        <f t="shared" ca="1" si="108"/>
        <v>NA</v>
      </c>
      <c r="BK284" s="5"/>
      <c r="BL284" s="5"/>
      <c r="BM284" s="12" t="str">
        <f t="shared" ca="1" si="109"/>
        <v>NA</v>
      </c>
      <c r="BN284" s="12" t="str">
        <f t="shared" ca="1" si="110"/>
        <v>NA</v>
      </c>
      <c r="BO284" s="12" t="str">
        <f t="shared" ca="1" si="111"/>
        <v>NA</v>
      </c>
      <c r="BP284" s="5"/>
      <c r="BQ284" s="5"/>
      <c r="BR284" s="5"/>
      <c r="BS284" s="12" t="str">
        <f t="shared" ca="1" si="112"/>
        <v>NA</v>
      </c>
      <c r="BT284" s="12" t="str">
        <f t="shared" ca="1" si="113"/>
        <v>NA</v>
      </c>
      <c r="BU284" s="12" t="str">
        <f t="shared" ca="1" si="114"/>
        <v>NA</v>
      </c>
      <c r="BV284" s="5"/>
      <c r="BW284" s="5"/>
      <c r="BX284" s="12" t="str">
        <f t="shared" ca="1" si="115"/>
        <v>NA</v>
      </c>
      <c r="BY284" s="12" t="str">
        <f t="shared" ca="1" si="116"/>
        <v>NA</v>
      </c>
      <c r="BZ284" s="12" t="str">
        <f t="shared" ca="1" si="117"/>
        <v>NA</v>
      </c>
      <c r="CA284" s="5"/>
    </row>
    <row r="285" spans="1:79" ht="12.75" customHeight="1" x14ac:dyDescent="0.15">
      <c r="A285" s="4">
        <v>2696</v>
      </c>
      <c r="B285" s="5" t="s">
        <v>79</v>
      </c>
      <c r="C285" s="5" t="s">
        <v>79</v>
      </c>
      <c r="D285" s="6" t="s">
        <v>1479</v>
      </c>
      <c r="E285" s="7">
        <v>100507</v>
      </c>
      <c r="F285" s="6" t="s">
        <v>1480</v>
      </c>
      <c r="G285" s="8"/>
      <c r="H285" s="8"/>
      <c r="I285" s="8"/>
      <c r="J285" s="8"/>
      <c r="K285" s="8"/>
      <c r="L285" s="8" t="s">
        <v>82</v>
      </c>
      <c r="M285" s="7">
        <v>2408</v>
      </c>
      <c r="N285" s="7">
        <v>2400</v>
      </c>
      <c r="O285" s="13">
        <v>39541</v>
      </c>
      <c r="P285" s="10">
        <f t="shared" ca="1" si="84"/>
        <v>0</v>
      </c>
      <c r="Q285" s="5">
        <f t="shared" ca="1" si="85"/>
        <v>0</v>
      </c>
      <c r="R285" s="5">
        <f t="shared" ca="1" si="86"/>
        <v>0</v>
      </c>
      <c r="S285" s="7">
        <f t="shared" ca="1" si="87"/>
        <v>2008</v>
      </c>
      <c r="T285" s="7">
        <f t="shared" ca="1" si="88"/>
        <v>4</v>
      </c>
      <c r="U285" s="7">
        <f t="shared" ca="1" si="89"/>
        <v>3</v>
      </c>
      <c r="V285" s="6" t="s">
        <v>1481</v>
      </c>
      <c r="W285" s="14" t="s">
        <v>96</v>
      </c>
      <c r="X285" s="15"/>
      <c r="Y285" s="5">
        <f t="shared" ca="1" si="119"/>
        <v>0</v>
      </c>
      <c r="Z285" s="6"/>
      <c r="AA285" s="12" t="str">
        <f t="shared" ca="1" si="91"/>
        <v>NA</v>
      </c>
      <c r="AB285" s="12" t="str">
        <f t="shared" ca="1" si="92"/>
        <v>NA</v>
      </c>
      <c r="AC285" s="12" t="str">
        <f t="shared" ca="1" si="93"/>
        <v>NA</v>
      </c>
      <c r="AD285" s="6"/>
      <c r="AE285" s="5"/>
      <c r="AF285" s="6"/>
      <c r="AG285" s="11">
        <v>39541</v>
      </c>
      <c r="AH285" s="12">
        <f t="shared" ca="1" si="94"/>
        <v>2008</v>
      </c>
      <c r="AI285" s="12">
        <f t="shared" ca="1" si="95"/>
        <v>4</v>
      </c>
      <c r="AJ285" s="12">
        <f t="shared" ca="1" si="96"/>
        <v>3</v>
      </c>
      <c r="AK285" s="8" t="s">
        <v>1482</v>
      </c>
      <c r="AL285" s="8"/>
      <c r="AM285" s="5"/>
      <c r="AN285" s="5"/>
      <c r="AO285" s="5"/>
      <c r="AP285" s="12" t="str">
        <f t="shared" ca="1" si="97"/>
        <v>NA</v>
      </c>
      <c r="AQ285" s="12" t="str">
        <f t="shared" ca="1" si="98"/>
        <v>NA</v>
      </c>
      <c r="AR285" s="12" t="str">
        <f t="shared" ca="1" si="99"/>
        <v>NA</v>
      </c>
      <c r="AS285" s="5"/>
      <c r="AT285" s="5"/>
      <c r="AU285" s="5"/>
      <c r="AV285" s="12" t="str">
        <f t="shared" ca="1" si="100"/>
        <v>NA</v>
      </c>
      <c r="AW285" s="12" t="str">
        <f t="shared" ca="1" si="101"/>
        <v>NA</v>
      </c>
      <c r="AX285" s="12" t="str">
        <f t="shared" ca="1" si="102"/>
        <v>NA</v>
      </c>
      <c r="AY285" s="5"/>
      <c r="AZ285" s="5"/>
      <c r="BA285" s="6"/>
      <c r="BB285" s="12" t="str">
        <f t="shared" ca="1" si="103"/>
        <v>NA</v>
      </c>
      <c r="BC285" s="12" t="str">
        <f t="shared" ca="1" si="104"/>
        <v>NA</v>
      </c>
      <c r="BD285" s="12" t="str">
        <f t="shared" ca="1" si="105"/>
        <v>NA</v>
      </c>
      <c r="BE285" s="5"/>
      <c r="BF285" s="5"/>
      <c r="BG285" s="5"/>
      <c r="BH285" s="12" t="str">
        <f t="shared" ca="1" si="106"/>
        <v>NA</v>
      </c>
      <c r="BI285" s="12" t="str">
        <f t="shared" ca="1" si="107"/>
        <v>NA</v>
      </c>
      <c r="BJ285" s="12" t="str">
        <f t="shared" ca="1" si="108"/>
        <v>NA</v>
      </c>
      <c r="BK285" s="5"/>
      <c r="BL285" s="5"/>
      <c r="BM285" s="12" t="str">
        <f t="shared" ca="1" si="109"/>
        <v>NA</v>
      </c>
      <c r="BN285" s="12" t="str">
        <f t="shared" ca="1" si="110"/>
        <v>NA</v>
      </c>
      <c r="BO285" s="12" t="str">
        <f t="shared" ca="1" si="111"/>
        <v>NA</v>
      </c>
      <c r="BP285" s="5"/>
      <c r="BQ285" s="5"/>
      <c r="BR285" s="5"/>
      <c r="BS285" s="12" t="str">
        <f t="shared" ca="1" si="112"/>
        <v>NA</v>
      </c>
      <c r="BT285" s="12" t="str">
        <f t="shared" ca="1" si="113"/>
        <v>NA</v>
      </c>
      <c r="BU285" s="12" t="str">
        <f t="shared" ca="1" si="114"/>
        <v>NA</v>
      </c>
      <c r="BV285" s="5"/>
      <c r="BW285" s="5"/>
      <c r="BX285" s="12" t="str">
        <f t="shared" ca="1" si="115"/>
        <v>NA</v>
      </c>
      <c r="BY285" s="12" t="str">
        <f t="shared" ca="1" si="116"/>
        <v>NA</v>
      </c>
      <c r="BZ285" s="12" t="str">
        <f t="shared" ca="1" si="117"/>
        <v>NA</v>
      </c>
      <c r="CA285" s="5"/>
    </row>
    <row r="286" spans="1:79" ht="12.75" customHeight="1" x14ac:dyDescent="0.15">
      <c r="A286" s="4">
        <v>2697</v>
      </c>
      <c r="B286" s="5" t="s">
        <v>79</v>
      </c>
      <c r="C286" s="5" t="s">
        <v>79</v>
      </c>
      <c r="D286" s="6" t="s">
        <v>1483</v>
      </c>
      <c r="E286" s="7">
        <v>100508</v>
      </c>
      <c r="F286" s="6" t="s">
        <v>1484</v>
      </c>
      <c r="G286" s="8"/>
      <c r="H286" s="8"/>
      <c r="I286" s="8"/>
      <c r="J286" s="8"/>
      <c r="K286" s="8"/>
      <c r="L286" s="8" t="s">
        <v>82</v>
      </c>
      <c r="M286" s="7">
        <v>2408</v>
      </c>
      <c r="N286" s="7">
        <v>2400</v>
      </c>
      <c r="O286" s="13">
        <v>39541</v>
      </c>
      <c r="P286" s="10">
        <f t="shared" ca="1" si="84"/>
        <v>0</v>
      </c>
      <c r="Q286" s="5">
        <f t="shared" ca="1" si="85"/>
        <v>0</v>
      </c>
      <c r="R286" s="5">
        <f t="shared" ca="1" si="86"/>
        <v>0</v>
      </c>
      <c r="S286" s="7">
        <f t="shared" ca="1" si="87"/>
        <v>2008</v>
      </c>
      <c r="T286" s="7">
        <f t="shared" ca="1" si="88"/>
        <v>4</v>
      </c>
      <c r="U286" s="7">
        <f t="shared" ca="1" si="89"/>
        <v>3</v>
      </c>
      <c r="V286" s="6" t="s">
        <v>1485</v>
      </c>
      <c r="W286" s="14" t="s">
        <v>96</v>
      </c>
      <c r="X286" s="15"/>
      <c r="Y286" s="5">
        <f t="shared" ca="1" si="119"/>
        <v>0</v>
      </c>
      <c r="Z286" s="6"/>
      <c r="AA286" s="12" t="str">
        <f t="shared" ca="1" si="91"/>
        <v>NA</v>
      </c>
      <c r="AB286" s="12" t="str">
        <f t="shared" ca="1" si="92"/>
        <v>NA</v>
      </c>
      <c r="AC286" s="12" t="str">
        <f t="shared" ca="1" si="93"/>
        <v>NA</v>
      </c>
      <c r="AD286" s="6"/>
      <c r="AE286" s="5"/>
      <c r="AF286" s="6"/>
      <c r="AG286" s="11">
        <v>39541</v>
      </c>
      <c r="AH286" s="12">
        <f t="shared" ca="1" si="94"/>
        <v>2008</v>
      </c>
      <c r="AI286" s="12">
        <f t="shared" ca="1" si="95"/>
        <v>4</v>
      </c>
      <c r="AJ286" s="12">
        <f t="shared" ca="1" si="96"/>
        <v>3</v>
      </c>
      <c r="AK286" s="8" t="s">
        <v>1486</v>
      </c>
      <c r="AL286" s="8"/>
      <c r="AM286" s="5"/>
      <c r="AN286" s="5"/>
      <c r="AO286" s="5"/>
      <c r="AP286" s="12" t="str">
        <f t="shared" ca="1" si="97"/>
        <v>NA</v>
      </c>
      <c r="AQ286" s="12" t="str">
        <f t="shared" ca="1" si="98"/>
        <v>NA</v>
      </c>
      <c r="AR286" s="12" t="str">
        <f t="shared" ca="1" si="99"/>
        <v>NA</v>
      </c>
      <c r="AS286" s="5"/>
      <c r="AT286" s="5"/>
      <c r="AU286" s="5"/>
      <c r="AV286" s="12" t="str">
        <f t="shared" ca="1" si="100"/>
        <v>NA</v>
      </c>
      <c r="AW286" s="12" t="str">
        <f t="shared" ca="1" si="101"/>
        <v>NA</v>
      </c>
      <c r="AX286" s="12" t="str">
        <f t="shared" ca="1" si="102"/>
        <v>NA</v>
      </c>
      <c r="AY286" s="5"/>
      <c r="AZ286" s="5"/>
      <c r="BA286" s="6"/>
      <c r="BB286" s="12" t="str">
        <f t="shared" ca="1" si="103"/>
        <v>NA</v>
      </c>
      <c r="BC286" s="12" t="str">
        <f t="shared" ca="1" si="104"/>
        <v>NA</v>
      </c>
      <c r="BD286" s="12" t="str">
        <f t="shared" ca="1" si="105"/>
        <v>NA</v>
      </c>
      <c r="BE286" s="5"/>
      <c r="BF286" s="5"/>
      <c r="BG286" s="5"/>
      <c r="BH286" s="12" t="str">
        <f t="shared" ca="1" si="106"/>
        <v>NA</v>
      </c>
      <c r="BI286" s="12" t="str">
        <f t="shared" ca="1" si="107"/>
        <v>NA</v>
      </c>
      <c r="BJ286" s="12" t="str">
        <f t="shared" ca="1" si="108"/>
        <v>NA</v>
      </c>
      <c r="BK286" s="5"/>
      <c r="BL286" s="5"/>
      <c r="BM286" s="12" t="str">
        <f t="shared" ca="1" si="109"/>
        <v>NA</v>
      </c>
      <c r="BN286" s="12" t="str">
        <f t="shared" ca="1" si="110"/>
        <v>NA</v>
      </c>
      <c r="BO286" s="12" t="str">
        <f t="shared" ca="1" si="111"/>
        <v>NA</v>
      </c>
      <c r="BP286" s="5"/>
      <c r="BQ286" s="5"/>
      <c r="BR286" s="5"/>
      <c r="BS286" s="12" t="str">
        <f t="shared" ca="1" si="112"/>
        <v>NA</v>
      </c>
      <c r="BT286" s="12" t="str">
        <f t="shared" ca="1" si="113"/>
        <v>NA</v>
      </c>
      <c r="BU286" s="12" t="str">
        <f t="shared" ca="1" si="114"/>
        <v>NA</v>
      </c>
      <c r="BV286" s="5"/>
      <c r="BW286" s="5"/>
      <c r="BX286" s="12" t="str">
        <f t="shared" ca="1" si="115"/>
        <v>NA</v>
      </c>
      <c r="BY286" s="12" t="str">
        <f t="shared" ca="1" si="116"/>
        <v>NA</v>
      </c>
      <c r="BZ286" s="12" t="str">
        <f t="shared" ca="1" si="117"/>
        <v>NA</v>
      </c>
      <c r="CA286" s="5"/>
    </row>
    <row r="287" spans="1:79" ht="12.75" customHeight="1" x14ac:dyDescent="0.15">
      <c r="A287" s="4">
        <v>2698</v>
      </c>
      <c r="B287" s="5" t="s">
        <v>79</v>
      </c>
      <c r="C287" s="5" t="s">
        <v>79</v>
      </c>
      <c r="D287" s="6" t="s">
        <v>1487</v>
      </c>
      <c r="E287" s="7">
        <v>100423</v>
      </c>
      <c r="F287" s="6" t="s">
        <v>1488</v>
      </c>
      <c r="G287" s="8"/>
      <c r="H287" s="8"/>
      <c r="I287" s="8"/>
      <c r="J287" s="8"/>
      <c r="K287" s="8"/>
      <c r="L287" s="8" t="s">
        <v>82</v>
      </c>
      <c r="M287" s="7">
        <v>2408</v>
      </c>
      <c r="N287" s="7">
        <v>2400</v>
      </c>
      <c r="O287" s="13">
        <v>39248</v>
      </c>
      <c r="P287" s="10">
        <f t="shared" ca="1" si="84"/>
        <v>2.7777777777777779E-3</v>
      </c>
      <c r="Q287" s="5">
        <f t="shared" ca="1" si="85"/>
        <v>0</v>
      </c>
      <c r="R287" s="5">
        <f t="shared" ca="1" si="86"/>
        <v>1</v>
      </c>
      <c r="S287" s="7">
        <f t="shared" ca="1" si="87"/>
        <v>2007</v>
      </c>
      <c r="T287" s="7">
        <f t="shared" ca="1" si="88"/>
        <v>6</v>
      </c>
      <c r="U287" s="7">
        <f t="shared" ca="1" si="89"/>
        <v>15</v>
      </c>
      <c r="V287" s="6" t="s">
        <v>1489</v>
      </c>
      <c r="W287" s="14" t="s">
        <v>96</v>
      </c>
      <c r="X287" s="15"/>
      <c r="Y287" s="5">
        <f t="shared" ca="1" si="119"/>
        <v>0</v>
      </c>
      <c r="Z287" s="6"/>
      <c r="AA287" s="12" t="str">
        <f t="shared" ca="1" si="91"/>
        <v>NA</v>
      </c>
      <c r="AB287" s="12" t="str">
        <f t="shared" ca="1" si="92"/>
        <v>NA</v>
      </c>
      <c r="AC287" s="12" t="str">
        <f t="shared" ca="1" si="93"/>
        <v>NA</v>
      </c>
      <c r="AD287" s="6"/>
      <c r="AE287" s="5"/>
      <c r="AF287" s="6"/>
      <c r="AG287" s="11">
        <v>39249</v>
      </c>
      <c r="AH287" s="12">
        <f t="shared" ca="1" si="94"/>
        <v>2007</v>
      </c>
      <c r="AI287" s="12">
        <f t="shared" ca="1" si="95"/>
        <v>6</v>
      </c>
      <c r="AJ287" s="12">
        <f t="shared" ca="1" si="96"/>
        <v>16</v>
      </c>
      <c r="AK287" s="8" t="s">
        <v>1490</v>
      </c>
      <c r="AL287" s="8"/>
      <c r="AM287" s="5"/>
      <c r="AN287" s="5"/>
      <c r="AO287" s="5"/>
      <c r="AP287" s="12" t="str">
        <f t="shared" ca="1" si="97"/>
        <v>NA</v>
      </c>
      <c r="AQ287" s="12" t="str">
        <f t="shared" ca="1" si="98"/>
        <v>NA</v>
      </c>
      <c r="AR287" s="12" t="str">
        <f t="shared" ca="1" si="99"/>
        <v>NA</v>
      </c>
      <c r="AS287" s="5"/>
      <c r="AT287" s="5"/>
      <c r="AU287" s="5"/>
      <c r="AV287" s="12" t="str">
        <f t="shared" ca="1" si="100"/>
        <v>NA</v>
      </c>
      <c r="AW287" s="12" t="str">
        <f t="shared" ca="1" si="101"/>
        <v>NA</v>
      </c>
      <c r="AX287" s="12" t="str">
        <f t="shared" ca="1" si="102"/>
        <v>NA</v>
      </c>
      <c r="AY287" s="5"/>
      <c r="AZ287" s="5"/>
      <c r="BA287" s="6"/>
      <c r="BB287" s="12" t="str">
        <f t="shared" ca="1" si="103"/>
        <v>NA</v>
      </c>
      <c r="BC287" s="12" t="str">
        <f t="shared" ca="1" si="104"/>
        <v>NA</v>
      </c>
      <c r="BD287" s="12" t="str">
        <f t="shared" ca="1" si="105"/>
        <v>NA</v>
      </c>
      <c r="BE287" s="5"/>
      <c r="BF287" s="5"/>
      <c r="BG287" s="5"/>
      <c r="BH287" s="12" t="str">
        <f t="shared" ca="1" si="106"/>
        <v>NA</v>
      </c>
      <c r="BI287" s="12" t="str">
        <f t="shared" ca="1" si="107"/>
        <v>NA</v>
      </c>
      <c r="BJ287" s="12" t="str">
        <f t="shared" ca="1" si="108"/>
        <v>NA</v>
      </c>
      <c r="BK287" s="5"/>
      <c r="BL287" s="5"/>
      <c r="BM287" s="12" t="str">
        <f t="shared" ca="1" si="109"/>
        <v>NA</v>
      </c>
      <c r="BN287" s="12" t="str">
        <f t="shared" ca="1" si="110"/>
        <v>NA</v>
      </c>
      <c r="BO287" s="12" t="str">
        <f t="shared" ca="1" si="111"/>
        <v>NA</v>
      </c>
      <c r="BP287" s="5"/>
      <c r="BQ287" s="5"/>
      <c r="BR287" s="5"/>
      <c r="BS287" s="12" t="str">
        <f t="shared" ca="1" si="112"/>
        <v>NA</v>
      </c>
      <c r="BT287" s="12" t="str">
        <f t="shared" ca="1" si="113"/>
        <v>NA</v>
      </c>
      <c r="BU287" s="12" t="str">
        <f t="shared" ca="1" si="114"/>
        <v>NA</v>
      </c>
      <c r="BV287" s="5"/>
      <c r="BW287" s="5"/>
      <c r="BX287" s="12" t="str">
        <f t="shared" ca="1" si="115"/>
        <v>NA</v>
      </c>
      <c r="BY287" s="12" t="str">
        <f t="shared" ca="1" si="116"/>
        <v>NA</v>
      </c>
      <c r="BZ287" s="12" t="str">
        <f t="shared" ca="1" si="117"/>
        <v>NA</v>
      </c>
      <c r="CA287" s="5"/>
    </row>
    <row r="288" spans="1:79" ht="12.75" customHeight="1" x14ac:dyDescent="0.15">
      <c r="A288" s="4">
        <v>2699</v>
      </c>
      <c r="B288" s="5" t="s">
        <v>79</v>
      </c>
      <c r="C288" s="5" t="s">
        <v>79</v>
      </c>
      <c r="D288" s="6" t="s">
        <v>1491</v>
      </c>
      <c r="E288" s="7">
        <v>100424</v>
      </c>
      <c r="F288" s="6" t="s">
        <v>1492</v>
      </c>
      <c r="G288" s="8"/>
      <c r="H288" s="8"/>
      <c r="I288" s="8"/>
      <c r="J288" s="8"/>
      <c r="K288" s="8"/>
      <c r="L288" s="8" t="s">
        <v>82</v>
      </c>
      <c r="M288" s="7">
        <v>2408</v>
      </c>
      <c r="N288" s="7">
        <v>2400</v>
      </c>
      <c r="O288" s="13">
        <v>39248</v>
      </c>
      <c r="P288" s="10">
        <f t="shared" ca="1" si="84"/>
        <v>2.7777777777777779E-3</v>
      </c>
      <c r="Q288" s="5">
        <f t="shared" ca="1" si="85"/>
        <v>0</v>
      </c>
      <c r="R288" s="5">
        <f t="shared" ca="1" si="86"/>
        <v>1</v>
      </c>
      <c r="S288" s="7">
        <f t="shared" ca="1" si="87"/>
        <v>2007</v>
      </c>
      <c r="T288" s="7">
        <f t="shared" ca="1" si="88"/>
        <v>6</v>
      </c>
      <c r="U288" s="7">
        <f t="shared" ca="1" si="89"/>
        <v>15</v>
      </c>
      <c r="V288" s="6" t="s">
        <v>1493</v>
      </c>
      <c r="W288" s="14" t="s">
        <v>96</v>
      </c>
      <c r="X288" s="15"/>
      <c r="Y288" s="5">
        <f t="shared" ca="1" si="119"/>
        <v>0</v>
      </c>
      <c r="Z288" s="6"/>
      <c r="AA288" s="12" t="str">
        <f t="shared" ca="1" si="91"/>
        <v>NA</v>
      </c>
      <c r="AB288" s="12" t="str">
        <f t="shared" ca="1" si="92"/>
        <v>NA</v>
      </c>
      <c r="AC288" s="12" t="str">
        <f t="shared" ca="1" si="93"/>
        <v>NA</v>
      </c>
      <c r="AD288" s="6"/>
      <c r="AE288" s="5"/>
      <c r="AF288" s="6"/>
      <c r="AG288" s="11">
        <v>39249</v>
      </c>
      <c r="AH288" s="12">
        <f t="shared" ca="1" si="94"/>
        <v>2007</v>
      </c>
      <c r="AI288" s="12">
        <f t="shared" ca="1" si="95"/>
        <v>6</v>
      </c>
      <c r="AJ288" s="12">
        <f t="shared" ca="1" si="96"/>
        <v>16</v>
      </c>
      <c r="AK288" s="8" t="s">
        <v>1494</v>
      </c>
      <c r="AL288" s="8"/>
      <c r="AM288" s="5"/>
      <c r="AN288" s="5"/>
      <c r="AO288" s="5"/>
      <c r="AP288" s="12" t="str">
        <f t="shared" ca="1" si="97"/>
        <v>NA</v>
      </c>
      <c r="AQ288" s="12" t="str">
        <f t="shared" ca="1" si="98"/>
        <v>NA</v>
      </c>
      <c r="AR288" s="12" t="str">
        <f t="shared" ca="1" si="99"/>
        <v>NA</v>
      </c>
      <c r="AS288" s="5"/>
      <c r="AT288" s="5"/>
      <c r="AU288" s="5"/>
      <c r="AV288" s="12" t="str">
        <f t="shared" ca="1" si="100"/>
        <v>NA</v>
      </c>
      <c r="AW288" s="12" t="str">
        <f t="shared" ca="1" si="101"/>
        <v>NA</v>
      </c>
      <c r="AX288" s="12" t="str">
        <f t="shared" ca="1" si="102"/>
        <v>NA</v>
      </c>
      <c r="AY288" s="5"/>
      <c r="AZ288" s="5"/>
      <c r="BA288" s="6"/>
      <c r="BB288" s="12" t="str">
        <f t="shared" ca="1" si="103"/>
        <v>NA</v>
      </c>
      <c r="BC288" s="12" t="str">
        <f t="shared" ca="1" si="104"/>
        <v>NA</v>
      </c>
      <c r="BD288" s="12" t="str">
        <f t="shared" ca="1" si="105"/>
        <v>NA</v>
      </c>
      <c r="BE288" s="5"/>
      <c r="BF288" s="5"/>
      <c r="BG288" s="5"/>
      <c r="BH288" s="12" t="str">
        <f t="shared" ca="1" si="106"/>
        <v>NA</v>
      </c>
      <c r="BI288" s="12" t="str">
        <f t="shared" ca="1" si="107"/>
        <v>NA</v>
      </c>
      <c r="BJ288" s="12" t="str">
        <f t="shared" ca="1" si="108"/>
        <v>NA</v>
      </c>
      <c r="BK288" s="5"/>
      <c r="BL288" s="5"/>
      <c r="BM288" s="12" t="str">
        <f t="shared" ca="1" si="109"/>
        <v>NA</v>
      </c>
      <c r="BN288" s="12" t="str">
        <f t="shared" ca="1" si="110"/>
        <v>NA</v>
      </c>
      <c r="BO288" s="12" t="str">
        <f t="shared" ca="1" si="111"/>
        <v>NA</v>
      </c>
      <c r="BP288" s="5"/>
      <c r="BQ288" s="5"/>
      <c r="BR288" s="5"/>
      <c r="BS288" s="12" t="str">
        <f t="shared" ca="1" si="112"/>
        <v>NA</v>
      </c>
      <c r="BT288" s="12" t="str">
        <f t="shared" ca="1" si="113"/>
        <v>NA</v>
      </c>
      <c r="BU288" s="12" t="str">
        <f t="shared" ca="1" si="114"/>
        <v>NA</v>
      </c>
      <c r="BV288" s="5"/>
      <c r="BW288" s="5"/>
      <c r="BX288" s="12" t="str">
        <f t="shared" ca="1" si="115"/>
        <v>NA</v>
      </c>
      <c r="BY288" s="12" t="str">
        <f t="shared" ca="1" si="116"/>
        <v>NA</v>
      </c>
      <c r="BZ288" s="12" t="str">
        <f t="shared" ca="1" si="117"/>
        <v>NA</v>
      </c>
      <c r="CA288" s="5"/>
    </row>
    <row r="289" spans="1:79" ht="12.75" customHeight="1" x14ac:dyDescent="0.15">
      <c r="A289" s="4">
        <v>2700</v>
      </c>
      <c r="B289" s="5" t="s">
        <v>79</v>
      </c>
      <c r="C289" s="5" t="s">
        <v>79</v>
      </c>
      <c r="D289" s="6" t="s">
        <v>1495</v>
      </c>
      <c r="E289" s="6" t="s">
        <v>1496</v>
      </c>
      <c r="F289" s="6" t="s">
        <v>1497</v>
      </c>
      <c r="G289" s="8"/>
      <c r="H289" s="8"/>
      <c r="I289" s="8"/>
      <c r="J289" s="8"/>
      <c r="K289" s="8"/>
      <c r="L289" s="8" t="s">
        <v>82</v>
      </c>
      <c r="M289" s="7">
        <v>1125</v>
      </c>
      <c r="N289" s="7">
        <v>1124</v>
      </c>
      <c r="O289" s="13">
        <v>39193</v>
      </c>
      <c r="P289" s="10">
        <f t="shared" ca="1" si="84"/>
        <v>5.5555555555555558E-3</v>
      </c>
      <c r="Q289" s="5">
        <f t="shared" ca="1" si="85"/>
        <v>0</v>
      </c>
      <c r="R289" s="5">
        <f t="shared" ca="1" si="86"/>
        <v>2</v>
      </c>
      <c r="S289" s="7">
        <f t="shared" ca="1" si="87"/>
        <v>2007</v>
      </c>
      <c r="T289" s="7">
        <f t="shared" ca="1" si="88"/>
        <v>4</v>
      </c>
      <c r="U289" s="7">
        <f t="shared" ca="1" si="89"/>
        <v>21</v>
      </c>
      <c r="V289" s="6" t="s">
        <v>1498</v>
      </c>
      <c r="W289" s="14" t="s">
        <v>96</v>
      </c>
      <c r="X289" s="15"/>
      <c r="Y289" s="5">
        <f t="shared" ca="1" si="119"/>
        <v>0</v>
      </c>
      <c r="Z289" s="6"/>
      <c r="AA289" s="12" t="str">
        <f t="shared" ca="1" si="91"/>
        <v>NA</v>
      </c>
      <c r="AB289" s="12" t="str">
        <f t="shared" ca="1" si="92"/>
        <v>NA</v>
      </c>
      <c r="AC289" s="12" t="str">
        <f t="shared" ca="1" si="93"/>
        <v>NA</v>
      </c>
      <c r="AD289" s="6"/>
      <c r="AE289" s="5"/>
      <c r="AF289" s="6"/>
      <c r="AG289" s="11">
        <v>39195</v>
      </c>
      <c r="AH289" s="12">
        <f t="shared" ca="1" si="94"/>
        <v>2007</v>
      </c>
      <c r="AI289" s="12">
        <f t="shared" ca="1" si="95"/>
        <v>4</v>
      </c>
      <c r="AJ289" s="12">
        <f t="shared" ca="1" si="96"/>
        <v>23</v>
      </c>
      <c r="AK289" s="8" t="s">
        <v>1499</v>
      </c>
      <c r="AL289" s="8"/>
      <c r="AM289" s="5"/>
      <c r="AN289" s="5"/>
      <c r="AO289" s="5"/>
      <c r="AP289" s="12" t="str">
        <f t="shared" ca="1" si="97"/>
        <v>NA</v>
      </c>
      <c r="AQ289" s="12" t="str">
        <f t="shared" ca="1" si="98"/>
        <v>NA</v>
      </c>
      <c r="AR289" s="12" t="str">
        <f t="shared" ca="1" si="99"/>
        <v>NA</v>
      </c>
      <c r="AS289" s="5"/>
      <c r="AT289" s="5"/>
      <c r="AU289" s="5"/>
      <c r="AV289" s="12" t="str">
        <f t="shared" ca="1" si="100"/>
        <v>NA</v>
      </c>
      <c r="AW289" s="12" t="str">
        <f t="shared" ca="1" si="101"/>
        <v>NA</v>
      </c>
      <c r="AX289" s="12" t="str">
        <f t="shared" ca="1" si="102"/>
        <v>NA</v>
      </c>
      <c r="AY289" s="5"/>
      <c r="AZ289" s="5"/>
      <c r="BA289" s="6"/>
      <c r="BB289" s="12" t="str">
        <f t="shared" ca="1" si="103"/>
        <v>NA</v>
      </c>
      <c r="BC289" s="12" t="str">
        <f t="shared" ca="1" si="104"/>
        <v>NA</v>
      </c>
      <c r="BD289" s="12" t="str">
        <f t="shared" ca="1" si="105"/>
        <v>NA</v>
      </c>
      <c r="BE289" s="5"/>
      <c r="BF289" s="5"/>
      <c r="BG289" s="5"/>
      <c r="BH289" s="12" t="str">
        <f t="shared" ca="1" si="106"/>
        <v>NA</v>
      </c>
      <c r="BI289" s="12" t="str">
        <f t="shared" ca="1" si="107"/>
        <v>NA</v>
      </c>
      <c r="BJ289" s="12" t="str">
        <f t="shared" ca="1" si="108"/>
        <v>NA</v>
      </c>
      <c r="BK289" s="5"/>
      <c r="BL289" s="5"/>
      <c r="BM289" s="12" t="str">
        <f t="shared" ca="1" si="109"/>
        <v>NA</v>
      </c>
      <c r="BN289" s="12" t="str">
        <f t="shared" ca="1" si="110"/>
        <v>NA</v>
      </c>
      <c r="BO289" s="12" t="str">
        <f t="shared" ca="1" si="111"/>
        <v>NA</v>
      </c>
      <c r="BP289" s="5"/>
      <c r="BQ289" s="5"/>
      <c r="BR289" s="5"/>
      <c r="BS289" s="12" t="str">
        <f t="shared" ca="1" si="112"/>
        <v>NA</v>
      </c>
      <c r="BT289" s="12" t="str">
        <f t="shared" ca="1" si="113"/>
        <v>NA</v>
      </c>
      <c r="BU289" s="12" t="str">
        <f t="shared" ca="1" si="114"/>
        <v>NA</v>
      </c>
      <c r="BV289" s="5"/>
      <c r="BW289" s="5"/>
      <c r="BX289" s="12" t="str">
        <f t="shared" ca="1" si="115"/>
        <v>NA</v>
      </c>
      <c r="BY289" s="12" t="str">
        <f t="shared" ca="1" si="116"/>
        <v>NA</v>
      </c>
      <c r="BZ289" s="12" t="str">
        <f t="shared" ca="1" si="117"/>
        <v>NA</v>
      </c>
      <c r="CA289" s="5"/>
    </row>
    <row r="290" spans="1:79" ht="12.75" customHeight="1" x14ac:dyDescent="0.15">
      <c r="A290" s="4">
        <v>2701</v>
      </c>
      <c r="B290" s="5" t="s">
        <v>79</v>
      </c>
      <c r="C290" s="5" t="s">
        <v>79</v>
      </c>
      <c r="D290" s="6" t="s">
        <v>1500</v>
      </c>
      <c r="E290" s="6" t="s">
        <v>1501</v>
      </c>
      <c r="F290" s="6" t="s">
        <v>1502</v>
      </c>
      <c r="G290" s="8"/>
      <c r="H290" s="8"/>
      <c r="I290" s="8"/>
      <c r="J290" s="8"/>
      <c r="K290" s="8"/>
      <c r="L290" s="8" t="s">
        <v>82</v>
      </c>
      <c r="M290" s="7">
        <v>1125</v>
      </c>
      <c r="N290" s="7">
        <v>1124</v>
      </c>
      <c r="O290" s="13">
        <v>39193</v>
      </c>
      <c r="P290" s="10">
        <f t="shared" ca="1" si="84"/>
        <v>5.5555555555555558E-3</v>
      </c>
      <c r="Q290" s="5">
        <f t="shared" ca="1" si="85"/>
        <v>0</v>
      </c>
      <c r="R290" s="5">
        <f t="shared" ca="1" si="86"/>
        <v>2</v>
      </c>
      <c r="S290" s="7">
        <f t="shared" ca="1" si="87"/>
        <v>2007</v>
      </c>
      <c r="T290" s="7">
        <f t="shared" ca="1" si="88"/>
        <v>4</v>
      </c>
      <c r="U290" s="7">
        <f t="shared" ca="1" si="89"/>
        <v>21</v>
      </c>
      <c r="V290" s="6" t="s">
        <v>1503</v>
      </c>
      <c r="W290" s="14" t="s">
        <v>96</v>
      </c>
      <c r="X290" s="15"/>
      <c r="Y290" s="5">
        <f t="shared" ca="1" si="119"/>
        <v>0</v>
      </c>
      <c r="Z290" s="6"/>
      <c r="AA290" s="12" t="str">
        <f t="shared" ca="1" si="91"/>
        <v>NA</v>
      </c>
      <c r="AB290" s="12" t="str">
        <f t="shared" ca="1" si="92"/>
        <v>NA</v>
      </c>
      <c r="AC290" s="12" t="str">
        <f t="shared" ca="1" si="93"/>
        <v>NA</v>
      </c>
      <c r="AD290" s="6"/>
      <c r="AE290" s="5"/>
      <c r="AF290" s="6"/>
      <c r="AG290" s="11">
        <v>39195</v>
      </c>
      <c r="AH290" s="12">
        <f t="shared" ca="1" si="94"/>
        <v>2007</v>
      </c>
      <c r="AI290" s="12">
        <f t="shared" ca="1" si="95"/>
        <v>4</v>
      </c>
      <c r="AJ290" s="12">
        <f t="shared" ca="1" si="96"/>
        <v>23</v>
      </c>
      <c r="AK290" s="8" t="s">
        <v>1504</v>
      </c>
      <c r="AL290" s="8"/>
      <c r="AM290" s="5"/>
      <c r="AN290" s="5"/>
      <c r="AO290" s="5"/>
      <c r="AP290" s="12" t="str">
        <f t="shared" ca="1" si="97"/>
        <v>NA</v>
      </c>
      <c r="AQ290" s="12" t="str">
        <f t="shared" ca="1" si="98"/>
        <v>NA</v>
      </c>
      <c r="AR290" s="12" t="str">
        <f t="shared" ca="1" si="99"/>
        <v>NA</v>
      </c>
      <c r="AS290" s="5"/>
      <c r="AT290" s="5"/>
      <c r="AU290" s="5"/>
      <c r="AV290" s="12" t="str">
        <f t="shared" ca="1" si="100"/>
        <v>NA</v>
      </c>
      <c r="AW290" s="12" t="str">
        <f t="shared" ca="1" si="101"/>
        <v>NA</v>
      </c>
      <c r="AX290" s="12" t="str">
        <f t="shared" ca="1" si="102"/>
        <v>NA</v>
      </c>
      <c r="AY290" s="5"/>
      <c r="AZ290" s="5"/>
      <c r="BA290" s="6"/>
      <c r="BB290" s="12" t="str">
        <f t="shared" ca="1" si="103"/>
        <v>NA</v>
      </c>
      <c r="BC290" s="12" t="str">
        <f t="shared" ca="1" si="104"/>
        <v>NA</v>
      </c>
      <c r="BD290" s="12" t="str">
        <f t="shared" ca="1" si="105"/>
        <v>NA</v>
      </c>
      <c r="BE290" s="5"/>
      <c r="BF290" s="5"/>
      <c r="BG290" s="5"/>
      <c r="BH290" s="12" t="str">
        <f t="shared" ca="1" si="106"/>
        <v>NA</v>
      </c>
      <c r="BI290" s="12" t="str">
        <f t="shared" ca="1" si="107"/>
        <v>NA</v>
      </c>
      <c r="BJ290" s="12" t="str">
        <f t="shared" ca="1" si="108"/>
        <v>NA</v>
      </c>
      <c r="BK290" s="5"/>
      <c r="BL290" s="5"/>
      <c r="BM290" s="12" t="str">
        <f t="shared" ca="1" si="109"/>
        <v>NA</v>
      </c>
      <c r="BN290" s="12" t="str">
        <f t="shared" ca="1" si="110"/>
        <v>NA</v>
      </c>
      <c r="BO290" s="12" t="str">
        <f t="shared" ca="1" si="111"/>
        <v>NA</v>
      </c>
      <c r="BP290" s="5"/>
      <c r="BQ290" s="5"/>
      <c r="BR290" s="5"/>
      <c r="BS290" s="12" t="str">
        <f t="shared" ca="1" si="112"/>
        <v>NA</v>
      </c>
      <c r="BT290" s="12" t="str">
        <f t="shared" ca="1" si="113"/>
        <v>NA</v>
      </c>
      <c r="BU290" s="12" t="str">
        <f t="shared" ca="1" si="114"/>
        <v>NA</v>
      </c>
      <c r="BV290" s="5"/>
      <c r="BW290" s="5"/>
      <c r="BX290" s="12" t="str">
        <f t="shared" ca="1" si="115"/>
        <v>NA</v>
      </c>
      <c r="BY290" s="12" t="str">
        <f t="shared" ca="1" si="116"/>
        <v>NA</v>
      </c>
      <c r="BZ290" s="12" t="str">
        <f t="shared" ca="1" si="117"/>
        <v>NA</v>
      </c>
      <c r="CA290" s="5"/>
    </row>
    <row r="291" spans="1:79" ht="12.75" customHeight="1" x14ac:dyDescent="0.15">
      <c r="A291" s="4">
        <v>2702</v>
      </c>
      <c r="B291" s="5" t="s">
        <v>79</v>
      </c>
      <c r="C291" s="5" t="s">
        <v>79</v>
      </c>
      <c r="D291" s="6" t="s">
        <v>1505</v>
      </c>
      <c r="E291" s="6" t="s">
        <v>1506</v>
      </c>
      <c r="F291" s="6" t="s">
        <v>1507</v>
      </c>
      <c r="G291" s="8"/>
      <c r="H291" s="8"/>
      <c r="I291" s="8"/>
      <c r="J291" s="8"/>
      <c r="K291" s="8"/>
      <c r="L291" s="8" t="s">
        <v>82</v>
      </c>
      <c r="M291" s="7">
        <v>1125</v>
      </c>
      <c r="N291" s="7">
        <v>1124</v>
      </c>
      <c r="O291" s="13">
        <v>39193</v>
      </c>
      <c r="P291" s="10">
        <f t="shared" ca="1" si="84"/>
        <v>0</v>
      </c>
      <c r="Q291" s="5">
        <f t="shared" ca="1" si="85"/>
        <v>0</v>
      </c>
      <c r="R291" s="5">
        <f t="shared" ca="1" si="86"/>
        <v>0</v>
      </c>
      <c r="S291" s="7">
        <f t="shared" ca="1" si="87"/>
        <v>2007</v>
      </c>
      <c r="T291" s="7">
        <f t="shared" ca="1" si="88"/>
        <v>4</v>
      </c>
      <c r="U291" s="7">
        <f t="shared" ca="1" si="89"/>
        <v>21</v>
      </c>
      <c r="V291" s="6" t="s">
        <v>1508</v>
      </c>
      <c r="W291" s="14" t="s">
        <v>96</v>
      </c>
      <c r="X291" s="15"/>
      <c r="Y291" s="5">
        <f t="shared" ca="1" si="119"/>
        <v>0</v>
      </c>
      <c r="Z291" s="6"/>
      <c r="AA291" s="12" t="str">
        <f t="shared" ca="1" si="91"/>
        <v>NA</v>
      </c>
      <c r="AB291" s="12" t="str">
        <f t="shared" ca="1" si="92"/>
        <v>NA</v>
      </c>
      <c r="AC291" s="12" t="str">
        <f t="shared" ca="1" si="93"/>
        <v>NA</v>
      </c>
      <c r="AD291" s="6"/>
      <c r="AE291" s="5"/>
      <c r="AF291" s="6"/>
      <c r="AG291" s="11">
        <v>39193</v>
      </c>
      <c r="AH291" s="12">
        <f t="shared" ca="1" si="94"/>
        <v>2007</v>
      </c>
      <c r="AI291" s="12">
        <f t="shared" ca="1" si="95"/>
        <v>4</v>
      </c>
      <c r="AJ291" s="12">
        <f t="shared" ca="1" si="96"/>
        <v>21</v>
      </c>
      <c r="AK291" s="8" t="s">
        <v>1509</v>
      </c>
      <c r="AL291" s="8"/>
      <c r="AM291" s="5"/>
      <c r="AN291" s="5"/>
      <c r="AO291" s="5"/>
      <c r="AP291" s="12" t="str">
        <f t="shared" ca="1" si="97"/>
        <v>NA</v>
      </c>
      <c r="AQ291" s="12" t="str">
        <f t="shared" ca="1" si="98"/>
        <v>NA</v>
      </c>
      <c r="AR291" s="12" t="str">
        <f t="shared" ca="1" si="99"/>
        <v>NA</v>
      </c>
      <c r="AS291" s="5"/>
      <c r="AT291" s="5"/>
      <c r="AU291" s="5"/>
      <c r="AV291" s="12" t="str">
        <f t="shared" ca="1" si="100"/>
        <v>NA</v>
      </c>
      <c r="AW291" s="12" t="str">
        <f t="shared" ca="1" si="101"/>
        <v>NA</v>
      </c>
      <c r="AX291" s="12" t="str">
        <f t="shared" ca="1" si="102"/>
        <v>NA</v>
      </c>
      <c r="AY291" s="5"/>
      <c r="AZ291" s="5"/>
      <c r="BA291" s="6"/>
      <c r="BB291" s="12" t="str">
        <f t="shared" ca="1" si="103"/>
        <v>NA</v>
      </c>
      <c r="BC291" s="12" t="str">
        <f t="shared" ca="1" si="104"/>
        <v>NA</v>
      </c>
      <c r="BD291" s="12" t="str">
        <f t="shared" ca="1" si="105"/>
        <v>NA</v>
      </c>
      <c r="BE291" s="5"/>
      <c r="BF291" s="5"/>
      <c r="BG291" s="5"/>
      <c r="BH291" s="12" t="str">
        <f t="shared" ca="1" si="106"/>
        <v>NA</v>
      </c>
      <c r="BI291" s="12" t="str">
        <f t="shared" ca="1" si="107"/>
        <v>NA</v>
      </c>
      <c r="BJ291" s="12" t="str">
        <f t="shared" ca="1" si="108"/>
        <v>NA</v>
      </c>
      <c r="BK291" s="5"/>
      <c r="BL291" s="5"/>
      <c r="BM291" s="12" t="str">
        <f t="shared" ca="1" si="109"/>
        <v>NA</v>
      </c>
      <c r="BN291" s="12" t="str">
        <f t="shared" ca="1" si="110"/>
        <v>NA</v>
      </c>
      <c r="BO291" s="12" t="str">
        <f t="shared" ca="1" si="111"/>
        <v>NA</v>
      </c>
      <c r="BP291" s="5"/>
      <c r="BQ291" s="5"/>
      <c r="BR291" s="5"/>
      <c r="BS291" s="12" t="str">
        <f t="shared" ca="1" si="112"/>
        <v>NA</v>
      </c>
      <c r="BT291" s="12" t="str">
        <f t="shared" ca="1" si="113"/>
        <v>NA</v>
      </c>
      <c r="BU291" s="12" t="str">
        <f t="shared" ca="1" si="114"/>
        <v>NA</v>
      </c>
      <c r="BV291" s="5"/>
      <c r="BW291" s="5"/>
      <c r="BX291" s="12" t="str">
        <f t="shared" ca="1" si="115"/>
        <v>NA</v>
      </c>
      <c r="BY291" s="12" t="str">
        <f t="shared" ca="1" si="116"/>
        <v>NA</v>
      </c>
      <c r="BZ291" s="12" t="str">
        <f t="shared" ca="1" si="117"/>
        <v>NA</v>
      </c>
      <c r="CA291" s="5"/>
    </row>
    <row r="292" spans="1:79" ht="12.75" customHeight="1" x14ac:dyDescent="0.15">
      <c r="A292" s="4">
        <v>2703</v>
      </c>
      <c r="B292" s="5" t="s">
        <v>79</v>
      </c>
      <c r="C292" s="5" t="s">
        <v>79</v>
      </c>
      <c r="D292" s="6" t="s">
        <v>1510</v>
      </c>
      <c r="E292" s="6" t="s">
        <v>1511</v>
      </c>
      <c r="F292" s="6" t="s">
        <v>1512</v>
      </c>
      <c r="G292" s="8"/>
      <c r="H292" s="8"/>
      <c r="I292" s="8"/>
      <c r="J292" s="8"/>
      <c r="K292" s="8"/>
      <c r="L292" s="8" t="s">
        <v>82</v>
      </c>
      <c r="M292" s="7">
        <v>1138</v>
      </c>
      <c r="N292" s="7">
        <v>2413</v>
      </c>
      <c r="O292" s="13">
        <v>38710</v>
      </c>
      <c r="P292" s="10">
        <f t="shared" ca="1" si="84"/>
        <v>0</v>
      </c>
      <c r="Q292" s="5">
        <f t="shared" ca="1" si="85"/>
        <v>0</v>
      </c>
      <c r="R292" s="5">
        <f t="shared" ca="1" si="86"/>
        <v>0</v>
      </c>
      <c r="S292" s="7">
        <f t="shared" ca="1" si="87"/>
        <v>2005</v>
      </c>
      <c r="T292" s="7">
        <f t="shared" ca="1" si="88"/>
        <v>12</v>
      </c>
      <c r="U292" s="7">
        <f t="shared" ca="1" si="89"/>
        <v>24</v>
      </c>
      <c r="V292" s="6" t="s">
        <v>1513</v>
      </c>
      <c r="W292" s="14" t="s">
        <v>96</v>
      </c>
      <c r="X292" s="15"/>
      <c r="Y292" s="5">
        <f t="shared" ca="1" si="119"/>
        <v>0</v>
      </c>
      <c r="Z292" s="6"/>
      <c r="AA292" s="12" t="str">
        <f t="shared" ca="1" si="91"/>
        <v>NA</v>
      </c>
      <c r="AB292" s="12" t="str">
        <f t="shared" ca="1" si="92"/>
        <v>NA</v>
      </c>
      <c r="AC292" s="12" t="str">
        <f t="shared" ca="1" si="93"/>
        <v>NA</v>
      </c>
      <c r="AD292" s="6"/>
      <c r="AE292" s="5"/>
      <c r="AF292" s="6"/>
      <c r="AG292" s="11">
        <v>38710</v>
      </c>
      <c r="AH292" s="12">
        <f t="shared" ca="1" si="94"/>
        <v>2005</v>
      </c>
      <c r="AI292" s="12">
        <f t="shared" ca="1" si="95"/>
        <v>12</v>
      </c>
      <c r="AJ292" s="12">
        <f t="shared" ca="1" si="96"/>
        <v>24</v>
      </c>
      <c r="AK292" s="8" t="s">
        <v>1514</v>
      </c>
      <c r="AL292" s="8"/>
      <c r="AM292" s="5"/>
      <c r="AN292" s="5"/>
      <c r="AO292" s="5"/>
      <c r="AP292" s="12" t="str">
        <f t="shared" ca="1" si="97"/>
        <v>NA</v>
      </c>
      <c r="AQ292" s="12" t="str">
        <f t="shared" ca="1" si="98"/>
        <v>NA</v>
      </c>
      <c r="AR292" s="12" t="str">
        <f t="shared" ca="1" si="99"/>
        <v>NA</v>
      </c>
      <c r="AS292" s="5"/>
      <c r="AT292" s="5"/>
      <c r="AU292" s="5"/>
      <c r="AV292" s="12" t="str">
        <f t="shared" ca="1" si="100"/>
        <v>NA</v>
      </c>
      <c r="AW292" s="12" t="str">
        <f t="shared" ca="1" si="101"/>
        <v>NA</v>
      </c>
      <c r="AX292" s="12" t="str">
        <f t="shared" ca="1" si="102"/>
        <v>NA</v>
      </c>
      <c r="AY292" s="5"/>
      <c r="AZ292" s="5"/>
      <c r="BA292" s="6"/>
      <c r="BB292" s="12" t="str">
        <f t="shared" ca="1" si="103"/>
        <v>NA</v>
      </c>
      <c r="BC292" s="12" t="str">
        <f t="shared" ca="1" si="104"/>
        <v>NA</v>
      </c>
      <c r="BD292" s="12" t="str">
        <f t="shared" ca="1" si="105"/>
        <v>NA</v>
      </c>
      <c r="BE292" s="5"/>
      <c r="BF292" s="5"/>
      <c r="BG292" s="5"/>
      <c r="BH292" s="12" t="str">
        <f t="shared" ca="1" si="106"/>
        <v>NA</v>
      </c>
      <c r="BI292" s="12" t="str">
        <f t="shared" ca="1" si="107"/>
        <v>NA</v>
      </c>
      <c r="BJ292" s="12" t="str">
        <f t="shared" ca="1" si="108"/>
        <v>NA</v>
      </c>
      <c r="BK292" s="5"/>
      <c r="BL292" s="5"/>
      <c r="BM292" s="12" t="str">
        <f t="shared" ca="1" si="109"/>
        <v>NA</v>
      </c>
      <c r="BN292" s="12" t="str">
        <f t="shared" ca="1" si="110"/>
        <v>NA</v>
      </c>
      <c r="BO292" s="12" t="str">
        <f t="shared" ca="1" si="111"/>
        <v>NA</v>
      </c>
      <c r="BP292" s="5"/>
      <c r="BQ292" s="5"/>
      <c r="BR292" s="5"/>
      <c r="BS292" s="12" t="str">
        <f t="shared" ca="1" si="112"/>
        <v>NA</v>
      </c>
      <c r="BT292" s="12" t="str">
        <f t="shared" ca="1" si="113"/>
        <v>NA</v>
      </c>
      <c r="BU292" s="12" t="str">
        <f t="shared" ca="1" si="114"/>
        <v>NA</v>
      </c>
      <c r="BV292" s="5"/>
      <c r="BW292" s="5"/>
      <c r="BX292" s="12" t="str">
        <f t="shared" ca="1" si="115"/>
        <v>NA</v>
      </c>
      <c r="BY292" s="12" t="str">
        <f t="shared" ca="1" si="116"/>
        <v>NA</v>
      </c>
      <c r="BZ292" s="12" t="str">
        <f t="shared" ca="1" si="117"/>
        <v>NA</v>
      </c>
      <c r="CA292" s="5"/>
    </row>
    <row r="293" spans="1:79" ht="12.75" customHeight="1" x14ac:dyDescent="0.15">
      <c r="A293" s="4">
        <v>2704</v>
      </c>
      <c r="B293" s="5" t="s">
        <v>79</v>
      </c>
      <c r="C293" s="5" t="s">
        <v>79</v>
      </c>
      <c r="D293" s="6" t="s">
        <v>1515</v>
      </c>
      <c r="E293" s="6" t="s">
        <v>1516</v>
      </c>
      <c r="F293" s="6" t="s">
        <v>1517</v>
      </c>
      <c r="G293" s="8"/>
      <c r="H293" s="8"/>
      <c r="I293" s="8"/>
      <c r="J293" s="8"/>
      <c r="K293" s="8"/>
      <c r="L293" s="8" t="s">
        <v>82</v>
      </c>
      <c r="M293" s="7">
        <v>1138</v>
      </c>
      <c r="N293" s="7">
        <v>2413</v>
      </c>
      <c r="O293" s="13">
        <v>38710</v>
      </c>
      <c r="P293" s="10">
        <f t="shared" ca="1" si="84"/>
        <v>0</v>
      </c>
      <c r="Q293" s="5">
        <f t="shared" ca="1" si="85"/>
        <v>0</v>
      </c>
      <c r="R293" s="5">
        <f t="shared" ca="1" si="86"/>
        <v>0</v>
      </c>
      <c r="S293" s="7">
        <f t="shared" ca="1" si="87"/>
        <v>2005</v>
      </c>
      <c r="T293" s="7">
        <f t="shared" ca="1" si="88"/>
        <v>12</v>
      </c>
      <c r="U293" s="7">
        <f t="shared" ca="1" si="89"/>
        <v>24</v>
      </c>
      <c r="V293" s="6" t="s">
        <v>1518</v>
      </c>
      <c r="W293" s="14" t="s">
        <v>96</v>
      </c>
      <c r="X293" s="15"/>
      <c r="Y293" s="5">
        <f t="shared" ca="1" si="119"/>
        <v>0</v>
      </c>
      <c r="Z293" s="6"/>
      <c r="AA293" s="12" t="str">
        <f t="shared" ca="1" si="91"/>
        <v>NA</v>
      </c>
      <c r="AB293" s="12" t="str">
        <f t="shared" ca="1" si="92"/>
        <v>NA</v>
      </c>
      <c r="AC293" s="12" t="str">
        <f t="shared" ca="1" si="93"/>
        <v>NA</v>
      </c>
      <c r="AD293" s="6"/>
      <c r="AE293" s="5"/>
      <c r="AF293" s="6"/>
      <c r="AG293" s="11">
        <v>38710</v>
      </c>
      <c r="AH293" s="12">
        <f t="shared" ca="1" si="94"/>
        <v>2005</v>
      </c>
      <c r="AI293" s="12">
        <f t="shared" ca="1" si="95"/>
        <v>12</v>
      </c>
      <c r="AJ293" s="12">
        <f t="shared" ca="1" si="96"/>
        <v>24</v>
      </c>
      <c r="AK293" s="8" t="s">
        <v>1519</v>
      </c>
      <c r="AL293" s="8"/>
      <c r="AM293" s="5"/>
      <c r="AN293" s="5"/>
      <c r="AO293" s="5"/>
      <c r="AP293" s="12" t="str">
        <f t="shared" ca="1" si="97"/>
        <v>NA</v>
      </c>
      <c r="AQ293" s="12" t="str">
        <f t="shared" ca="1" si="98"/>
        <v>NA</v>
      </c>
      <c r="AR293" s="12" t="str">
        <f t="shared" ca="1" si="99"/>
        <v>NA</v>
      </c>
      <c r="AS293" s="5"/>
      <c r="AT293" s="5"/>
      <c r="AU293" s="5"/>
      <c r="AV293" s="12" t="str">
        <f t="shared" ca="1" si="100"/>
        <v>NA</v>
      </c>
      <c r="AW293" s="12" t="str">
        <f t="shared" ca="1" si="101"/>
        <v>NA</v>
      </c>
      <c r="AX293" s="12" t="str">
        <f t="shared" ca="1" si="102"/>
        <v>NA</v>
      </c>
      <c r="AY293" s="5"/>
      <c r="AZ293" s="5"/>
      <c r="BA293" s="6"/>
      <c r="BB293" s="12" t="str">
        <f t="shared" ca="1" si="103"/>
        <v>NA</v>
      </c>
      <c r="BC293" s="12" t="str">
        <f t="shared" ca="1" si="104"/>
        <v>NA</v>
      </c>
      <c r="BD293" s="12" t="str">
        <f t="shared" ca="1" si="105"/>
        <v>NA</v>
      </c>
      <c r="BE293" s="5"/>
      <c r="BF293" s="5"/>
      <c r="BG293" s="5"/>
      <c r="BH293" s="12" t="str">
        <f t="shared" ca="1" si="106"/>
        <v>NA</v>
      </c>
      <c r="BI293" s="12" t="str">
        <f t="shared" ca="1" si="107"/>
        <v>NA</v>
      </c>
      <c r="BJ293" s="12" t="str">
        <f t="shared" ca="1" si="108"/>
        <v>NA</v>
      </c>
      <c r="BK293" s="5"/>
      <c r="BL293" s="5"/>
      <c r="BM293" s="12" t="str">
        <f t="shared" ca="1" si="109"/>
        <v>NA</v>
      </c>
      <c r="BN293" s="12" t="str">
        <f t="shared" ca="1" si="110"/>
        <v>NA</v>
      </c>
      <c r="BO293" s="12" t="str">
        <f t="shared" ca="1" si="111"/>
        <v>NA</v>
      </c>
      <c r="BP293" s="5"/>
      <c r="BQ293" s="5"/>
      <c r="BR293" s="5"/>
      <c r="BS293" s="12" t="str">
        <f t="shared" ca="1" si="112"/>
        <v>NA</v>
      </c>
      <c r="BT293" s="12" t="str">
        <f t="shared" ca="1" si="113"/>
        <v>NA</v>
      </c>
      <c r="BU293" s="12" t="str">
        <f t="shared" ca="1" si="114"/>
        <v>NA</v>
      </c>
      <c r="BV293" s="5"/>
      <c r="BW293" s="5"/>
      <c r="BX293" s="12" t="str">
        <f t="shared" ca="1" si="115"/>
        <v>NA</v>
      </c>
      <c r="BY293" s="12" t="str">
        <f t="shared" ca="1" si="116"/>
        <v>NA</v>
      </c>
      <c r="BZ293" s="12" t="str">
        <f t="shared" ca="1" si="117"/>
        <v>NA</v>
      </c>
      <c r="CA293" s="5"/>
    </row>
    <row r="294" spans="1:79" ht="12.75" customHeight="1" x14ac:dyDescent="0.15">
      <c r="A294" s="4">
        <v>2705</v>
      </c>
      <c r="B294" s="5" t="s">
        <v>79</v>
      </c>
      <c r="C294" s="5" t="s">
        <v>79</v>
      </c>
      <c r="D294" s="6" t="s">
        <v>1520</v>
      </c>
      <c r="E294" s="7">
        <v>9229</v>
      </c>
      <c r="F294" s="6" t="s">
        <v>1521</v>
      </c>
      <c r="G294" s="8"/>
      <c r="H294" s="8"/>
      <c r="I294" s="8"/>
      <c r="J294" s="8"/>
      <c r="K294" s="8"/>
      <c r="L294" s="8" t="s">
        <v>82</v>
      </c>
      <c r="M294" s="7">
        <v>2649</v>
      </c>
      <c r="N294" s="7">
        <v>2630</v>
      </c>
      <c r="O294" s="13">
        <v>43846</v>
      </c>
      <c r="P294" s="10">
        <f t="shared" ca="1" si="84"/>
        <v>4.4444444444444446E-2</v>
      </c>
      <c r="Q294" s="5">
        <f t="shared" ca="1" si="85"/>
        <v>0</v>
      </c>
      <c r="R294" s="5">
        <f t="shared" ca="1" si="86"/>
        <v>17</v>
      </c>
      <c r="S294" s="7">
        <f t="shared" ca="1" si="87"/>
        <v>2020</v>
      </c>
      <c r="T294" s="7">
        <f t="shared" ca="1" si="88"/>
        <v>1</v>
      </c>
      <c r="U294" s="7">
        <f t="shared" ca="1" si="89"/>
        <v>16</v>
      </c>
      <c r="V294" s="6" t="s">
        <v>1522</v>
      </c>
      <c r="W294" s="14" t="s">
        <v>96</v>
      </c>
      <c r="X294" s="15"/>
      <c r="Y294" s="5">
        <f ca="1">COUNT(AP294,AV294,BB294,BH294,BM294,#REF!,#REF!)</f>
        <v>0</v>
      </c>
      <c r="Z294" s="6"/>
      <c r="AA294" s="12" t="str">
        <f t="shared" ca="1" si="91"/>
        <v>NA</v>
      </c>
      <c r="AB294" s="12" t="str">
        <f t="shared" ca="1" si="92"/>
        <v>NA</v>
      </c>
      <c r="AC294" s="12" t="str">
        <f t="shared" ca="1" si="93"/>
        <v>NA</v>
      </c>
      <c r="AD294" s="6"/>
      <c r="AE294" s="5"/>
      <c r="AF294" s="6"/>
      <c r="AG294" s="11">
        <v>43863</v>
      </c>
      <c r="AH294" s="12">
        <f t="shared" ca="1" si="94"/>
        <v>2020</v>
      </c>
      <c r="AI294" s="12">
        <f t="shared" ca="1" si="95"/>
        <v>2</v>
      </c>
      <c r="AJ294" s="12">
        <f t="shared" ca="1" si="96"/>
        <v>2</v>
      </c>
      <c r="AK294" s="8" t="s">
        <v>1523</v>
      </c>
      <c r="AL294" s="8"/>
      <c r="AM294" s="5"/>
      <c r="AN294" s="5"/>
      <c r="AO294" s="5"/>
      <c r="AP294" s="12" t="str">
        <f t="shared" ca="1" si="97"/>
        <v>NA</v>
      </c>
      <c r="AQ294" s="12" t="str">
        <f t="shared" ca="1" si="98"/>
        <v>NA</v>
      </c>
      <c r="AR294" s="12" t="str">
        <f t="shared" ca="1" si="99"/>
        <v>NA</v>
      </c>
      <c r="AS294" s="5"/>
      <c r="AT294" s="5"/>
      <c r="AU294" s="5"/>
      <c r="AV294" s="12" t="str">
        <f t="shared" ca="1" si="100"/>
        <v>NA</v>
      </c>
      <c r="AW294" s="12" t="str">
        <f t="shared" ca="1" si="101"/>
        <v>NA</v>
      </c>
      <c r="AX294" s="12" t="str">
        <f t="shared" ca="1" si="102"/>
        <v>NA</v>
      </c>
      <c r="AY294" s="5"/>
      <c r="AZ294" s="5"/>
      <c r="BA294" s="6"/>
      <c r="BB294" s="12" t="str">
        <f t="shared" ca="1" si="103"/>
        <v>NA</v>
      </c>
      <c r="BC294" s="12" t="str">
        <f t="shared" ca="1" si="104"/>
        <v>NA</v>
      </c>
      <c r="BD294" s="12" t="str">
        <f t="shared" ca="1" si="105"/>
        <v>NA</v>
      </c>
      <c r="BE294" s="5"/>
      <c r="BF294" s="5"/>
      <c r="BG294" s="5"/>
      <c r="BH294" s="12" t="str">
        <f t="shared" ca="1" si="106"/>
        <v>NA</v>
      </c>
      <c r="BI294" s="12" t="str">
        <f t="shared" ca="1" si="107"/>
        <v>NA</v>
      </c>
      <c r="BJ294" s="12" t="str">
        <f t="shared" ca="1" si="108"/>
        <v>NA</v>
      </c>
      <c r="BK294" s="5"/>
      <c r="BL294" s="5"/>
      <c r="BM294" s="12" t="str">
        <f t="shared" ca="1" si="109"/>
        <v>NA</v>
      </c>
      <c r="BN294" s="12" t="str">
        <f t="shared" ca="1" si="110"/>
        <v>NA</v>
      </c>
      <c r="BO294" s="12" t="str">
        <f t="shared" ca="1" si="111"/>
        <v>NA</v>
      </c>
      <c r="BP294" s="5"/>
      <c r="BQ294" s="5"/>
      <c r="BR294" s="5"/>
      <c r="BS294" s="12" t="str">
        <f t="shared" ca="1" si="112"/>
        <v>NA</v>
      </c>
      <c r="BT294" s="12" t="str">
        <f t="shared" ca="1" si="113"/>
        <v>NA</v>
      </c>
      <c r="BU294" s="12" t="str">
        <f t="shared" ca="1" si="114"/>
        <v>NA</v>
      </c>
      <c r="BV294" s="5"/>
      <c r="BW294" s="5"/>
      <c r="BX294" s="12" t="str">
        <f t="shared" ca="1" si="115"/>
        <v>NA</v>
      </c>
      <c r="BY294" s="12" t="str">
        <f t="shared" ca="1" si="116"/>
        <v>NA</v>
      </c>
      <c r="BZ294" s="12" t="str">
        <f t="shared" ca="1" si="117"/>
        <v>NA</v>
      </c>
      <c r="CA294" s="5"/>
    </row>
    <row r="295" spans="1:79" ht="12.75" customHeight="1" x14ac:dyDescent="0.15">
      <c r="A295" s="4">
        <v>2706</v>
      </c>
      <c r="B295" s="5" t="s">
        <v>79</v>
      </c>
      <c r="C295" s="5" t="s">
        <v>79</v>
      </c>
      <c r="D295" s="6" t="s">
        <v>1524</v>
      </c>
      <c r="E295" s="6" t="s">
        <v>1525</v>
      </c>
      <c r="F295" s="6" t="s">
        <v>1526</v>
      </c>
      <c r="G295" s="8"/>
      <c r="H295" s="8"/>
      <c r="I295" s="8"/>
      <c r="J295" s="8"/>
      <c r="K295" s="8"/>
      <c r="L295" s="8" t="s">
        <v>82</v>
      </c>
      <c r="M295" s="7">
        <v>2623</v>
      </c>
      <c r="N295" s="7">
        <v>2640</v>
      </c>
      <c r="O295" s="13">
        <v>43901</v>
      </c>
      <c r="P295" s="10">
        <f t="shared" ca="1" si="84"/>
        <v>0</v>
      </c>
      <c r="Q295" s="5">
        <f t="shared" ca="1" si="85"/>
        <v>0</v>
      </c>
      <c r="R295" s="5">
        <f t="shared" ca="1" si="86"/>
        <v>0</v>
      </c>
      <c r="S295" s="7">
        <f t="shared" ca="1" si="87"/>
        <v>2020</v>
      </c>
      <c r="T295" s="7">
        <f t="shared" ca="1" si="88"/>
        <v>3</v>
      </c>
      <c r="U295" s="7">
        <f t="shared" ca="1" si="89"/>
        <v>11</v>
      </c>
      <c r="V295" s="6" t="s">
        <v>1527</v>
      </c>
      <c r="W295" s="14" t="s">
        <v>96</v>
      </c>
      <c r="X295" s="15"/>
      <c r="Y295" s="5">
        <f t="shared" ref="Y295:Y301" ca="1" si="120">COUNT(AP295,AV295,BB295,BH295,BM295,BS297,BX297)</f>
        <v>0</v>
      </c>
      <c r="Z295" s="6"/>
      <c r="AA295" s="12" t="str">
        <f t="shared" ca="1" si="91"/>
        <v>NA</v>
      </c>
      <c r="AB295" s="12" t="str">
        <f t="shared" ca="1" si="92"/>
        <v>NA</v>
      </c>
      <c r="AC295" s="12" t="str">
        <f t="shared" ca="1" si="93"/>
        <v>NA</v>
      </c>
      <c r="AD295" s="6"/>
      <c r="AE295" s="5"/>
      <c r="AF295" s="6"/>
      <c r="AG295" s="11">
        <v>43901</v>
      </c>
      <c r="AH295" s="12">
        <f t="shared" ca="1" si="94"/>
        <v>2020</v>
      </c>
      <c r="AI295" s="12">
        <f t="shared" ca="1" si="95"/>
        <v>3</v>
      </c>
      <c r="AJ295" s="12">
        <f t="shared" ca="1" si="96"/>
        <v>11</v>
      </c>
      <c r="AK295" s="8" t="s">
        <v>1528</v>
      </c>
      <c r="AL295" s="8"/>
      <c r="AM295" s="5"/>
      <c r="AN295" s="5"/>
      <c r="AO295" s="5"/>
      <c r="AP295" s="12" t="str">
        <f t="shared" ca="1" si="97"/>
        <v>NA</v>
      </c>
      <c r="AQ295" s="12" t="str">
        <f t="shared" ca="1" si="98"/>
        <v>NA</v>
      </c>
      <c r="AR295" s="12" t="str">
        <f t="shared" ca="1" si="99"/>
        <v>NA</v>
      </c>
      <c r="AS295" s="5"/>
      <c r="AT295" s="5"/>
      <c r="AU295" s="5"/>
      <c r="AV295" s="12" t="str">
        <f t="shared" ca="1" si="100"/>
        <v>NA</v>
      </c>
      <c r="AW295" s="12" t="str">
        <f t="shared" ca="1" si="101"/>
        <v>NA</v>
      </c>
      <c r="AX295" s="12" t="str">
        <f t="shared" ca="1" si="102"/>
        <v>NA</v>
      </c>
      <c r="AY295" s="5"/>
      <c r="AZ295" s="5"/>
      <c r="BA295" s="6"/>
      <c r="BB295" s="12" t="str">
        <f t="shared" ca="1" si="103"/>
        <v>NA</v>
      </c>
      <c r="BC295" s="12" t="str">
        <f t="shared" ca="1" si="104"/>
        <v>NA</v>
      </c>
      <c r="BD295" s="12" t="str">
        <f t="shared" ca="1" si="105"/>
        <v>NA</v>
      </c>
      <c r="BE295" s="5"/>
      <c r="BF295" s="5"/>
      <c r="BG295" s="5"/>
      <c r="BH295" s="12" t="str">
        <f t="shared" ca="1" si="106"/>
        <v>NA</v>
      </c>
      <c r="BI295" s="12" t="str">
        <f t="shared" ca="1" si="107"/>
        <v>NA</v>
      </c>
      <c r="BJ295" s="12" t="str">
        <f t="shared" ca="1" si="108"/>
        <v>NA</v>
      </c>
      <c r="BK295" s="5"/>
      <c r="BL295" s="5"/>
      <c r="BM295" s="12" t="str">
        <f t="shared" ca="1" si="109"/>
        <v>NA</v>
      </c>
      <c r="BN295" s="12" t="str">
        <f t="shared" ca="1" si="110"/>
        <v>NA</v>
      </c>
      <c r="BO295" s="12" t="str">
        <f t="shared" ca="1" si="111"/>
        <v>NA</v>
      </c>
      <c r="BP295" s="5"/>
      <c r="BQ295" s="5"/>
      <c r="BR295" s="5"/>
      <c r="BS295" s="12" t="str">
        <f t="shared" ca="1" si="112"/>
        <v>NA</v>
      </c>
      <c r="BT295" s="12" t="str">
        <f t="shared" ca="1" si="113"/>
        <v>NA</v>
      </c>
      <c r="BU295" s="12" t="str">
        <f t="shared" ca="1" si="114"/>
        <v>NA</v>
      </c>
      <c r="BV295" s="5"/>
      <c r="BW295" s="5"/>
      <c r="BX295" s="12" t="str">
        <f t="shared" ca="1" si="115"/>
        <v>NA</v>
      </c>
      <c r="BY295" s="12" t="str">
        <f t="shared" ca="1" si="116"/>
        <v>NA</v>
      </c>
      <c r="BZ295" s="12" t="str">
        <f t="shared" ca="1" si="117"/>
        <v>NA</v>
      </c>
      <c r="CA295" s="5"/>
    </row>
    <row r="296" spans="1:79" ht="12.75" customHeight="1" x14ac:dyDescent="0.15">
      <c r="A296" s="4">
        <v>2504</v>
      </c>
      <c r="B296" s="5" t="s">
        <v>852</v>
      </c>
      <c r="C296" s="5" t="s">
        <v>852</v>
      </c>
      <c r="D296" s="6" t="s">
        <v>1529</v>
      </c>
      <c r="E296" s="6" t="s">
        <v>1530</v>
      </c>
      <c r="F296" s="6" t="s">
        <v>1531</v>
      </c>
      <c r="G296" s="8" t="s">
        <v>1077</v>
      </c>
      <c r="H296" s="6" t="s">
        <v>1532</v>
      </c>
      <c r="I296" s="8">
        <v>2617</v>
      </c>
      <c r="J296" s="8"/>
      <c r="K296" s="8"/>
      <c r="L296" s="8" t="s">
        <v>82</v>
      </c>
      <c r="M296" s="7">
        <v>1131</v>
      </c>
      <c r="N296" s="7">
        <v>2403</v>
      </c>
      <c r="O296" s="13">
        <v>39100</v>
      </c>
      <c r="P296" s="10" t="str">
        <f t="shared" ca="1" si="84"/>
        <v>NA</v>
      </c>
      <c r="Q296" s="5" t="str">
        <f t="shared" ca="1" si="85"/>
        <v>NA</v>
      </c>
      <c r="R296" s="5" t="str">
        <f t="shared" ca="1" si="86"/>
        <v>NA</v>
      </c>
      <c r="S296" s="7">
        <f t="shared" ca="1" si="87"/>
        <v>2007</v>
      </c>
      <c r="T296" s="7">
        <f t="shared" ca="1" si="88"/>
        <v>1</v>
      </c>
      <c r="U296" s="7">
        <f t="shared" ca="1" si="89"/>
        <v>18</v>
      </c>
      <c r="V296" s="6" t="s">
        <v>1533</v>
      </c>
      <c r="W296" s="14" t="s">
        <v>96</v>
      </c>
      <c r="X296" s="15"/>
      <c r="Y296" s="5">
        <f t="shared" ca="1" si="120"/>
        <v>1</v>
      </c>
      <c r="Z296" s="6"/>
      <c r="AA296" s="12" t="str">
        <f t="shared" ca="1" si="91"/>
        <v>NA</v>
      </c>
      <c r="AB296" s="12" t="str">
        <f t="shared" ca="1" si="92"/>
        <v>NA</v>
      </c>
      <c r="AC296" s="12" t="str">
        <f t="shared" ca="1" si="93"/>
        <v>NA</v>
      </c>
      <c r="AD296" s="6"/>
      <c r="AE296" s="5"/>
      <c r="AF296" s="6"/>
      <c r="AG296" s="5"/>
      <c r="AH296" s="12" t="str">
        <f t="shared" ca="1" si="94"/>
        <v>NA</v>
      </c>
      <c r="AI296" s="12" t="str">
        <f t="shared" ca="1" si="95"/>
        <v>NA</v>
      </c>
      <c r="AJ296" s="12" t="str">
        <f t="shared" ca="1" si="96"/>
        <v>NA</v>
      </c>
      <c r="AK296" s="5"/>
      <c r="AL296" s="5"/>
      <c r="AM296" s="5"/>
      <c r="AN296" s="5"/>
      <c r="AO296" s="11">
        <v>39989</v>
      </c>
      <c r="AP296" s="12">
        <f t="shared" ca="1" si="97"/>
        <v>2009</v>
      </c>
      <c r="AQ296" s="12">
        <f t="shared" ca="1" si="98"/>
        <v>6</v>
      </c>
      <c r="AR296" s="12">
        <f t="shared" ca="1" si="99"/>
        <v>25</v>
      </c>
      <c r="AS296" s="8" t="s">
        <v>1534</v>
      </c>
      <c r="AT296" s="8"/>
      <c r="AU296" s="5"/>
      <c r="AV296" s="12" t="str">
        <f t="shared" ca="1" si="100"/>
        <v>NA</v>
      </c>
      <c r="AW296" s="12" t="str">
        <f t="shared" ca="1" si="101"/>
        <v>NA</v>
      </c>
      <c r="AX296" s="12" t="str">
        <f t="shared" ca="1" si="102"/>
        <v>NA</v>
      </c>
      <c r="AY296" s="5" t="s">
        <v>1535</v>
      </c>
      <c r="AZ296" s="5"/>
      <c r="BA296" s="5"/>
      <c r="BB296" s="12" t="str">
        <f t="shared" ca="1" si="103"/>
        <v>NA</v>
      </c>
      <c r="BC296" s="12" t="str">
        <f t="shared" ca="1" si="104"/>
        <v>NA</v>
      </c>
      <c r="BD296" s="12" t="str">
        <f t="shared" ca="1" si="105"/>
        <v>NA</v>
      </c>
      <c r="BE296" s="5"/>
      <c r="BF296" s="5"/>
      <c r="BG296" s="5"/>
      <c r="BH296" s="12" t="str">
        <f t="shared" ca="1" si="106"/>
        <v>NA</v>
      </c>
      <c r="BI296" s="12" t="str">
        <f t="shared" ca="1" si="107"/>
        <v>NA</v>
      </c>
      <c r="BJ296" s="12" t="str">
        <f t="shared" ca="1" si="108"/>
        <v>NA</v>
      </c>
      <c r="BK296" s="5"/>
      <c r="BL296" s="5"/>
      <c r="BM296" s="12" t="str">
        <f t="shared" ca="1" si="109"/>
        <v>NA</v>
      </c>
      <c r="BN296" s="12" t="str">
        <f t="shared" ca="1" si="110"/>
        <v>NA</v>
      </c>
      <c r="BO296" s="12" t="str">
        <f t="shared" ca="1" si="111"/>
        <v>NA</v>
      </c>
      <c r="BP296" s="5"/>
      <c r="BQ296" s="5"/>
      <c r="BR296" s="5"/>
      <c r="BS296" s="12" t="str">
        <f t="shared" ca="1" si="112"/>
        <v>NA</v>
      </c>
      <c r="BT296" s="12" t="str">
        <f t="shared" ca="1" si="113"/>
        <v>NA</v>
      </c>
      <c r="BU296" s="12" t="str">
        <f t="shared" ca="1" si="114"/>
        <v>NA</v>
      </c>
      <c r="BV296" s="5"/>
      <c r="BW296" s="5"/>
      <c r="BX296" s="12" t="str">
        <f t="shared" ca="1" si="115"/>
        <v>NA</v>
      </c>
      <c r="BY296" s="12" t="str">
        <f t="shared" ca="1" si="116"/>
        <v>NA</v>
      </c>
      <c r="BZ296" s="12" t="str">
        <f t="shared" ca="1" si="117"/>
        <v>NA</v>
      </c>
      <c r="CA296" s="5"/>
    </row>
    <row r="297" spans="1:79" ht="12.75" customHeight="1" x14ac:dyDescent="0.15">
      <c r="A297" s="4">
        <v>2617</v>
      </c>
      <c r="B297" s="5" t="s">
        <v>852</v>
      </c>
      <c r="C297" s="5" t="s">
        <v>852</v>
      </c>
      <c r="D297" s="6" t="s">
        <v>1536</v>
      </c>
      <c r="E297" s="7">
        <v>104733</v>
      </c>
      <c r="F297" s="6" t="s">
        <v>1537</v>
      </c>
      <c r="G297" s="8" t="s">
        <v>856</v>
      </c>
      <c r="H297" s="6" t="s">
        <v>1538</v>
      </c>
      <c r="I297" s="8">
        <v>2504</v>
      </c>
      <c r="J297" s="8"/>
      <c r="K297" s="8"/>
      <c r="L297" s="8" t="s">
        <v>82</v>
      </c>
      <c r="M297" s="7">
        <v>1130</v>
      </c>
      <c r="N297" s="7">
        <v>2436</v>
      </c>
      <c r="O297" s="13">
        <v>40214</v>
      </c>
      <c r="P297" s="10" t="str">
        <f t="shared" ca="1" si="84"/>
        <v>NA</v>
      </c>
      <c r="Q297" s="5" t="str">
        <f t="shared" ca="1" si="85"/>
        <v>NA</v>
      </c>
      <c r="R297" s="5" t="str">
        <f t="shared" ca="1" si="86"/>
        <v>NA</v>
      </c>
      <c r="S297" s="7">
        <f t="shared" ca="1" si="87"/>
        <v>2010</v>
      </c>
      <c r="T297" s="7">
        <f t="shared" ca="1" si="88"/>
        <v>2</v>
      </c>
      <c r="U297" s="7">
        <f t="shared" ca="1" si="89"/>
        <v>5</v>
      </c>
      <c r="V297" s="6" t="s">
        <v>1539</v>
      </c>
      <c r="W297" s="14" t="s">
        <v>96</v>
      </c>
      <c r="X297" s="15"/>
      <c r="Y297" s="5">
        <f t="shared" ca="1" si="120"/>
        <v>0</v>
      </c>
      <c r="Z297" s="6"/>
      <c r="AA297" s="12" t="str">
        <f t="shared" ca="1" si="91"/>
        <v>NA</v>
      </c>
      <c r="AB297" s="12" t="str">
        <f t="shared" ca="1" si="92"/>
        <v>NA</v>
      </c>
      <c r="AC297" s="12" t="str">
        <f t="shared" ca="1" si="93"/>
        <v>NA</v>
      </c>
      <c r="AD297" s="6"/>
      <c r="AE297" s="5"/>
      <c r="AF297" s="6"/>
      <c r="AG297" s="5"/>
      <c r="AH297" s="12" t="str">
        <f t="shared" ca="1" si="94"/>
        <v>NA</v>
      </c>
      <c r="AI297" s="12" t="str">
        <f t="shared" ca="1" si="95"/>
        <v>NA</v>
      </c>
      <c r="AJ297" s="12" t="str">
        <f t="shared" ca="1" si="96"/>
        <v>NA</v>
      </c>
      <c r="AK297" s="5"/>
      <c r="AL297" s="5"/>
      <c r="AM297" s="5"/>
      <c r="AN297" s="5"/>
      <c r="AO297" s="5"/>
      <c r="AP297" s="12" t="str">
        <f t="shared" ca="1" si="97"/>
        <v>NA</v>
      </c>
      <c r="AQ297" s="12" t="str">
        <f t="shared" ca="1" si="98"/>
        <v>NA</v>
      </c>
      <c r="AR297" s="12" t="str">
        <f t="shared" ca="1" si="99"/>
        <v>NA</v>
      </c>
      <c r="AS297" s="5"/>
      <c r="AT297" s="5"/>
      <c r="AU297" s="5"/>
      <c r="AV297" s="12" t="str">
        <f t="shared" ca="1" si="100"/>
        <v>NA</v>
      </c>
      <c r="AW297" s="12" t="str">
        <f t="shared" ca="1" si="101"/>
        <v>NA</v>
      </c>
      <c r="AX297" s="12" t="str">
        <f t="shared" ca="1" si="102"/>
        <v>NA</v>
      </c>
      <c r="AY297" s="5"/>
      <c r="AZ297" s="5"/>
      <c r="BA297" s="5"/>
      <c r="BB297" s="12" t="str">
        <f t="shared" ca="1" si="103"/>
        <v>NA</v>
      </c>
      <c r="BC297" s="12" t="str">
        <f t="shared" ca="1" si="104"/>
        <v>NA</v>
      </c>
      <c r="BD297" s="12" t="str">
        <f t="shared" ca="1" si="105"/>
        <v>NA</v>
      </c>
      <c r="BE297" s="5"/>
      <c r="BF297" s="5"/>
      <c r="BG297" s="5"/>
      <c r="BH297" s="12" t="str">
        <f t="shared" ca="1" si="106"/>
        <v>NA</v>
      </c>
      <c r="BI297" s="12" t="str">
        <f t="shared" ca="1" si="107"/>
        <v>NA</v>
      </c>
      <c r="BJ297" s="12" t="str">
        <f t="shared" ca="1" si="108"/>
        <v>NA</v>
      </c>
      <c r="BK297" s="5"/>
      <c r="BL297" s="5"/>
      <c r="BM297" s="12" t="str">
        <f t="shared" ca="1" si="109"/>
        <v>NA</v>
      </c>
      <c r="BN297" s="12" t="str">
        <f t="shared" ca="1" si="110"/>
        <v>NA</v>
      </c>
      <c r="BO297" s="12" t="str">
        <f t="shared" ca="1" si="111"/>
        <v>NA</v>
      </c>
      <c r="BP297" s="5"/>
      <c r="BQ297" s="5"/>
      <c r="BR297" s="5"/>
      <c r="BS297" s="12" t="str">
        <f t="shared" ca="1" si="112"/>
        <v>NA</v>
      </c>
      <c r="BT297" s="12" t="str">
        <f t="shared" ca="1" si="113"/>
        <v>NA</v>
      </c>
      <c r="BU297" s="12" t="str">
        <f t="shared" ca="1" si="114"/>
        <v>NA</v>
      </c>
      <c r="BV297" s="5"/>
      <c r="BW297" s="5"/>
      <c r="BX297" s="12" t="str">
        <f t="shared" ca="1" si="115"/>
        <v>NA</v>
      </c>
      <c r="BY297" s="12" t="str">
        <f t="shared" ca="1" si="116"/>
        <v>NA</v>
      </c>
      <c r="BZ297" s="12" t="str">
        <f t="shared" ca="1" si="117"/>
        <v>NA</v>
      </c>
      <c r="CA297" s="5"/>
    </row>
    <row r="298" spans="1:79" ht="12.75" customHeight="1" x14ac:dyDescent="0.15">
      <c r="A298" s="4">
        <v>2709</v>
      </c>
      <c r="B298" s="5" t="s">
        <v>79</v>
      </c>
      <c r="C298" s="5" t="s">
        <v>79</v>
      </c>
      <c r="D298" s="6" t="s">
        <v>1540</v>
      </c>
      <c r="E298" s="7">
        <v>120029</v>
      </c>
      <c r="F298" s="6" t="s">
        <v>1541</v>
      </c>
      <c r="G298" s="8"/>
      <c r="H298" s="8"/>
      <c r="I298" s="8"/>
      <c r="J298" s="8"/>
      <c r="K298" s="8"/>
      <c r="L298" s="8" t="s">
        <v>82</v>
      </c>
      <c r="M298" s="7">
        <v>2641</v>
      </c>
      <c r="N298" s="7">
        <v>2502</v>
      </c>
      <c r="O298" s="13">
        <v>44131</v>
      </c>
      <c r="P298" s="10">
        <f t="shared" ca="1" si="84"/>
        <v>5.5555555555555558E-3</v>
      </c>
      <c r="Q298" s="5">
        <f t="shared" ca="1" si="85"/>
        <v>0</v>
      </c>
      <c r="R298" s="5">
        <f t="shared" ca="1" si="86"/>
        <v>2</v>
      </c>
      <c r="S298" s="7">
        <f t="shared" ca="1" si="87"/>
        <v>2020</v>
      </c>
      <c r="T298" s="7">
        <f t="shared" ca="1" si="88"/>
        <v>10</v>
      </c>
      <c r="U298" s="7">
        <f t="shared" ca="1" si="89"/>
        <v>27</v>
      </c>
      <c r="V298" s="6" t="s">
        <v>1542</v>
      </c>
      <c r="W298" s="14" t="s">
        <v>96</v>
      </c>
      <c r="X298" s="15"/>
      <c r="Y298" s="5">
        <f t="shared" ca="1" si="120"/>
        <v>0</v>
      </c>
      <c r="Z298" s="6"/>
      <c r="AA298" s="12" t="str">
        <f t="shared" ca="1" si="91"/>
        <v>NA</v>
      </c>
      <c r="AB298" s="12" t="str">
        <f t="shared" ca="1" si="92"/>
        <v>NA</v>
      </c>
      <c r="AC298" s="12" t="str">
        <f t="shared" ca="1" si="93"/>
        <v>NA</v>
      </c>
      <c r="AD298" s="6"/>
      <c r="AE298" s="5"/>
      <c r="AF298" s="6"/>
      <c r="AG298" s="11">
        <v>44133</v>
      </c>
      <c r="AH298" s="12">
        <f t="shared" ca="1" si="94"/>
        <v>2020</v>
      </c>
      <c r="AI298" s="12">
        <f t="shared" ca="1" si="95"/>
        <v>10</v>
      </c>
      <c r="AJ298" s="12">
        <f t="shared" ca="1" si="96"/>
        <v>29</v>
      </c>
      <c r="AK298" s="8" t="s">
        <v>1543</v>
      </c>
      <c r="AL298" s="8"/>
      <c r="AM298" s="5"/>
      <c r="AN298" s="5"/>
      <c r="AO298" s="5"/>
      <c r="AP298" s="12" t="str">
        <f t="shared" ca="1" si="97"/>
        <v>NA</v>
      </c>
      <c r="AQ298" s="12" t="str">
        <f t="shared" ca="1" si="98"/>
        <v>NA</v>
      </c>
      <c r="AR298" s="12" t="str">
        <f t="shared" ca="1" si="99"/>
        <v>NA</v>
      </c>
      <c r="AS298" s="5"/>
      <c r="AT298" s="5"/>
      <c r="AU298" s="5"/>
      <c r="AV298" s="12" t="str">
        <f t="shared" ca="1" si="100"/>
        <v>NA</v>
      </c>
      <c r="AW298" s="12" t="str">
        <f t="shared" ca="1" si="101"/>
        <v>NA</v>
      </c>
      <c r="AX298" s="12" t="str">
        <f t="shared" ca="1" si="102"/>
        <v>NA</v>
      </c>
      <c r="AY298" s="5"/>
      <c r="AZ298" s="5"/>
      <c r="BA298" s="6"/>
      <c r="BB298" s="12" t="str">
        <f t="shared" ca="1" si="103"/>
        <v>NA</v>
      </c>
      <c r="BC298" s="12" t="str">
        <f t="shared" ca="1" si="104"/>
        <v>NA</v>
      </c>
      <c r="BD298" s="12" t="str">
        <f t="shared" ca="1" si="105"/>
        <v>NA</v>
      </c>
      <c r="BE298" s="5"/>
      <c r="BF298" s="5"/>
      <c r="BG298" s="5"/>
      <c r="BH298" s="12" t="str">
        <f t="shared" ca="1" si="106"/>
        <v>NA</v>
      </c>
      <c r="BI298" s="12" t="str">
        <f t="shared" ca="1" si="107"/>
        <v>NA</v>
      </c>
      <c r="BJ298" s="12" t="str">
        <f t="shared" ca="1" si="108"/>
        <v>NA</v>
      </c>
      <c r="BK298" s="5"/>
      <c r="BL298" s="5"/>
      <c r="BM298" s="12" t="str">
        <f t="shared" ca="1" si="109"/>
        <v>NA</v>
      </c>
      <c r="BN298" s="12" t="str">
        <f t="shared" ca="1" si="110"/>
        <v>NA</v>
      </c>
      <c r="BO298" s="12" t="str">
        <f t="shared" ca="1" si="111"/>
        <v>NA</v>
      </c>
      <c r="BP298" s="5"/>
      <c r="BQ298" s="5"/>
      <c r="BR298" s="5"/>
      <c r="BS298" s="12" t="str">
        <f t="shared" ca="1" si="112"/>
        <v>NA</v>
      </c>
      <c r="BT298" s="12" t="str">
        <f t="shared" ca="1" si="113"/>
        <v>NA</v>
      </c>
      <c r="BU298" s="12" t="str">
        <f t="shared" ca="1" si="114"/>
        <v>NA</v>
      </c>
      <c r="BV298" s="5"/>
      <c r="BW298" s="5"/>
      <c r="BX298" s="12" t="str">
        <f t="shared" ca="1" si="115"/>
        <v>NA</v>
      </c>
      <c r="BY298" s="12" t="str">
        <f t="shared" ca="1" si="116"/>
        <v>NA</v>
      </c>
      <c r="BZ298" s="12" t="str">
        <f t="shared" ca="1" si="117"/>
        <v>NA</v>
      </c>
      <c r="CA298" s="5"/>
    </row>
    <row r="299" spans="1:79" ht="12.75" customHeight="1" x14ac:dyDescent="0.15">
      <c r="A299" s="4">
        <v>2710</v>
      </c>
      <c r="B299" s="5" t="s">
        <v>79</v>
      </c>
      <c r="C299" s="5" t="s">
        <v>79</v>
      </c>
      <c r="D299" s="6" t="s">
        <v>1544</v>
      </c>
      <c r="E299" s="7">
        <v>9458</v>
      </c>
      <c r="F299" s="6" t="s">
        <v>1545</v>
      </c>
      <c r="G299" s="8"/>
      <c r="H299" s="8"/>
      <c r="I299" s="8"/>
      <c r="J299" s="8"/>
      <c r="K299" s="8"/>
      <c r="L299" s="8" t="s">
        <v>82</v>
      </c>
      <c r="M299" s="7">
        <v>2649</v>
      </c>
      <c r="N299" s="7">
        <v>2638</v>
      </c>
      <c r="O299" s="13">
        <v>44169</v>
      </c>
      <c r="P299" s="10">
        <f t="shared" ca="1" si="84"/>
        <v>0.17222222222222222</v>
      </c>
      <c r="Q299" s="5">
        <f t="shared" ca="1" si="85"/>
        <v>2</v>
      </c>
      <c r="R299" s="5">
        <f t="shared" ca="1" si="86"/>
        <v>64</v>
      </c>
      <c r="S299" s="7">
        <f t="shared" ca="1" si="87"/>
        <v>2020</v>
      </c>
      <c r="T299" s="7">
        <f t="shared" ca="1" si="88"/>
        <v>12</v>
      </c>
      <c r="U299" s="7">
        <f t="shared" ca="1" si="89"/>
        <v>4</v>
      </c>
      <c r="V299" s="6" t="s">
        <v>1546</v>
      </c>
      <c r="W299" s="14" t="s">
        <v>96</v>
      </c>
      <c r="X299" s="15"/>
      <c r="Y299" s="5">
        <f t="shared" ca="1" si="120"/>
        <v>0</v>
      </c>
      <c r="Z299" s="6"/>
      <c r="AA299" s="12" t="str">
        <f t="shared" ca="1" si="91"/>
        <v>NA</v>
      </c>
      <c r="AB299" s="12" t="str">
        <f t="shared" ca="1" si="92"/>
        <v>NA</v>
      </c>
      <c r="AC299" s="12" t="str">
        <f t="shared" ca="1" si="93"/>
        <v>NA</v>
      </c>
      <c r="AD299" s="6"/>
      <c r="AE299" s="5"/>
      <c r="AF299" s="6"/>
      <c r="AG299" s="11">
        <v>44233</v>
      </c>
      <c r="AH299" s="12">
        <f t="shared" ca="1" si="94"/>
        <v>2021</v>
      </c>
      <c r="AI299" s="12">
        <f t="shared" ca="1" si="95"/>
        <v>2</v>
      </c>
      <c r="AJ299" s="12">
        <f t="shared" ca="1" si="96"/>
        <v>6</v>
      </c>
      <c r="AK299" s="8" t="s">
        <v>1547</v>
      </c>
      <c r="AL299" s="8"/>
      <c r="AM299" s="5"/>
      <c r="AN299" s="5"/>
      <c r="AO299" s="5"/>
      <c r="AP299" s="12" t="str">
        <f t="shared" ca="1" si="97"/>
        <v>NA</v>
      </c>
      <c r="AQ299" s="12" t="str">
        <f t="shared" ca="1" si="98"/>
        <v>NA</v>
      </c>
      <c r="AR299" s="12" t="str">
        <f t="shared" ca="1" si="99"/>
        <v>NA</v>
      </c>
      <c r="AS299" s="5"/>
      <c r="AT299" s="5"/>
      <c r="AU299" s="5"/>
      <c r="AV299" s="12" t="str">
        <f t="shared" ca="1" si="100"/>
        <v>NA</v>
      </c>
      <c r="AW299" s="12" t="str">
        <f t="shared" ca="1" si="101"/>
        <v>NA</v>
      </c>
      <c r="AX299" s="12" t="str">
        <f t="shared" ca="1" si="102"/>
        <v>NA</v>
      </c>
      <c r="AY299" s="5"/>
      <c r="AZ299" s="5"/>
      <c r="BA299" s="6"/>
      <c r="BB299" s="12" t="str">
        <f t="shared" ca="1" si="103"/>
        <v>NA</v>
      </c>
      <c r="BC299" s="12" t="str">
        <f t="shared" ca="1" si="104"/>
        <v>NA</v>
      </c>
      <c r="BD299" s="12" t="str">
        <f t="shared" ca="1" si="105"/>
        <v>NA</v>
      </c>
      <c r="BE299" s="5"/>
      <c r="BF299" s="5"/>
      <c r="BG299" s="5"/>
      <c r="BH299" s="12" t="str">
        <f t="shared" ca="1" si="106"/>
        <v>NA</v>
      </c>
      <c r="BI299" s="12" t="str">
        <f t="shared" ca="1" si="107"/>
        <v>NA</v>
      </c>
      <c r="BJ299" s="12" t="str">
        <f t="shared" ca="1" si="108"/>
        <v>NA</v>
      </c>
      <c r="BK299" s="5"/>
      <c r="BL299" s="5"/>
      <c r="BM299" s="12" t="str">
        <f t="shared" ca="1" si="109"/>
        <v>NA</v>
      </c>
      <c r="BN299" s="12" t="str">
        <f t="shared" ca="1" si="110"/>
        <v>NA</v>
      </c>
      <c r="BO299" s="12" t="str">
        <f t="shared" ca="1" si="111"/>
        <v>NA</v>
      </c>
      <c r="BP299" s="5"/>
      <c r="BQ299" s="5"/>
      <c r="BR299" s="5"/>
      <c r="BS299" s="12" t="str">
        <f t="shared" ca="1" si="112"/>
        <v>NA</v>
      </c>
      <c r="BT299" s="12" t="str">
        <f t="shared" ca="1" si="113"/>
        <v>NA</v>
      </c>
      <c r="BU299" s="12" t="str">
        <f t="shared" ca="1" si="114"/>
        <v>NA</v>
      </c>
      <c r="BV299" s="5"/>
      <c r="BW299" s="5"/>
      <c r="BX299" s="12" t="str">
        <f t="shared" ca="1" si="115"/>
        <v>NA</v>
      </c>
      <c r="BY299" s="12" t="str">
        <f t="shared" ca="1" si="116"/>
        <v>NA</v>
      </c>
      <c r="BZ299" s="12" t="str">
        <f t="shared" ca="1" si="117"/>
        <v>NA</v>
      </c>
      <c r="CA299" s="5"/>
    </row>
    <row r="300" spans="1:79" ht="12.75" customHeight="1" x14ac:dyDescent="0.15">
      <c r="A300" s="4">
        <v>2711</v>
      </c>
      <c r="B300" s="5" t="s">
        <v>79</v>
      </c>
      <c r="C300" s="5" t="s">
        <v>852</v>
      </c>
      <c r="D300" s="6" t="s">
        <v>1548</v>
      </c>
      <c r="E300" s="7">
        <v>221002</v>
      </c>
      <c r="F300" s="8" t="s">
        <v>1549</v>
      </c>
      <c r="G300" s="8"/>
      <c r="H300" s="8"/>
      <c r="I300" s="8"/>
      <c r="J300" s="8"/>
      <c r="K300" s="8"/>
      <c r="L300" s="8" t="s">
        <v>82</v>
      </c>
      <c r="M300" s="7">
        <v>2639</v>
      </c>
      <c r="N300" s="7">
        <v>2642</v>
      </c>
      <c r="O300" s="13">
        <v>44252</v>
      </c>
      <c r="P300" s="10" t="str">
        <f t="shared" ca="1" si="84"/>
        <v>NA</v>
      </c>
      <c r="Q300" s="5" t="str">
        <f t="shared" ca="1" si="85"/>
        <v>NA</v>
      </c>
      <c r="R300" s="5" t="str">
        <f t="shared" ca="1" si="86"/>
        <v>NA</v>
      </c>
      <c r="S300" s="7">
        <f t="shared" ca="1" si="87"/>
        <v>2021</v>
      </c>
      <c r="T300" s="7">
        <f t="shared" ca="1" si="88"/>
        <v>2</v>
      </c>
      <c r="U300" s="7">
        <f t="shared" ca="1" si="89"/>
        <v>25</v>
      </c>
      <c r="V300" s="6" t="s">
        <v>1550</v>
      </c>
      <c r="W300" s="14" t="s">
        <v>96</v>
      </c>
      <c r="X300" s="15"/>
      <c r="Y300" s="5">
        <f t="shared" ca="1" si="120"/>
        <v>0</v>
      </c>
      <c r="Z300" s="6"/>
      <c r="AA300" s="12" t="str">
        <f t="shared" ca="1" si="91"/>
        <v>NA</v>
      </c>
      <c r="AB300" s="12" t="str">
        <f t="shared" ca="1" si="92"/>
        <v>NA</v>
      </c>
      <c r="AC300" s="12" t="str">
        <f t="shared" ca="1" si="93"/>
        <v>NA</v>
      </c>
      <c r="AD300" s="6"/>
      <c r="AE300" s="5"/>
      <c r="AF300" s="6"/>
      <c r="AG300" s="5"/>
      <c r="AH300" s="12" t="str">
        <f t="shared" ca="1" si="94"/>
        <v>NA</v>
      </c>
      <c r="AI300" s="12" t="str">
        <f t="shared" ca="1" si="95"/>
        <v>NA</v>
      </c>
      <c r="AJ300" s="12" t="str">
        <f t="shared" ca="1" si="96"/>
        <v>NA</v>
      </c>
      <c r="AK300" s="5"/>
      <c r="AL300" s="5"/>
      <c r="AM300" s="5"/>
      <c r="AN300" s="5"/>
      <c r="AO300" s="5"/>
      <c r="AP300" s="12" t="str">
        <f t="shared" ca="1" si="97"/>
        <v>NA</v>
      </c>
      <c r="AQ300" s="12" t="str">
        <f t="shared" ca="1" si="98"/>
        <v>NA</v>
      </c>
      <c r="AR300" s="12" t="str">
        <f t="shared" ca="1" si="99"/>
        <v>NA</v>
      </c>
      <c r="AS300" s="5"/>
      <c r="AT300" s="5"/>
      <c r="AU300" s="5"/>
      <c r="AV300" s="12" t="str">
        <f t="shared" ca="1" si="100"/>
        <v>NA</v>
      </c>
      <c r="AW300" s="12" t="str">
        <f t="shared" ca="1" si="101"/>
        <v>NA</v>
      </c>
      <c r="AX300" s="12" t="str">
        <f t="shared" ca="1" si="102"/>
        <v>NA</v>
      </c>
      <c r="AY300" s="5"/>
      <c r="AZ300" s="5"/>
      <c r="BA300" s="5"/>
      <c r="BB300" s="12" t="str">
        <f t="shared" ca="1" si="103"/>
        <v>NA</v>
      </c>
      <c r="BC300" s="12" t="str">
        <f t="shared" ca="1" si="104"/>
        <v>NA</v>
      </c>
      <c r="BD300" s="12" t="str">
        <f t="shared" ca="1" si="105"/>
        <v>NA</v>
      </c>
      <c r="BE300" s="5"/>
      <c r="BF300" s="5"/>
      <c r="BG300" s="5"/>
      <c r="BH300" s="12" t="str">
        <f t="shared" ca="1" si="106"/>
        <v>NA</v>
      </c>
      <c r="BI300" s="12" t="str">
        <f t="shared" ca="1" si="107"/>
        <v>NA</v>
      </c>
      <c r="BJ300" s="12" t="str">
        <f t="shared" ca="1" si="108"/>
        <v>NA</v>
      </c>
      <c r="BK300" s="5"/>
      <c r="BL300" s="5"/>
      <c r="BM300" s="12" t="str">
        <f t="shared" ca="1" si="109"/>
        <v>NA</v>
      </c>
      <c r="BN300" s="12" t="str">
        <f t="shared" ca="1" si="110"/>
        <v>NA</v>
      </c>
      <c r="BO300" s="12" t="str">
        <f t="shared" ca="1" si="111"/>
        <v>NA</v>
      </c>
      <c r="BP300" s="5"/>
      <c r="BQ300" s="5"/>
      <c r="BR300" s="5"/>
      <c r="BS300" s="12" t="str">
        <f t="shared" ca="1" si="112"/>
        <v>NA</v>
      </c>
      <c r="BT300" s="12" t="str">
        <f t="shared" ca="1" si="113"/>
        <v>NA</v>
      </c>
      <c r="BU300" s="12" t="str">
        <f t="shared" ca="1" si="114"/>
        <v>NA</v>
      </c>
      <c r="BV300" s="5"/>
      <c r="BW300" s="5"/>
      <c r="BX300" s="12" t="str">
        <f t="shared" ca="1" si="115"/>
        <v>NA</v>
      </c>
      <c r="BY300" s="12" t="str">
        <f t="shared" ca="1" si="116"/>
        <v>NA</v>
      </c>
      <c r="BZ300" s="12" t="str">
        <f t="shared" ca="1" si="117"/>
        <v>NA</v>
      </c>
      <c r="CA300" s="5"/>
    </row>
    <row r="301" spans="1:79" ht="12.75" customHeight="1" x14ac:dyDescent="0.15">
      <c r="A301" s="4">
        <v>2711</v>
      </c>
      <c r="B301" s="5" t="s">
        <v>79</v>
      </c>
      <c r="C301" s="5" t="s">
        <v>79</v>
      </c>
      <c r="D301" s="6" t="s">
        <v>1551</v>
      </c>
      <c r="E301" s="7">
        <v>221002</v>
      </c>
      <c r="F301" s="6" t="s">
        <v>1552</v>
      </c>
      <c r="G301" s="8"/>
      <c r="H301" s="8"/>
      <c r="I301" s="8"/>
      <c r="J301" s="8"/>
      <c r="K301" s="8"/>
      <c r="L301" s="8" t="s">
        <v>82</v>
      </c>
      <c r="M301" s="7">
        <v>2639</v>
      </c>
      <c r="N301" s="7">
        <v>2642</v>
      </c>
      <c r="O301" s="13">
        <v>44252</v>
      </c>
      <c r="P301" s="10" t="str">
        <f t="shared" ca="1" si="84"/>
        <v>NA</v>
      </c>
      <c r="Q301" s="5" t="str">
        <f t="shared" ca="1" si="85"/>
        <v>NA</v>
      </c>
      <c r="R301" s="5" t="str">
        <f t="shared" ca="1" si="86"/>
        <v>NA</v>
      </c>
      <c r="S301" s="7">
        <f t="shared" ca="1" si="87"/>
        <v>2021</v>
      </c>
      <c r="T301" s="7">
        <f t="shared" ca="1" si="88"/>
        <v>2</v>
      </c>
      <c r="U301" s="7">
        <f t="shared" ca="1" si="89"/>
        <v>25</v>
      </c>
      <c r="V301" s="6" t="s">
        <v>1553</v>
      </c>
      <c r="W301" s="14" t="s">
        <v>96</v>
      </c>
      <c r="X301" s="15"/>
      <c r="Y301" s="5">
        <f t="shared" ca="1" si="120"/>
        <v>0</v>
      </c>
      <c r="Z301" s="6"/>
      <c r="AA301" s="12" t="str">
        <f t="shared" ca="1" si="91"/>
        <v>NA</v>
      </c>
      <c r="AB301" s="12" t="str">
        <f t="shared" ca="1" si="92"/>
        <v>NA</v>
      </c>
      <c r="AC301" s="12" t="str">
        <f t="shared" ca="1" si="93"/>
        <v>NA</v>
      </c>
      <c r="AD301" s="6"/>
      <c r="AE301" s="5"/>
      <c r="AF301" s="6"/>
      <c r="AG301" s="5"/>
      <c r="AH301" s="12" t="str">
        <f t="shared" ca="1" si="94"/>
        <v>NA</v>
      </c>
      <c r="AI301" s="12" t="str">
        <f t="shared" ca="1" si="95"/>
        <v>NA</v>
      </c>
      <c r="AJ301" s="12" t="str">
        <f t="shared" ca="1" si="96"/>
        <v>NA</v>
      </c>
      <c r="AK301" s="5"/>
      <c r="AL301" s="5"/>
      <c r="AM301" s="5"/>
      <c r="AN301" s="5"/>
      <c r="AO301" s="5"/>
      <c r="AP301" s="12" t="str">
        <f t="shared" ca="1" si="97"/>
        <v>NA</v>
      </c>
      <c r="AQ301" s="12" t="str">
        <f t="shared" ca="1" si="98"/>
        <v>NA</v>
      </c>
      <c r="AR301" s="12" t="str">
        <f t="shared" ca="1" si="99"/>
        <v>NA</v>
      </c>
      <c r="AS301" s="5"/>
      <c r="AT301" s="5"/>
      <c r="AU301" s="5"/>
      <c r="AV301" s="12" t="str">
        <f t="shared" ca="1" si="100"/>
        <v>NA</v>
      </c>
      <c r="AW301" s="12" t="str">
        <f t="shared" ca="1" si="101"/>
        <v>NA</v>
      </c>
      <c r="AX301" s="12" t="str">
        <f t="shared" ca="1" si="102"/>
        <v>NA</v>
      </c>
      <c r="AY301" s="5"/>
      <c r="AZ301" s="5"/>
      <c r="BA301" s="6"/>
      <c r="BB301" s="12" t="str">
        <f t="shared" ca="1" si="103"/>
        <v>NA</v>
      </c>
      <c r="BC301" s="12" t="str">
        <f t="shared" ca="1" si="104"/>
        <v>NA</v>
      </c>
      <c r="BD301" s="12" t="str">
        <f t="shared" ca="1" si="105"/>
        <v>NA</v>
      </c>
      <c r="BE301" s="5"/>
      <c r="BF301" s="5"/>
      <c r="BG301" s="5"/>
      <c r="BH301" s="12" t="str">
        <f t="shared" ca="1" si="106"/>
        <v>NA</v>
      </c>
      <c r="BI301" s="12" t="str">
        <f t="shared" ca="1" si="107"/>
        <v>NA</v>
      </c>
      <c r="BJ301" s="12" t="str">
        <f t="shared" ca="1" si="108"/>
        <v>NA</v>
      </c>
      <c r="BK301" s="5"/>
      <c r="BL301" s="5"/>
      <c r="BM301" s="12" t="str">
        <f t="shared" ca="1" si="109"/>
        <v>NA</v>
      </c>
      <c r="BN301" s="12" t="str">
        <f t="shared" ca="1" si="110"/>
        <v>NA</v>
      </c>
      <c r="BO301" s="12" t="str">
        <f t="shared" ca="1" si="111"/>
        <v>NA</v>
      </c>
      <c r="BP301" s="5"/>
      <c r="BQ301" s="5"/>
      <c r="BR301" s="5"/>
      <c r="BS301" s="12" t="str">
        <f t="shared" ca="1" si="112"/>
        <v>NA</v>
      </c>
      <c r="BT301" s="12" t="str">
        <f t="shared" ca="1" si="113"/>
        <v>NA</v>
      </c>
      <c r="BU301" s="12" t="str">
        <f t="shared" ca="1" si="114"/>
        <v>NA</v>
      </c>
      <c r="BV301" s="5"/>
      <c r="BW301" s="5"/>
      <c r="BX301" s="12" t="str">
        <f t="shared" ca="1" si="115"/>
        <v>NA</v>
      </c>
      <c r="BY301" s="12" t="str">
        <f t="shared" ca="1" si="116"/>
        <v>NA</v>
      </c>
      <c r="BZ301" s="12" t="str">
        <f t="shared" ca="1" si="117"/>
        <v>NA</v>
      </c>
      <c r="CA301" s="5"/>
    </row>
    <row r="302" spans="1:79" ht="12.75" customHeight="1" x14ac:dyDescent="0.15">
      <c r="A302" s="25">
        <v>2712</v>
      </c>
      <c r="B302" s="5" t="s">
        <v>79</v>
      </c>
      <c r="C302" s="5" t="s">
        <v>79</v>
      </c>
      <c r="D302" s="6" t="s">
        <v>1554</v>
      </c>
      <c r="E302" s="6" t="s">
        <v>1555</v>
      </c>
      <c r="F302" s="6" t="s">
        <v>1556</v>
      </c>
      <c r="G302" s="8"/>
      <c r="H302" s="8"/>
      <c r="I302" s="8"/>
      <c r="J302" s="8"/>
      <c r="K302" s="8"/>
      <c r="L302" s="8" t="s">
        <v>82</v>
      </c>
      <c r="M302" s="7">
        <v>2623</v>
      </c>
      <c r="N302" s="7">
        <v>2640</v>
      </c>
      <c r="O302" s="23">
        <v>44266</v>
      </c>
      <c r="P302" s="10">
        <f t="shared" ca="1" si="84"/>
        <v>3.3333333333333333E-2</v>
      </c>
      <c r="Q302" s="5">
        <f t="shared" ca="1" si="85"/>
        <v>0</v>
      </c>
      <c r="R302" s="5">
        <f t="shared" ca="1" si="86"/>
        <v>12</v>
      </c>
      <c r="S302" s="7">
        <f t="shared" ca="1" si="87"/>
        <v>2021</v>
      </c>
      <c r="T302" s="7">
        <f t="shared" ca="1" si="88"/>
        <v>3</v>
      </c>
      <c r="U302" s="7">
        <f t="shared" ca="1" si="89"/>
        <v>11</v>
      </c>
      <c r="V302" s="6" t="s">
        <v>1557</v>
      </c>
      <c r="W302" s="8" t="s">
        <v>258</v>
      </c>
      <c r="X302" s="8"/>
      <c r="Y302" s="5">
        <f ca="1">COUNT(AP302,AV302,BB302,BH302,BM302,#REF!,#REF!)</f>
        <v>0</v>
      </c>
      <c r="Z302" s="6"/>
      <c r="AA302" s="12" t="str">
        <f t="shared" ca="1" si="91"/>
        <v>NA</v>
      </c>
      <c r="AB302" s="12" t="str">
        <f t="shared" ca="1" si="92"/>
        <v>NA</v>
      </c>
      <c r="AC302" s="12" t="str">
        <f t="shared" ca="1" si="93"/>
        <v>NA</v>
      </c>
      <c r="AD302" s="6"/>
      <c r="AE302" s="5"/>
      <c r="AF302" s="6"/>
      <c r="AG302" s="11">
        <v>44278</v>
      </c>
      <c r="AH302" s="12">
        <f t="shared" ca="1" si="94"/>
        <v>2021</v>
      </c>
      <c r="AI302" s="12">
        <f t="shared" ca="1" si="95"/>
        <v>3</v>
      </c>
      <c r="AJ302" s="12">
        <f t="shared" ca="1" si="96"/>
        <v>23</v>
      </c>
      <c r="AK302" s="8" t="s">
        <v>1558</v>
      </c>
      <c r="AL302" s="8"/>
      <c r="AM302" s="5"/>
      <c r="AN302" s="5"/>
      <c r="AO302" s="5"/>
      <c r="AP302" s="12" t="str">
        <f t="shared" ca="1" si="97"/>
        <v>NA</v>
      </c>
      <c r="AQ302" s="12" t="str">
        <f t="shared" ca="1" si="98"/>
        <v>NA</v>
      </c>
      <c r="AR302" s="12" t="str">
        <f t="shared" ca="1" si="99"/>
        <v>NA</v>
      </c>
      <c r="AS302" s="5"/>
      <c r="AT302" s="5"/>
      <c r="AU302" s="5"/>
      <c r="AV302" s="12" t="str">
        <f t="shared" ca="1" si="100"/>
        <v>NA</v>
      </c>
      <c r="AW302" s="12" t="str">
        <f t="shared" ca="1" si="101"/>
        <v>NA</v>
      </c>
      <c r="AX302" s="12" t="str">
        <f t="shared" ca="1" si="102"/>
        <v>NA</v>
      </c>
      <c r="AY302" s="5"/>
      <c r="AZ302" s="5"/>
      <c r="BA302" s="6"/>
      <c r="BB302" s="12" t="str">
        <f t="shared" ca="1" si="103"/>
        <v>NA</v>
      </c>
      <c r="BC302" s="12" t="str">
        <f t="shared" ca="1" si="104"/>
        <v>NA</v>
      </c>
      <c r="BD302" s="12" t="str">
        <f t="shared" ca="1" si="105"/>
        <v>NA</v>
      </c>
      <c r="BE302" s="5"/>
      <c r="BF302" s="5"/>
      <c r="BG302" s="5"/>
      <c r="BH302" s="12" t="str">
        <f t="shared" ca="1" si="106"/>
        <v>NA</v>
      </c>
      <c r="BI302" s="12" t="str">
        <f t="shared" ca="1" si="107"/>
        <v>NA</v>
      </c>
      <c r="BJ302" s="12" t="str">
        <f t="shared" ca="1" si="108"/>
        <v>NA</v>
      </c>
      <c r="BK302" s="5"/>
      <c r="BL302" s="5"/>
      <c r="BM302" s="12" t="str">
        <f t="shared" ca="1" si="109"/>
        <v>NA</v>
      </c>
      <c r="BN302" s="12" t="str">
        <f t="shared" ca="1" si="110"/>
        <v>NA</v>
      </c>
      <c r="BO302" s="12" t="str">
        <f t="shared" ca="1" si="111"/>
        <v>NA</v>
      </c>
      <c r="BP302" s="5"/>
      <c r="BQ302" s="5"/>
      <c r="BR302" s="5"/>
      <c r="BS302" s="12" t="str">
        <f t="shared" ca="1" si="112"/>
        <v>NA</v>
      </c>
      <c r="BT302" s="12" t="str">
        <f t="shared" ca="1" si="113"/>
        <v>NA</v>
      </c>
      <c r="BU302" s="12" t="str">
        <f t="shared" ca="1" si="114"/>
        <v>NA</v>
      </c>
      <c r="BV302" s="5"/>
      <c r="BW302" s="5"/>
      <c r="BX302" s="12" t="str">
        <f t="shared" ca="1" si="115"/>
        <v>NA</v>
      </c>
      <c r="BY302" s="12" t="str">
        <f t="shared" ca="1" si="116"/>
        <v>NA</v>
      </c>
      <c r="BZ302" s="12" t="str">
        <f t="shared" ca="1" si="117"/>
        <v>NA</v>
      </c>
      <c r="CA302" s="5"/>
    </row>
    <row r="303" spans="1:79" ht="12.75" customHeight="1" x14ac:dyDescent="0.15">
      <c r="A303" s="4">
        <v>2614</v>
      </c>
      <c r="B303" s="5" t="s">
        <v>852</v>
      </c>
      <c r="C303" s="5" t="s">
        <v>852</v>
      </c>
      <c r="D303" s="6" t="s">
        <v>1559</v>
      </c>
      <c r="E303" s="6" t="s">
        <v>1560</v>
      </c>
      <c r="F303" s="6" t="s">
        <v>1561</v>
      </c>
      <c r="G303" s="8" t="s">
        <v>856</v>
      </c>
      <c r="H303" s="6" t="s">
        <v>1562</v>
      </c>
      <c r="I303" s="8">
        <v>2653</v>
      </c>
      <c r="J303" s="8"/>
      <c r="K303" s="8" t="s">
        <v>1563</v>
      </c>
      <c r="L303" s="8" t="s">
        <v>82</v>
      </c>
      <c r="M303" s="7">
        <v>1131</v>
      </c>
      <c r="N303" s="7">
        <v>2403</v>
      </c>
      <c r="O303" s="13">
        <v>40012</v>
      </c>
      <c r="P303" s="10" t="str">
        <f t="shared" ca="1" si="84"/>
        <v>NA</v>
      </c>
      <c r="Q303" s="5" t="str">
        <f t="shared" ca="1" si="85"/>
        <v>NA</v>
      </c>
      <c r="R303" s="5" t="str">
        <f t="shared" ca="1" si="86"/>
        <v>NA</v>
      </c>
      <c r="S303" s="7">
        <f t="shared" ca="1" si="87"/>
        <v>2009</v>
      </c>
      <c r="T303" s="7">
        <f t="shared" ca="1" si="88"/>
        <v>7</v>
      </c>
      <c r="U303" s="7">
        <f t="shared" ca="1" si="89"/>
        <v>18</v>
      </c>
      <c r="V303" s="6" t="s">
        <v>1564</v>
      </c>
      <c r="W303" s="14" t="s">
        <v>96</v>
      </c>
      <c r="X303" s="15"/>
      <c r="Y303" s="5">
        <f ca="1">COUNT(AP303,AV303,BB303,BH303,BM303,BS305,BX305)</f>
        <v>2</v>
      </c>
      <c r="Z303" s="6"/>
      <c r="AA303" s="12" t="str">
        <f t="shared" ca="1" si="91"/>
        <v>NA</v>
      </c>
      <c r="AB303" s="12" t="str">
        <f t="shared" ca="1" si="92"/>
        <v>NA</v>
      </c>
      <c r="AC303" s="12" t="str">
        <f t="shared" ca="1" si="93"/>
        <v>NA</v>
      </c>
      <c r="AD303" s="6"/>
      <c r="AE303" s="5"/>
      <c r="AF303" s="6"/>
      <c r="AG303" s="5"/>
      <c r="AH303" s="12" t="str">
        <f t="shared" ca="1" si="94"/>
        <v>NA</v>
      </c>
      <c r="AI303" s="12" t="str">
        <f t="shared" ca="1" si="95"/>
        <v>NA</v>
      </c>
      <c r="AJ303" s="12" t="str">
        <f t="shared" ca="1" si="96"/>
        <v>NA</v>
      </c>
      <c r="AK303" s="5"/>
      <c r="AL303" s="5"/>
      <c r="AM303" s="5"/>
      <c r="AN303" s="5"/>
      <c r="AO303" s="11">
        <v>43452</v>
      </c>
      <c r="AP303" s="12">
        <f t="shared" ca="1" si="97"/>
        <v>2018</v>
      </c>
      <c r="AQ303" s="12">
        <f t="shared" ca="1" si="98"/>
        <v>12</v>
      </c>
      <c r="AR303" s="12">
        <f t="shared" ca="1" si="99"/>
        <v>18</v>
      </c>
      <c r="AS303" s="8" t="s">
        <v>1565</v>
      </c>
      <c r="AT303" s="8"/>
      <c r="AU303" s="11">
        <v>43774</v>
      </c>
      <c r="AV303" s="12">
        <f t="shared" ca="1" si="100"/>
        <v>2019</v>
      </c>
      <c r="AW303" s="12">
        <f t="shared" ca="1" si="101"/>
        <v>11</v>
      </c>
      <c r="AX303" s="12">
        <f t="shared" ca="1" si="102"/>
        <v>5</v>
      </c>
      <c r="AY303" s="8" t="s">
        <v>1566</v>
      </c>
      <c r="AZ303" s="8"/>
      <c r="BA303" s="5"/>
      <c r="BB303" s="12" t="str">
        <f t="shared" ca="1" si="103"/>
        <v>NA</v>
      </c>
      <c r="BC303" s="12" t="str">
        <f t="shared" ca="1" si="104"/>
        <v>NA</v>
      </c>
      <c r="BD303" s="12" t="str">
        <f t="shared" ca="1" si="105"/>
        <v>NA</v>
      </c>
      <c r="BE303" s="5"/>
      <c r="BF303" s="5"/>
      <c r="BG303" s="5"/>
      <c r="BH303" s="12" t="str">
        <f t="shared" ca="1" si="106"/>
        <v>NA</v>
      </c>
      <c r="BI303" s="12" t="str">
        <f t="shared" ca="1" si="107"/>
        <v>NA</v>
      </c>
      <c r="BJ303" s="12" t="str">
        <f t="shared" ca="1" si="108"/>
        <v>NA</v>
      </c>
      <c r="BK303" s="5"/>
      <c r="BL303" s="5"/>
      <c r="BM303" s="12" t="str">
        <f t="shared" ca="1" si="109"/>
        <v>NA</v>
      </c>
      <c r="BN303" s="12" t="str">
        <f t="shared" ca="1" si="110"/>
        <v>NA</v>
      </c>
      <c r="BO303" s="12" t="str">
        <f t="shared" ca="1" si="111"/>
        <v>NA</v>
      </c>
      <c r="BP303" s="5"/>
      <c r="BQ303" s="5"/>
      <c r="BR303" s="5"/>
      <c r="BS303" s="12" t="str">
        <f t="shared" ca="1" si="112"/>
        <v>NA</v>
      </c>
      <c r="BT303" s="12" t="str">
        <f t="shared" ca="1" si="113"/>
        <v>NA</v>
      </c>
      <c r="BU303" s="12" t="str">
        <f t="shared" ca="1" si="114"/>
        <v>NA</v>
      </c>
      <c r="BV303" s="5"/>
      <c r="BW303" s="5"/>
      <c r="BX303" s="12" t="str">
        <f t="shared" ca="1" si="115"/>
        <v>NA</v>
      </c>
      <c r="BY303" s="12" t="str">
        <f t="shared" ca="1" si="116"/>
        <v>NA</v>
      </c>
      <c r="BZ303" s="12" t="str">
        <f t="shared" ca="1" si="117"/>
        <v>NA</v>
      </c>
      <c r="CA303" s="5"/>
    </row>
    <row r="304" spans="1:79" ht="12.75" customHeight="1" x14ac:dyDescent="0.15">
      <c r="A304" s="4">
        <v>2653</v>
      </c>
      <c r="B304" s="5" t="s">
        <v>852</v>
      </c>
      <c r="C304" s="5" t="s">
        <v>852</v>
      </c>
      <c r="D304" s="6" t="s">
        <v>1567</v>
      </c>
      <c r="E304" s="6" t="s">
        <v>1568</v>
      </c>
      <c r="F304" s="6" t="s">
        <v>1569</v>
      </c>
      <c r="G304" s="8" t="s">
        <v>856</v>
      </c>
      <c r="H304" s="6" t="s">
        <v>1570</v>
      </c>
      <c r="I304" s="8">
        <v>2614</v>
      </c>
      <c r="J304" s="8"/>
      <c r="K304" s="8"/>
      <c r="L304" s="8" t="s">
        <v>82</v>
      </c>
      <c r="M304" s="7">
        <v>2449</v>
      </c>
      <c r="N304" s="7">
        <v>2632</v>
      </c>
      <c r="O304" s="13">
        <v>41873</v>
      </c>
      <c r="P304" s="10" t="str">
        <f t="shared" ca="1" si="84"/>
        <v>NA</v>
      </c>
      <c r="Q304" s="5" t="str">
        <f t="shared" ca="1" si="85"/>
        <v>NA</v>
      </c>
      <c r="R304" s="5" t="str">
        <f t="shared" ca="1" si="86"/>
        <v>NA</v>
      </c>
      <c r="S304" s="7">
        <f t="shared" ca="1" si="87"/>
        <v>2014</v>
      </c>
      <c r="T304" s="7">
        <f t="shared" ca="1" si="88"/>
        <v>8</v>
      </c>
      <c r="U304" s="7">
        <f t="shared" ca="1" si="89"/>
        <v>22</v>
      </c>
      <c r="V304" s="6" t="s">
        <v>1571</v>
      </c>
      <c r="W304" s="14" t="s">
        <v>96</v>
      </c>
      <c r="X304" s="15"/>
      <c r="Y304" s="5">
        <f ca="1">COUNT(AP304,AV304,BB304,BH304,BM304,BS305,BX305)</f>
        <v>3</v>
      </c>
      <c r="Z304" s="6"/>
      <c r="AA304" s="12" t="str">
        <f t="shared" ca="1" si="91"/>
        <v>NA</v>
      </c>
      <c r="AB304" s="12" t="str">
        <f t="shared" ca="1" si="92"/>
        <v>NA</v>
      </c>
      <c r="AC304" s="12" t="str">
        <f t="shared" ca="1" si="93"/>
        <v>NA</v>
      </c>
      <c r="AD304" s="6"/>
      <c r="AE304" s="5"/>
      <c r="AF304" s="6"/>
      <c r="AG304" s="5"/>
      <c r="AH304" s="12" t="str">
        <f t="shared" ca="1" si="94"/>
        <v>NA</v>
      </c>
      <c r="AI304" s="12" t="str">
        <f t="shared" ca="1" si="95"/>
        <v>NA</v>
      </c>
      <c r="AJ304" s="12" t="str">
        <f t="shared" ca="1" si="96"/>
        <v>NA</v>
      </c>
      <c r="AK304" s="5"/>
      <c r="AL304" s="5"/>
      <c r="AM304" s="5"/>
      <c r="AN304" s="5"/>
      <c r="AO304" s="11">
        <v>42268</v>
      </c>
      <c r="AP304" s="12">
        <f t="shared" ca="1" si="97"/>
        <v>2015</v>
      </c>
      <c r="AQ304" s="12">
        <f t="shared" ca="1" si="98"/>
        <v>9</v>
      </c>
      <c r="AR304" s="12">
        <f t="shared" ca="1" si="99"/>
        <v>21</v>
      </c>
      <c r="AS304" s="8" t="s">
        <v>1572</v>
      </c>
      <c r="AT304" s="8"/>
      <c r="AU304" s="11">
        <v>43452</v>
      </c>
      <c r="AV304" s="12">
        <f t="shared" ca="1" si="100"/>
        <v>2018</v>
      </c>
      <c r="AW304" s="12">
        <f t="shared" ca="1" si="101"/>
        <v>12</v>
      </c>
      <c r="AX304" s="12">
        <f t="shared" ca="1" si="102"/>
        <v>18</v>
      </c>
      <c r="AY304" s="8" t="s">
        <v>1573</v>
      </c>
      <c r="AZ304" s="8"/>
      <c r="BA304" s="11">
        <v>43774</v>
      </c>
      <c r="BB304" s="12">
        <f t="shared" ca="1" si="103"/>
        <v>2019</v>
      </c>
      <c r="BC304" s="12">
        <f t="shared" ca="1" si="104"/>
        <v>11</v>
      </c>
      <c r="BD304" s="12">
        <f t="shared" ca="1" si="105"/>
        <v>5</v>
      </c>
      <c r="BE304" s="8" t="s">
        <v>1574</v>
      </c>
      <c r="BF304" s="8"/>
      <c r="BG304" s="5"/>
      <c r="BH304" s="12" t="str">
        <f t="shared" ca="1" si="106"/>
        <v>NA</v>
      </c>
      <c r="BI304" s="12" t="str">
        <f t="shared" ca="1" si="107"/>
        <v>NA</v>
      </c>
      <c r="BJ304" s="12" t="str">
        <f t="shared" ca="1" si="108"/>
        <v>NA</v>
      </c>
      <c r="BK304" s="5"/>
      <c r="BL304" s="5"/>
      <c r="BM304" s="12" t="str">
        <f t="shared" ca="1" si="109"/>
        <v>NA</v>
      </c>
      <c r="BN304" s="12" t="str">
        <f t="shared" ca="1" si="110"/>
        <v>NA</v>
      </c>
      <c r="BO304" s="12" t="str">
        <f t="shared" ca="1" si="111"/>
        <v>NA</v>
      </c>
      <c r="BP304" s="5"/>
      <c r="BQ304" s="5"/>
      <c r="BR304" s="5"/>
      <c r="BS304" s="12" t="str">
        <f t="shared" ca="1" si="112"/>
        <v>NA</v>
      </c>
      <c r="BT304" s="12" t="str">
        <f t="shared" ca="1" si="113"/>
        <v>NA</v>
      </c>
      <c r="BU304" s="12" t="str">
        <f t="shared" ca="1" si="114"/>
        <v>NA</v>
      </c>
      <c r="BV304" s="5"/>
      <c r="BW304" s="5"/>
      <c r="BX304" s="12" t="str">
        <f t="shared" ca="1" si="115"/>
        <v>NA</v>
      </c>
      <c r="BY304" s="12" t="str">
        <f t="shared" ca="1" si="116"/>
        <v>NA</v>
      </c>
      <c r="BZ304" s="12" t="str">
        <f t="shared" ca="1" si="117"/>
        <v>NA</v>
      </c>
      <c r="CA304" s="5"/>
    </row>
    <row r="305" spans="1:79" ht="12.75" customHeight="1" x14ac:dyDescent="0.15">
      <c r="A305" s="4">
        <v>2676</v>
      </c>
      <c r="B305" s="5" t="s">
        <v>852</v>
      </c>
      <c r="C305" s="5" t="s">
        <v>852</v>
      </c>
      <c r="D305" s="6" t="s">
        <v>1575</v>
      </c>
      <c r="E305" s="7">
        <v>105322</v>
      </c>
      <c r="F305" s="6" t="s">
        <v>1576</v>
      </c>
      <c r="G305" s="8" t="s">
        <v>1077</v>
      </c>
      <c r="H305" s="8" t="s">
        <v>1575</v>
      </c>
      <c r="I305" s="8">
        <v>2659</v>
      </c>
      <c r="J305" s="8"/>
      <c r="K305" s="8" t="s">
        <v>1577</v>
      </c>
      <c r="L305" s="8" t="s">
        <v>82</v>
      </c>
      <c r="M305" s="7">
        <v>2631</v>
      </c>
      <c r="N305" s="7">
        <v>2626</v>
      </c>
      <c r="O305" s="13">
        <v>42677</v>
      </c>
      <c r="P305" s="10" t="str">
        <f t="shared" ca="1" si="84"/>
        <v>NA</v>
      </c>
      <c r="Q305" s="5" t="str">
        <f t="shared" ca="1" si="85"/>
        <v>NA</v>
      </c>
      <c r="R305" s="5" t="str">
        <f t="shared" ca="1" si="86"/>
        <v>NA</v>
      </c>
      <c r="S305" s="7">
        <f t="shared" ca="1" si="87"/>
        <v>2016</v>
      </c>
      <c r="T305" s="7">
        <f t="shared" ca="1" si="88"/>
        <v>11</v>
      </c>
      <c r="U305" s="7">
        <f t="shared" ca="1" si="89"/>
        <v>3</v>
      </c>
      <c r="V305" s="6" t="s">
        <v>1578</v>
      </c>
      <c r="W305" s="14" t="s">
        <v>96</v>
      </c>
      <c r="X305" s="15"/>
      <c r="Y305" s="5">
        <f ca="1">COUNT(AP305,AV305,BB305,BH305,BM305,#REF!,#REF!)</f>
        <v>1</v>
      </c>
      <c r="Z305" s="6"/>
      <c r="AA305" s="12" t="str">
        <f t="shared" ca="1" si="91"/>
        <v>NA</v>
      </c>
      <c r="AB305" s="12" t="str">
        <f t="shared" ca="1" si="92"/>
        <v>NA</v>
      </c>
      <c r="AC305" s="12" t="str">
        <f t="shared" ca="1" si="93"/>
        <v>NA</v>
      </c>
      <c r="AD305" s="6"/>
      <c r="AE305" s="5"/>
      <c r="AF305" s="6"/>
      <c r="AG305" s="5"/>
      <c r="AH305" s="12" t="str">
        <f t="shared" ca="1" si="94"/>
        <v>NA</v>
      </c>
      <c r="AI305" s="12" t="str">
        <f t="shared" ca="1" si="95"/>
        <v>NA</v>
      </c>
      <c r="AJ305" s="12" t="str">
        <f t="shared" ca="1" si="96"/>
        <v>NA</v>
      </c>
      <c r="AK305" s="5"/>
      <c r="AL305" s="5"/>
      <c r="AM305" s="5"/>
      <c r="AN305" s="5"/>
      <c r="AO305" s="11">
        <v>43034</v>
      </c>
      <c r="AP305" s="12">
        <f t="shared" ca="1" si="97"/>
        <v>2017</v>
      </c>
      <c r="AQ305" s="12">
        <f t="shared" ca="1" si="98"/>
        <v>10</v>
      </c>
      <c r="AR305" s="12">
        <f t="shared" ca="1" si="99"/>
        <v>26</v>
      </c>
      <c r="AS305" s="8" t="s">
        <v>1579</v>
      </c>
      <c r="AT305" s="8"/>
      <c r="AU305" s="5"/>
      <c r="AV305" s="12" t="str">
        <f t="shared" ca="1" si="100"/>
        <v>NA</v>
      </c>
      <c r="AW305" s="12" t="str">
        <f t="shared" ca="1" si="101"/>
        <v>NA</v>
      </c>
      <c r="AX305" s="12" t="str">
        <f t="shared" ca="1" si="102"/>
        <v>NA</v>
      </c>
      <c r="AY305" s="5" t="s">
        <v>1575</v>
      </c>
      <c r="AZ305" s="5"/>
      <c r="BA305" s="5"/>
      <c r="BB305" s="12" t="str">
        <f t="shared" ca="1" si="103"/>
        <v>NA</v>
      </c>
      <c r="BC305" s="12" t="str">
        <f t="shared" ca="1" si="104"/>
        <v>NA</v>
      </c>
      <c r="BD305" s="12" t="str">
        <f t="shared" ca="1" si="105"/>
        <v>NA</v>
      </c>
      <c r="BE305" s="5"/>
      <c r="BF305" s="5"/>
      <c r="BG305" s="5"/>
      <c r="BH305" s="12" t="str">
        <f t="shared" ca="1" si="106"/>
        <v>NA</v>
      </c>
      <c r="BI305" s="12" t="str">
        <f t="shared" ca="1" si="107"/>
        <v>NA</v>
      </c>
      <c r="BJ305" s="12" t="str">
        <f t="shared" ca="1" si="108"/>
        <v>NA</v>
      </c>
      <c r="BK305" s="5"/>
      <c r="BL305" s="5"/>
      <c r="BM305" s="12" t="str">
        <f t="shared" ca="1" si="109"/>
        <v>NA</v>
      </c>
      <c r="BN305" s="12" t="str">
        <f t="shared" ca="1" si="110"/>
        <v>NA</v>
      </c>
      <c r="BO305" s="12" t="str">
        <f t="shared" ca="1" si="111"/>
        <v>NA</v>
      </c>
      <c r="BP305" s="5"/>
      <c r="BQ305" s="5"/>
      <c r="BR305" s="5"/>
      <c r="BS305" s="12" t="str">
        <f t="shared" ca="1" si="112"/>
        <v>NA</v>
      </c>
      <c r="BT305" s="12" t="str">
        <f t="shared" ca="1" si="113"/>
        <v>NA</v>
      </c>
      <c r="BU305" s="12" t="str">
        <f t="shared" ca="1" si="114"/>
        <v>NA</v>
      </c>
      <c r="BV305" s="5"/>
      <c r="BW305" s="5"/>
      <c r="BX305" s="12" t="str">
        <f t="shared" ca="1" si="115"/>
        <v>NA</v>
      </c>
      <c r="BY305" s="12" t="str">
        <f t="shared" ca="1" si="116"/>
        <v>NA</v>
      </c>
      <c r="BZ305" s="12" t="str">
        <f t="shared" ca="1" si="117"/>
        <v>NA</v>
      </c>
      <c r="CA305" s="5"/>
    </row>
    <row r="306" spans="1:79" ht="12.75" customHeight="1" x14ac:dyDescent="0.15">
      <c r="A306" s="4">
        <v>1087</v>
      </c>
      <c r="B306" s="5" t="s">
        <v>79</v>
      </c>
      <c r="C306" s="5" t="s">
        <v>79</v>
      </c>
      <c r="D306" s="8" t="s">
        <v>1580</v>
      </c>
      <c r="E306" s="28">
        <v>1682</v>
      </c>
      <c r="F306" s="8" t="s">
        <v>1581</v>
      </c>
      <c r="G306" s="8"/>
      <c r="H306" s="8"/>
      <c r="I306" s="8"/>
      <c r="J306" s="8"/>
      <c r="K306" s="8"/>
      <c r="L306" s="8" t="s">
        <v>1582</v>
      </c>
      <c r="M306" s="8" t="s">
        <v>1583</v>
      </c>
      <c r="N306" s="8" t="s">
        <v>1584</v>
      </c>
      <c r="O306" s="9" t="s">
        <v>1585</v>
      </c>
      <c r="P306" s="10" t="str">
        <f t="shared" ca="1" si="84"/>
        <v>NA</v>
      </c>
      <c r="Q306" s="5" t="str">
        <f t="shared" ca="1" si="85"/>
        <v>NA</v>
      </c>
      <c r="R306" s="5" t="str">
        <f t="shared" ca="1" si="86"/>
        <v>NA</v>
      </c>
      <c r="S306" s="7" t="str">
        <f t="shared" ca="1" si="87"/>
        <v>NA</v>
      </c>
      <c r="T306" s="7" t="str">
        <f t="shared" ca="1" si="88"/>
        <v>NA</v>
      </c>
      <c r="U306" s="7" t="str">
        <f t="shared" ca="1" si="89"/>
        <v>NA</v>
      </c>
      <c r="V306" s="8" t="s">
        <v>1586</v>
      </c>
      <c r="W306" s="14" t="s">
        <v>96</v>
      </c>
      <c r="X306" s="8"/>
      <c r="Y306" s="5">
        <f t="shared" ref="Y306:Y369" ca="1" si="121">COUNT(AP306,AV306,BB306,BH306,BM306,BS308,BX308)</f>
        <v>1</v>
      </c>
      <c r="Z306" s="8"/>
      <c r="AA306" s="12" t="str">
        <f t="shared" ca="1" si="91"/>
        <v>NA</v>
      </c>
      <c r="AB306" s="12" t="str">
        <f t="shared" ca="1" si="92"/>
        <v>NA</v>
      </c>
      <c r="AC306" s="12" t="str">
        <f t="shared" ca="1" si="93"/>
        <v>NA</v>
      </c>
      <c r="AD306" s="8"/>
      <c r="AE306" s="5"/>
      <c r="AF306" s="8"/>
      <c r="AG306" s="11">
        <v>37803</v>
      </c>
      <c r="AH306" s="12">
        <f t="shared" ca="1" si="94"/>
        <v>2003</v>
      </c>
      <c r="AI306" s="12">
        <f t="shared" ca="1" si="95"/>
        <v>7</v>
      </c>
      <c r="AJ306" s="12">
        <f t="shared" ca="1" si="96"/>
        <v>1</v>
      </c>
      <c r="AK306" s="8" t="s">
        <v>1587</v>
      </c>
      <c r="AL306" s="8"/>
      <c r="AM306" s="5"/>
      <c r="AN306" s="5"/>
      <c r="AO306" s="8" t="s">
        <v>1588</v>
      </c>
      <c r="AP306" s="12" t="str">
        <f t="shared" ca="1" si="97"/>
        <v>NA</v>
      </c>
      <c r="AQ306" s="12" t="str">
        <f t="shared" ca="1" si="98"/>
        <v>NA</v>
      </c>
      <c r="AR306" s="12" t="str">
        <f t="shared" ca="1" si="99"/>
        <v>NA</v>
      </c>
      <c r="AS306" s="8" t="s">
        <v>1589</v>
      </c>
      <c r="AT306" s="8"/>
      <c r="AU306" s="11">
        <v>31794</v>
      </c>
      <c r="AV306" s="12">
        <f t="shared" ca="1" si="100"/>
        <v>1987</v>
      </c>
      <c r="AW306" s="12">
        <f t="shared" ca="1" si="101"/>
        <v>1</v>
      </c>
      <c r="AX306" s="12">
        <f t="shared" ca="1" si="102"/>
        <v>17</v>
      </c>
      <c r="AY306" s="8" t="s">
        <v>1590</v>
      </c>
      <c r="AZ306" s="8"/>
      <c r="BA306" s="8"/>
      <c r="BB306" s="12" t="str">
        <f t="shared" ca="1" si="103"/>
        <v>NA</v>
      </c>
      <c r="BC306" s="12" t="str">
        <f t="shared" ca="1" si="104"/>
        <v>NA</v>
      </c>
      <c r="BD306" s="12" t="str">
        <f t="shared" ca="1" si="105"/>
        <v>NA</v>
      </c>
      <c r="BE306" s="5"/>
      <c r="BF306" s="5"/>
      <c r="BG306" s="5"/>
      <c r="BH306" s="12" t="str">
        <f t="shared" ca="1" si="106"/>
        <v>NA</v>
      </c>
      <c r="BI306" s="12" t="str">
        <f t="shared" ca="1" si="107"/>
        <v>NA</v>
      </c>
      <c r="BJ306" s="12" t="str">
        <f t="shared" ca="1" si="108"/>
        <v>NA</v>
      </c>
      <c r="BK306" s="5"/>
      <c r="BL306" s="5"/>
      <c r="BM306" s="12" t="str">
        <f t="shared" ca="1" si="109"/>
        <v>NA</v>
      </c>
      <c r="BN306" s="12" t="str">
        <f t="shared" ca="1" si="110"/>
        <v>NA</v>
      </c>
      <c r="BO306" s="12" t="str">
        <f t="shared" ca="1" si="111"/>
        <v>NA</v>
      </c>
      <c r="BP306" s="5"/>
      <c r="BQ306" s="5"/>
      <c r="BR306" s="5"/>
      <c r="BS306" s="12" t="str">
        <f t="shared" ca="1" si="112"/>
        <v>NA</v>
      </c>
      <c r="BT306" s="12" t="str">
        <f t="shared" ca="1" si="113"/>
        <v>NA</v>
      </c>
      <c r="BU306" s="12" t="str">
        <f t="shared" ca="1" si="114"/>
        <v>NA</v>
      </c>
      <c r="BV306" s="5"/>
      <c r="BW306" s="5"/>
      <c r="BX306" s="12" t="str">
        <f t="shared" ca="1" si="115"/>
        <v>NA</v>
      </c>
      <c r="BY306" s="12" t="str">
        <f t="shared" ca="1" si="116"/>
        <v>NA</v>
      </c>
      <c r="BZ306" s="12" t="str">
        <f t="shared" ca="1" si="117"/>
        <v>NA</v>
      </c>
      <c r="CA306" s="5"/>
    </row>
    <row r="307" spans="1:79" ht="12.75" customHeight="1" x14ac:dyDescent="0.15">
      <c r="A307" s="4">
        <v>2341</v>
      </c>
      <c r="B307" s="5" t="s">
        <v>79</v>
      </c>
      <c r="C307" s="5" t="s">
        <v>79</v>
      </c>
      <c r="D307" s="8" t="s">
        <v>1591</v>
      </c>
      <c r="E307" s="8" t="s">
        <v>1592</v>
      </c>
      <c r="F307" s="8" t="s">
        <v>1593</v>
      </c>
      <c r="G307" s="8"/>
      <c r="H307" s="8"/>
      <c r="I307" s="8"/>
      <c r="J307" s="8"/>
      <c r="K307" s="8"/>
      <c r="L307" s="8" t="s">
        <v>1594</v>
      </c>
      <c r="M307" s="8" t="s">
        <v>1595</v>
      </c>
      <c r="N307" s="8" t="s">
        <v>1596</v>
      </c>
      <c r="O307" s="9" t="s">
        <v>1597</v>
      </c>
      <c r="P307" s="10" t="str">
        <f t="shared" ca="1" si="84"/>
        <v>NA</v>
      </c>
      <c r="Q307" s="5" t="str">
        <f t="shared" ca="1" si="85"/>
        <v>NA</v>
      </c>
      <c r="R307" s="5" t="str">
        <f t="shared" ca="1" si="86"/>
        <v>NA</v>
      </c>
      <c r="S307" s="7" t="str">
        <f t="shared" ca="1" si="87"/>
        <v>NA</v>
      </c>
      <c r="T307" s="7" t="str">
        <f t="shared" ca="1" si="88"/>
        <v>NA</v>
      </c>
      <c r="U307" s="7" t="str">
        <f t="shared" ca="1" si="89"/>
        <v>NA</v>
      </c>
      <c r="V307" s="8" t="s">
        <v>1598</v>
      </c>
      <c r="W307" s="14" t="s">
        <v>96</v>
      </c>
      <c r="X307" s="8"/>
      <c r="Y307" s="5">
        <f t="shared" ca="1" si="121"/>
        <v>4</v>
      </c>
      <c r="Z307" s="8" t="s">
        <v>1599</v>
      </c>
      <c r="AA307" s="12" t="str">
        <f t="shared" ca="1" si="91"/>
        <v>NA</v>
      </c>
      <c r="AB307" s="12" t="str">
        <f t="shared" ca="1" si="92"/>
        <v>NA</v>
      </c>
      <c r="AC307" s="12" t="str">
        <f t="shared" ca="1" si="93"/>
        <v>NA</v>
      </c>
      <c r="AD307" s="8" t="s">
        <v>1600</v>
      </c>
      <c r="AE307" s="5"/>
      <c r="AF307" s="8"/>
      <c r="AG307" s="11">
        <v>40953</v>
      </c>
      <c r="AH307" s="12">
        <f t="shared" ca="1" si="94"/>
        <v>2012</v>
      </c>
      <c r="AI307" s="12">
        <f t="shared" ca="1" si="95"/>
        <v>2</v>
      </c>
      <c r="AJ307" s="12">
        <f t="shared" ca="1" si="96"/>
        <v>14</v>
      </c>
      <c r="AK307" s="8" t="s">
        <v>1601</v>
      </c>
      <c r="AL307" s="8"/>
      <c r="AM307" s="5"/>
      <c r="AN307" s="5"/>
      <c r="AO307" s="11">
        <v>37105</v>
      </c>
      <c r="AP307" s="12">
        <f t="shared" ca="1" si="97"/>
        <v>2001</v>
      </c>
      <c r="AQ307" s="12">
        <f t="shared" ca="1" si="98"/>
        <v>8</v>
      </c>
      <c r="AR307" s="12">
        <f t="shared" ca="1" si="99"/>
        <v>2</v>
      </c>
      <c r="AS307" s="8" t="s">
        <v>1602</v>
      </c>
      <c r="AT307" s="8"/>
      <c r="AU307" s="11">
        <v>37216</v>
      </c>
      <c r="AV307" s="12">
        <f t="shared" ca="1" si="100"/>
        <v>2001</v>
      </c>
      <c r="AW307" s="12">
        <f t="shared" ca="1" si="101"/>
        <v>11</v>
      </c>
      <c r="AX307" s="12">
        <f t="shared" ca="1" si="102"/>
        <v>21</v>
      </c>
      <c r="AY307" s="8" t="s">
        <v>1603</v>
      </c>
      <c r="AZ307" s="8"/>
      <c r="BA307" s="11">
        <v>39602</v>
      </c>
      <c r="BB307" s="12">
        <f t="shared" ca="1" si="103"/>
        <v>2008</v>
      </c>
      <c r="BC307" s="12">
        <f t="shared" ca="1" si="104"/>
        <v>6</v>
      </c>
      <c r="BD307" s="12">
        <f t="shared" ca="1" si="105"/>
        <v>3</v>
      </c>
      <c r="BE307" s="8" t="s">
        <v>1604</v>
      </c>
      <c r="BF307" s="8"/>
      <c r="BG307" s="11">
        <v>40484</v>
      </c>
      <c r="BH307" s="12">
        <f t="shared" ca="1" si="106"/>
        <v>2010</v>
      </c>
      <c r="BI307" s="12">
        <f t="shared" ca="1" si="107"/>
        <v>11</v>
      </c>
      <c r="BJ307" s="12">
        <f t="shared" ca="1" si="108"/>
        <v>2</v>
      </c>
      <c r="BK307" s="8" t="s">
        <v>1605</v>
      </c>
      <c r="BL307" s="5"/>
      <c r="BM307" s="12" t="str">
        <f t="shared" ca="1" si="109"/>
        <v>NA</v>
      </c>
      <c r="BN307" s="12" t="str">
        <f t="shared" ca="1" si="110"/>
        <v>NA</v>
      </c>
      <c r="BO307" s="12" t="str">
        <f t="shared" ca="1" si="111"/>
        <v>NA</v>
      </c>
      <c r="BP307" s="5"/>
      <c r="BQ307" s="5"/>
      <c r="BR307" s="5"/>
      <c r="BS307" s="12" t="str">
        <f t="shared" ca="1" si="112"/>
        <v>NA</v>
      </c>
      <c r="BT307" s="12" t="str">
        <f t="shared" ca="1" si="113"/>
        <v>NA</v>
      </c>
      <c r="BU307" s="12" t="str">
        <f t="shared" ca="1" si="114"/>
        <v>NA</v>
      </c>
      <c r="BV307" s="5"/>
      <c r="BW307" s="5"/>
      <c r="BX307" s="12" t="str">
        <f t="shared" ca="1" si="115"/>
        <v>NA</v>
      </c>
      <c r="BY307" s="12" t="str">
        <f t="shared" ca="1" si="116"/>
        <v>NA</v>
      </c>
      <c r="BZ307" s="12" t="str">
        <f t="shared" ca="1" si="117"/>
        <v>NA</v>
      </c>
      <c r="CA307" s="5"/>
    </row>
    <row r="308" spans="1:79" ht="12.75" customHeight="1" x14ac:dyDescent="0.15">
      <c r="A308" s="4">
        <v>2338</v>
      </c>
      <c r="B308" s="5" t="s">
        <v>79</v>
      </c>
      <c r="C308" s="5" t="s">
        <v>79</v>
      </c>
      <c r="D308" s="6" t="s">
        <v>1606</v>
      </c>
      <c r="E308" s="7">
        <v>105713</v>
      </c>
      <c r="F308" s="6" t="s">
        <v>1607</v>
      </c>
      <c r="G308" s="8"/>
      <c r="H308" s="8"/>
      <c r="I308" s="8"/>
      <c r="J308" s="8"/>
      <c r="K308" s="8"/>
      <c r="L308" s="8" t="s">
        <v>1594</v>
      </c>
      <c r="M308" s="6" t="s">
        <v>1608</v>
      </c>
      <c r="N308" s="6" t="s">
        <v>1609</v>
      </c>
      <c r="O308" s="23">
        <v>36161</v>
      </c>
      <c r="P308" s="10">
        <f t="shared" ca="1" si="84"/>
        <v>13.116666666666667</v>
      </c>
      <c r="Q308" s="5">
        <f t="shared" ca="1" si="85"/>
        <v>157</v>
      </c>
      <c r="R308" s="5">
        <f t="shared" ca="1" si="86"/>
        <v>4791</v>
      </c>
      <c r="S308" s="7">
        <f t="shared" ca="1" si="87"/>
        <v>1999</v>
      </c>
      <c r="T308" s="7">
        <f t="shared" ca="1" si="88"/>
        <v>1</v>
      </c>
      <c r="U308" s="7">
        <f t="shared" ca="1" si="89"/>
        <v>1</v>
      </c>
      <c r="V308" s="6" t="s">
        <v>1610</v>
      </c>
      <c r="W308" s="8" t="s">
        <v>84</v>
      </c>
      <c r="X308" s="8"/>
      <c r="Y308" s="5">
        <f t="shared" ca="1" si="121"/>
        <v>1</v>
      </c>
      <c r="Z308" s="8" t="s">
        <v>1611</v>
      </c>
      <c r="AA308" s="12" t="str">
        <f t="shared" ca="1" si="91"/>
        <v>NA</v>
      </c>
      <c r="AB308" s="12" t="str">
        <f t="shared" ca="1" si="92"/>
        <v>NA</v>
      </c>
      <c r="AC308" s="12" t="str">
        <f t="shared" ca="1" si="93"/>
        <v>NA</v>
      </c>
      <c r="AD308" s="8" t="s">
        <v>1612</v>
      </c>
      <c r="AE308" s="5"/>
      <c r="AF308" s="8"/>
      <c r="AG308" s="11">
        <v>40952</v>
      </c>
      <c r="AH308" s="12">
        <f t="shared" ca="1" si="94"/>
        <v>2012</v>
      </c>
      <c r="AI308" s="12">
        <f t="shared" ca="1" si="95"/>
        <v>2</v>
      </c>
      <c r="AJ308" s="12">
        <f t="shared" ca="1" si="96"/>
        <v>13</v>
      </c>
      <c r="AK308" s="8" t="s">
        <v>1613</v>
      </c>
      <c r="AL308" s="8"/>
      <c r="AM308" s="5"/>
      <c r="AN308" s="5"/>
      <c r="AO308" s="11">
        <v>37105</v>
      </c>
      <c r="AP308" s="12">
        <f t="shared" ca="1" si="97"/>
        <v>2001</v>
      </c>
      <c r="AQ308" s="12">
        <f t="shared" ca="1" si="98"/>
        <v>8</v>
      </c>
      <c r="AR308" s="12">
        <f t="shared" ca="1" si="99"/>
        <v>2</v>
      </c>
      <c r="AS308" s="8" t="s">
        <v>1614</v>
      </c>
      <c r="AT308" s="8"/>
      <c r="AU308" s="5"/>
      <c r="AV308" s="12" t="str">
        <f t="shared" ca="1" si="100"/>
        <v>NA</v>
      </c>
      <c r="AW308" s="12" t="str">
        <f t="shared" ca="1" si="101"/>
        <v>NA</v>
      </c>
      <c r="AX308" s="12" t="str">
        <f t="shared" ca="1" si="102"/>
        <v>NA</v>
      </c>
      <c r="AY308" s="5"/>
      <c r="AZ308" s="5"/>
      <c r="BA308" s="6"/>
      <c r="BB308" s="12" t="str">
        <f t="shared" ca="1" si="103"/>
        <v>NA</v>
      </c>
      <c r="BC308" s="12" t="str">
        <f t="shared" ca="1" si="104"/>
        <v>NA</v>
      </c>
      <c r="BD308" s="12" t="str">
        <f t="shared" ca="1" si="105"/>
        <v>NA</v>
      </c>
      <c r="BE308" s="5"/>
      <c r="BF308" s="5"/>
      <c r="BG308" s="5"/>
      <c r="BH308" s="12" t="str">
        <f t="shared" ca="1" si="106"/>
        <v>NA</v>
      </c>
      <c r="BI308" s="12" t="str">
        <f t="shared" ca="1" si="107"/>
        <v>NA</v>
      </c>
      <c r="BJ308" s="12" t="str">
        <f t="shared" ca="1" si="108"/>
        <v>NA</v>
      </c>
      <c r="BK308" s="5"/>
      <c r="BL308" s="5"/>
      <c r="BM308" s="12" t="str">
        <f t="shared" ca="1" si="109"/>
        <v>NA</v>
      </c>
      <c r="BN308" s="12" t="str">
        <f t="shared" ca="1" si="110"/>
        <v>NA</v>
      </c>
      <c r="BO308" s="12" t="str">
        <f t="shared" ca="1" si="111"/>
        <v>NA</v>
      </c>
      <c r="BP308" s="5"/>
      <c r="BQ308" s="5"/>
      <c r="BR308" s="5"/>
      <c r="BS308" s="12" t="str">
        <f t="shared" ca="1" si="112"/>
        <v>NA</v>
      </c>
      <c r="BT308" s="12" t="str">
        <f t="shared" ca="1" si="113"/>
        <v>NA</v>
      </c>
      <c r="BU308" s="12" t="str">
        <f t="shared" ca="1" si="114"/>
        <v>NA</v>
      </c>
      <c r="BV308" s="5"/>
      <c r="BW308" s="5"/>
      <c r="BX308" s="12" t="str">
        <f t="shared" ca="1" si="115"/>
        <v>NA</v>
      </c>
      <c r="BY308" s="12" t="str">
        <f t="shared" ca="1" si="116"/>
        <v>NA</v>
      </c>
      <c r="BZ308" s="12" t="str">
        <f t="shared" ca="1" si="117"/>
        <v>NA</v>
      </c>
      <c r="CA308" s="5"/>
    </row>
    <row r="309" spans="1:79" ht="12.75" customHeight="1" x14ac:dyDescent="0.15">
      <c r="A309" s="4">
        <v>2339</v>
      </c>
      <c r="B309" s="5" t="s">
        <v>79</v>
      </c>
      <c r="C309" s="5" t="s">
        <v>79</v>
      </c>
      <c r="D309" s="8" t="s">
        <v>1615</v>
      </c>
      <c r="E309" s="28">
        <v>105714</v>
      </c>
      <c r="F309" s="8" t="s">
        <v>1616</v>
      </c>
      <c r="G309" s="8"/>
      <c r="H309" s="8"/>
      <c r="I309" s="8"/>
      <c r="J309" s="8"/>
      <c r="K309" s="8"/>
      <c r="L309" s="8" t="s">
        <v>1594</v>
      </c>
      <c r="M309" s="8" t="s">
        <v>1617</v>
      </c>
      <c r="N309" s="8" t="s">
        <v>1618</v>
      </c>
      <c r="O309" s="9" t="s">
        <v>1619</v>
      </c>
      <c r="P309" s="10" t="str">
        <f t="shared" ca="1" si="84"/>
        <v>NA</v>
      </c>
      <c r="Q309" s="5" t="str">
        <f t="shared" ca="1" si="85"/>
        <v>NA</v>
      </c>
      <c r="R309" s="5" t="str">
        <f t="shared" ca="1" si="86"/>
        <v>NA</v>
      </c>
      <c r="S309" s="7" t="str">
        <f t="shared" ca="1" si="87"/>
        <v>NA</v>
      </c>
      <c r="T309" s="7" t="str">
        <f t="shared" ca="1" si="88"/>
        <v>NA</v>
      </c>
      <c r="U309" s="7" t="str">
        <f t="shared" ca="1" si="89"/>
        <v>NA</v>
      </c>
      <c r="V309" s="8" t="s">
        <v>1620</v>
      </c>
      <c r="W309" s="14" t="s">
        <v>96</v>
      </c>
      <c r="X309" s="8"/>
      <c r="Y309" s="5">
        <f t="shared" ca="1" si="121"/>
        <v>1</v>
      </c>
      <c r="Z309" s="8" t="s">
        <v>1621</v>
      </c>
      <c r="AA309" s="12" t="str">
        <f t="shared" ca="1" si="91"/>
        <v>NA</v>
      </c>
      <c r="AB309" s="12" t="str">
        <f t="shared" ca="1" si="92"/>
        <v>NA</v>
      </c>
      <c r="AC309" s="12" t="str">
        <f t="shared" ca="1" si="93"/>
        <v>NA</v>
      </c>
      <c r="AD309" s="8" t="s">
        <v>1622</v>
      </c>
      <c r="AE309" s="5"/>
      <c r="AF309" s="8"/>
      <c r="AG309" s="11">
        <v>37151</v>
      </c>
      <c r="AH309" s="12">
        <f t="shared" ca="1" si="94"/>
        <v>2001</v>
      </c>
      <c r="AI309" s="12">
        <f t="shared" ca="1" si="95"/>
        <v>9</v>
      </c>
      <c r="AJ309" s="12">
        <f t="shared" ca="1" si="96"/>
        <v>17</v>
      </c>
      <c r="AK309" s="8" t="s">
        <v>1623</v>
      </c>
      <c r="AL309" s="8"/>
      <c r="AM309" s="5"/>
      <c r="AN309" s="5"/>
      <c r="AO309" s="11">
        <v>37105</v>
      </c>
      <c r="AP309" s="12">
        <f t="shared" ca="1" si="97"/>
        <v>2001</v>
      </c>
      <c r="AQ309" s="12">
        <f t="shared" ca="1" si="98"/>
        <v>8</v>
      </c>
      <c r="AR309" s="12">
        <f t="shared" ca="1" si="99"/>
        <v>2</v>
      </c>
      <c r="AS309" s="8" t="s">
        <v>1624</v>
      </c>
      <c r="AT309" s="8"/>
      <c r="AU309" s="5"/>
      <c r="AV309" s="12" t="str">
        <f t="shared" ca="1" si="100"/>
        <v>NA</v>
      </c>
      <c r="AW309" s="12" t="str">
        <f t="shared" ca="1" si="101"/>
        <v>NA</v>
      </c>
      <c r="AX309" s="12" t="str">
        <f t="shared" ca="1" si="102"/>
        <v>NA</v>
      </c>
      <c r="AY309" s="5"/>
      <c r="AZ309" s="5"/>
      <c r="BA309" s="8"/>
      <c r="BB309" s="12" t="str">
        <f t="shared" ca="1" si="103"/>
        <v>NA</v>
      </c>
      <c r="BC309" s="12" t="str">
        <f t="shared" ca="1" si="104"/>
        <v>NA</v>
      </c>
      <c r="BD309" s="12" t="str">
        <f t="shared" ca="1" si="105"/>
        <v>NA</v>
      </c>
      <c r="BE309" s="5"/>
      <c r="BF309" s="5"/>
      <c r="BG309" s="5"/>
      <c r="BH309" s="12" t="str">
        <f t="shared" ca="1" si="106"/>
        <v>NA</v>
      </c>
      <c r="BI309" s="12" t="str">
        <f t="shared" ca="1" si="107"/>
        <v>NA</v>
      </c>
      <c r="BJ309" s="12" t="str">
        <f t="shared" ca="1" si="108"/>
        <v>NA</v>
      </c>
      <c r="BK309" s="5"/>
      <c r="BL309" s="5"/>
      <c r="BM309" s="12" t="str">
        <f t="shared" ca="1" si="109"/>
        <v>NA</v>
      </c>
      <c r="BN309" s="12" t="str">
        <f t="shared" ca="1" si="110"/>
        <v>NA</v>
      </c>
      <c r="BO309" s="12" t="str">
        <f t="shared" ca="1" si="111"/>
        <v>NA</v>
      </c>
      <c r="BP309" s="5"/>
      <c r="BQ309" s="5"/>
      <c r="BR309" s="5"/>
      <c r="BS309" s="12" t="str">
        <f t="shared" ca="1" si="112"/>
        <v>NA</v>
      </c>
      <c r="BT309" s="12" t="str">
        <f t="shared" ca="1" si="113"/>
        <v>NA</v>
      </c>
      <c r="BU309" s="12" t="str">
        <f t="shared" ca="1" si="114"/>
        <v>NA</v>
      </c>
      <c r="BV309" s="5"/>
      <c r="BW309" s="5"/>
      <c r="BX309" s="12" t="str">
        <f t="shared" ca="1" si="115"/>
        <v>NA</v>
      </c>
      <c r="BY309" s="12" t="str">
        <f t="shared" ca="1" si="116"/>
        <v>NA</v>
      </c>
      <c r="BZ309" s="12" t="str">
        <f t="shared" ca="1" si="117"/>
        <v>NA</v>
      </c>
      <c r="CA309" s="5"/>
    </row>
    <row r="310" spans="1:79" ht="12.75" customHeight="1" x14ac:dyDescent="0.15">
      <c r="A310" s="4">
        <v>2340</v>
      </c>
      <c r="B310" s="5" t="s">
        <v>79</v>
      </c>
      <c r="C310" s="5" t="s">
        <v>79</v>
      </c>
      <c r="D310" s="8" t="s">
        <v>1625</v>
      </c>
      <c r="E310" s="28">
        <v>105715</v>
      </c>
      <c r="F310" s="8" t="s">
        <v>1626</v>
      </c>
      <c r="G310" s="8"/>
      <c r="H310" s="8"/>
      <c r="I310" s="8"/>
      <c r="J310" s="8"/>
      <c r="K310" s="8"/>
      <c r="L310" s="8" t="s">
        <v>1594</v>
      </c>
      <c r="M310" s="8" t="s">
        <v>1627</v>
      </c>
      <c r="N310" s="8" t="s">
        <v>1628</v>
      </c>
      <c r="O310" s="9" t="s">
        <v>1629</v>
      </c>
      <c r="P310" s="10" t="str">
        <f t="shared" ca="1" si="84"/>
        <v>NA</v>
      </c>
      <c r="Q310" s="5" t="str">
        <f t="shared" ca="1" si="85"/>
        <v>NA</v>
      </c>
      <c r="R310" s="5" t="str">
        <f t="shared" ca="1" si="86"/>
        <v>NA</v>
      </c>
      <c r="S310" s="7" t="str">
        <f t="shared" ca="1" si="87"/>
        <v>NA</v>
      </c>
      <c r="T310" s="7" t="str">
        <f t="shared" ca="1" si="88"/>
        <v>NA</v>
      </c>
      <c r="U310" s="7" t="str">
        <f t="shared" ca="1" si="89"/>
        <v>NA</v>
      </c>
      <c r="V310" s="8" t="s">
        <v>1630</v>
      </c>
      <c r="W310" s="14" t="s">
        <v>96</v>
      </c>
      <c r="X310" s="8"/>
      <c r="Y310" s="5">
        <f t="shared" ca="1" si="121"/>
        <v>1</v>
      </c>
      <c r="Z310" s="8" t="s">
        <v>1631</v>
      </c>
      <c r="AA310" s="12" t="str">
        <f t="shared" ca="1" si="91"/>
        <v>NA</v>
      </c>
      <c r="AB310" s="12" t="str">
        <f t="shared" ca="1" si="92"/>
        <v>NA</v>
      </c>
      <c r="AC310" s="12" t="str">
        <f t="shared" ca="1" si="93"/>
        <v>NA</v>
      </c>
      <c r="AD310" s="8" t="s">
        <v>1632</v>
      </c>
      <c r="AE310" s="5"/>
      <c r="AF310" s="8"/>
      <c r="AG310" s="11">
        <v>39234</v>
      </c>
      <c r="AH310" s="12">
        <f t="shared" ca="1" si="94"/>
        <v>2007</v>
      </c>
      <c r="AI310" s="12">
        <f t="shared" ca="1" si="95"/>
        <v>6</v>
      </c>
      <c r="AJ310" s="12">
        <f t="shared" ca="1" si="96"/>
        <v>1</v>
      </c>
      <c r="AK310" s="8" t="s">
        <v>1633</v>
      </c>
      <c r="AL310" s="8"/>
      <c r="AM310" s="5"/>
      <c r="AN310" s="5"/>
      <c r="AO310" s="11">
        <v>37105</v>
      </c>
      <c r="AP310" s="12">
        <f t="shared" ca="1" si="97"/>
        <v>2001</v>
      </c>
      <c r="AQ310" s="12">
        <f t="shared" ca="1" si="98"/>
        <v>8</v>
      </c>
      <c r="AR310" s="12">
        <f t="shared" ca="1" si="99"/>
        <v>2</v>
      </c>
      <c r="AS310" s="8" t="s">
        <v>1634</v>
      </c>
      <c r="AT310" s="8"/>
      <c r="AU310" s="5"/>
      <c r="AV310" s="12" t="str">
        <f t="shared" ca="1" si="100"/>
        <v>NA</v>
      </c>
      <c r="AW310" s="12" t="str">
        <f t="shared" ca="1" si="101"/>
        <v>NA</v>
      </c>
      <c r="AX310" s="12" t="str">
        <f t="shared" ca="1" si="102"/>
        <v>NA</v>
      </c>
      <c r="AY310" s="5"/>
      <c r="AZ310" s="5"/>
      <c r="BA310" s="8"/>
      <c r="BB310" s="12" t="str">
        <f t="shared" ca="1" si="103"/>
        <v>NA</v>
      </c>
      <c r="BC310" s="12" t="str">
        <f t="shared" ca="1" si="104"/>
        <v>NA</v>
      </c>
      <c r="BD310" s="12" t="str">
        <f t="shared" ca="1" si="105"/>
        <v>NA</v>
      </c>
      <c r="BE310" s="5"/>
      <c r="BF310" s="5"/>
      <c r="BG310" s="5"/>
      <c r="BH310" s="12" t="str">
        <f t="shared" ca="1" si="106"/>
        <v>NA</v>
      </c>
      <c r="BI310" s="12" t="str">
        <f t="shared" ca="1" si="107"/>
        <v>NA</v>
      </c>
      <c r="BJ310" s="12" t="str">
        <f t="shared" ca="1" si="108"/>
        <v>NA</v>
      </c>
      <c r="BK310" s="5"/>
      <c r="BL310" s="5"/>
      <c r="BM310" s="12" t="str">
        <f t="shared" ca="1" si="109"/>
        <v>NA</v>
      </c>
      <c r="BN310" s="12" t="str">
        <f t="shared" ca="1" si="110"/>
        <v>NA</v>
      </c>
      <c r="BO310" s="12" t="str">
        <f t="shared" ca="1" si="111"/>
        <v>NA</v>
      </c>
      <c r="BP310" s="5"/>
      <c r="BQ310" s="5"/>
      <c r="BR310" s="5"/>
      <c r="BS310" s="12" t="str">
        <f t="shared" ca="1" si="112"/>
        <v>NA</v>
      </c>
      <c r="BT310" s="12" t="str">
        <f t="shared" ca="1" si="113"/>
        <v>NA</v>
      </c>
      <c r="BU310" s="12" t="str">
        <f t="shared" ca="1" si="114"/>
        <v>NA</v>
      </c>
      <c r="BV310" s="5"/>
      <c r="BW310" s="5"/>
      <c r="BX310" s="12" t="str">
        <f t="shared" ca="1" si="115"/>
        <v>NA</v>
      </c>
      <c r="BY310" s="12" t="str">
        <f t="shared" ca="1" si="116"/>
        <v>NA</v>
      </c>
      <c r="BZ310" s="12" t="str">
        <f t="shared" ca="1" si="117"/>
        <v>NA</v>
      </c>
      <c r="CA310" s="5"/>
    </row>
    <row r="311" spans="1:79" ht="12.75" customHeight="1" x14ac:dyDescent="0.15">
      <c r="A311" s="4">
        <v>1024</v>
      </c>
      <c r="B311" s="5" t="s">
        <v>79</v>
      </c>
      <c r="C311" s="5" t="s">
        <v>79</v>
      </c>
      <c r="D311" s="8" t="s">
        <v>1635</v>
      </c>
      <c r="E311" s="28">
        <v>880356</v>
      </c>
      <c r="F311" s="8" t="s">
        <v>1636</v>
      </c>
      <c r="G311" s="8"/>
      <c r="H311" s="8"/>
      <c r="I311" s="8"/>
      <c r="J311" s="8"/>
      <c r="K311" s="8"/>
      <c r="L311" s="8" t="s">
        <v>1594</v>
      </c>
      <c r="M311" s="8" t="s">
        <v>1637</v>
      </c>
      <c r="N311" s="8" t="s">
        <v>1638</v>
      </c>
      <c r="O311" s="9" t="s">
        <v>1639</v>
      </c>
      <c r="P311" s="10" t="str">
        <f t="shared" ca="1" si="84"/>
        <v>NA</v>
      </c>
      <c r="Q311" s="5" t="str">
        <f t="shared" ca="1" si="85"/>
        <v>NA</v>
      </c>
      <c r="R311" s="5" t="str">
        <f t="shared" ca="1" si="86"/>
        <v>NA</v>
      </c>
      <c r="S311" s="7" t="str">
        <f t="shared" ca="1" si="87"/>
        <v>NA</v>
      </c>
      <c r="T311" s="7" t="str">
        <f t="shared" ca="1" si="88"/>
        <v>NA</v>
      </c>
      <c r="U311" s="7" t="str">
        <f t="shared" ca="1" si="89"/>
        <v>NA</v>
      </c>
      <c r="V311" s="8" t="s">
        <v>1640</v>
      </c>
      <c r="W311" s="14" t="s">
        <v>96</v>
      </c>
      <c r="X311" s="8" t="s">
        <v>1641</v>
      </c>
      <c r="Y311" s="5">
        <f t="shared" ca="1" si="121"/>
        <v>3</v>
      </c>
      <c r="Z311" s="8" t="s">
        <v>1642</v>
      </c>
      <c r="AA311" s="12" t="str">
        <f t="shared" ca="1" si="91"/>
        <v>NA</v>
      </c>
      <c r="AB311" s="12" t="str">
        <f t="shared" ca="1" si="92"/>
        <v>NA</v>
      </c>
      <c r="AC311" s="12" t="str">
        <f t="shared" ca="1" si="93"/>
        <v>NA</v>
      </c>
      <c r="AD311" s="8" t="s">
        <v>1640</v>
      </c>
      <c r="AE311" s="5"/>
      <c r="AF311" s="8" t="s">
        <v>1641</v>
      </c>
      <c r="AG311" s="11">
        <v>33053</v>
      </c>
      <c r="AH311" s="12">
        <f t="shared" ca="1" si="94"/>
        <v>1990</v>
      </c>
      <c r="AI311" s="12">
        <f t="shared" ca="1" si="95"/>
        <v>6</v>
      </c>
      <c r="AJ311" s="12">
        <f t="shared" ca="1" si="96"/>
        <v>29</v>
      </c>
      <c r="AK311" s="8" t="s">
        <v>1643</v>
      </c>
      <c r="AL311" s="8"/>
      <c r="AM311" s="5"/>
      <c r="AN311" s="5"/>
      <c r="AO311" s="11">
        <v>31472</v>
      </c>
      <c r="AP311" s="12">
        <f t="shared" ca="1" si="97"/>
        <v>1986</v>
      </c>
      <c r="AQ311" s="12">
        <f t="shared" ca="1" si="98"/>
        <v>3</v>
      </c>
      <c r="AR311" s="12">
        <f t="shared" ca="1" si="99"/>
        <v>1</v>
      </c>
      <c r="AS311" s="8" t="s">
        <v>1644</v>
      </c>
      <c r="AT311" s="8"/>
      <c r="AU311" s="11">
        <v>31978</v>
      </c>
      <c r="AV311" s="12">
        <f t="shared" ca="1" si="100"/>
        <v>1987</v>
      </c>
      <c r="AW311" s="12">
        <f t="shared" ca="1" si="101"/>
        <v>7</v>
      </c>
      <c r="AX311" s="12">
        <f t="shared" ca="1" si="102"/>
        <v>20</v>
      </c>
      <c r="AY311" s="8" t="s">
        <v>1645</v>
      </c>
      <c r="AZ311" s="8"/>
      <c r="BA311" s="11">
        <v>32428</v>
      </c>
      <c r="BB311" s="12">
        <f t="shared" ca="1" si="103"/>
        <v>1988</v>
      </c>
      <c r="BC311" s="12">
        <f t="shared" ca="1" si="104"/>
        <v>10</v>
      </c>
      <c r="BD311" s="12">
        <f t="shared" ca="1" si="105"/>
        <v>12</v>
      </c>
      <c r="BE311" s="8" t="s">
        <v>1646</v>
      </c>
      <c r="BF311" s="8"/>
      <c r="BG311" s="5"/>
      <c r="BH311" s="12" t="str">
        <f t="shared" ca="1" si="106"/>
        <v>NA</v>
      </c>
      <c r="BI311" s="12" t="str">
        <f t="shared" ca="1" si="107"/>
        <v>NA</v>
      </c>
      <c r="BJ311" s="12" t="str">
        <f t="shared" ca="1" si="108"/>
        <v>NA</v>
      </c>
      <c r="BK311" s="5"/>
      <c r="BL311" s="5"/>
      <c r="BM311" s="12" t="str">
        <f t="shared" ca="1" si="109"/>
        <v>NA</v>
      </c>
      <c r="BN311" s="12" t="str">
        <f t="shared" ca="1" si="110"/>
        <v>NA</v>
      </c>
      <c r="BO311" s="12" t="str">
        <f t="shared" ca="1" si="111"/>
        <v>NA</v>
      </c>
      <c r="BP311" s="5"/>
      <c r="BQ311" s="5"/>
      <c r="BR311" s="5"/>
      <c r="BS311" s="12" t="str">
        <f t="shared" ca="1" si="112"/>
        <v>NA</v>
      </c>
      <c r="BT311" s="12" t="str">
        <f t="shared" ca="1" si="113"/>
        <v>NA</v>
      </c>
      <c r="BU311" s="12" t="str">
        <f t="shared" ca="1" si="114"/>
        <v>NA</v>
      </c>
      <c r="BV311" s="5"/>
      <c r="BW311" s="5"/>
      <c r="BX311" s="12" t="str">
        <f t="shared" ca="1" si="115"/>
        <v>NA</v>
      </c>
      <c r="BY311" s="12" t="str">
        <f t="shared" ca="1" si="116"/>
        <v>NA</v>
      </c>
      <c r="BZ311" s="12" t="str">
        <f t="shared" ca="1" si="117"/>
        <v>NA</v>
      </c>
      <c r="CA311" s="5"/>
    </row>
    <row r="312" spans="1:79" ht="12.75" customHeight="1" x14ac:dyDescent="0.15">
      <c r="A312" s="4">
        <v>1030</v>
      </c>
      <c r="B312" s="5" t="s">
        <v>79</v>
      </c>
      <c r="C312" s="5" t="s">
        <v>79</v>
      </c>
      <c r="D312" s="6" t="s">
        <v>1647</v>
      </c>
      <c r="E312" s="7">
        <v>880355</v>
      </c>
      <c r="F312" s="6" t="s">
        <v>1648</v>
      </c>
      <c r="G312" s="8"/>
      <c r="H312" s="8"/>
      <c r="I312" s="8"/>
      <c r="J312" s="8"/>
      <c r="K312" s="8"/>
      <c r="L312" s="8" t="s">
        <v>1594</v>
      </c>
      <c r="M312" s="6" t="s">
        <v>1649</v>
      </c>
      <c r="N312" s="6" t="s">
        <v>1650</v>
      </c>
      <c r="O312" s="9">
        <v>30317</v>
      </c>
      <c r="P312" s="10">
        <f t="shared" ca="1" si="84"/>
        <v>6.416666666666667</v>
      </c>
      <c r="Q312" s="5">
        <f t="shared" ca="1" si="85"/>
        <v>77</v>
      </c>
      <c r="R312" s="5">
        <f t="shared" ca="1" si="86"/>
        <v>2343</v>
      </c>
      <c r="S312" s="7">
        <f t="shared" ca="1" si="87"/>
        <v>1983</v>
      </c>
      <c r="T312" s="7">
        <f t="shared" ca="1" si="88"/>
        <v>1</v>
      </c>
      <c r="U312" s="7">
        <f t="shared" ca="1" si="89"/>
        <v>1</v>
      </c>
      <c r="V312" s="8" t="s">
        <v>1640</v>
      </c>
      <c r="W312" s="8" t="s">
        <v>84</v>
      </c>
      <c r="X312" s="8" t="s">
        <v>1641</v>
      </c>
      <c r="Y312" s="5">
        <f t="shared" ca="1" si="121"/>
        <v>3</v>
      </c>
      <c r="Z312" s="8" t="s">
        <v>1651</v>
      </c>
      <c r="AA312" s="12" t="str">
        <f t="shared" ca="1" si="91"/>
        <v>NA</v>
      </c>
      <c r="AB312" s="12" t="str">
        <f t="shared" ca="1" si="92"/>
        <v>NA</v>
      </c>
      <c r="AC312" s="12" t="str">
        <f t="shared" ca="1" si="93"/>
        <v>NA</v>
      </c>
      <c r="AD312" s="8" t="s">
        <v>1640</v>
      </c>
      <c r="AE312" s="5"/>
      <c r="AF312" s="8" t="s">
        <v>1641</v>
      </c>
      <c r="AG312" s="11">
        <v>32660</v>
      </c>
      <c r="AH312" s="12">
        <f t="shared" ca="1" si="94"/>
        <v>1989</v>
      </c>
      <c r="AI312" s="12">
        <f t="shared" ca="1" si="95"/>
        <v>6</v>
      </c>
      <c r="AJ312" s="12">
        <f t="shared" ca="1" si="96"/>
        <v>1</v>
      </c>
      <c r="AK312" s="8" t="s">
        <v>1652</v>
      </c>
      <c r="AL312" s="8"/>
      <c r="AM312" s="5"/>
      <c r="AN312" s="5"/>
      <c r="AO312" s="11">
        <v>31680</v>
      </c>
      <c r="AP312" s="12">
        <f t="shared" ca="1" si="97"/>
        <v>1986</v>
      </c>
      <c r="AQ312" s="12">
        <f t="shared" ca="1" si="98"/>
        <v>9</v>
      </c>
      <c r="AR312" s="12">
        <f t="shared" ca="1" si="99"/>
        <v>25</v>
      </c>
      <c r="AS312" s="8" t="s">
        <v>1653</v>
      </c>
      <c r="AT312" s="8"/>
      <c r="AU312" s="11">
        <v>31978</v>
      </c>
      <c r="AV312" s="12">
        <f t="shared" ca="1" si="100"/>
        <v>1987</v>
      </c>
      <c r="AW312" s="12">
        <f t="shared" ca="1" si="101"/>
        <v>7</v>
      </c>
      <c r="AX312" s="12">
        <f t="shared" ca="1" si="102"/>
        <v>20</v>
      </c>
      <c r="AY312" s="8" t="s">
        <v>1654</v>
      </c>
      <c r="AZ312" s="8"/>
      <c r="BA312" s="11">
        <v>32428</v>
      </c>
      <c r="BB312" s="12">
        <f t="shared" ca="1" si="103"/>
        <v>1988</v>
      </c>
      <c r="BC312" s="12">
        <f t="shared" ca="1" si="104"/>
        <v>10</v>
      </c>
      <c r="BD312" s="12">
        <f t="shared" ca="1" si="105"/>
        <v>12</v>
      </c>
      <c r="BE312" s="8" t="s">
        <v>1655</v>
      </c>
      <c r="BF312" s="8"/>
      <c r="BG312" s="5"/>
      <c r="BH312" s="12" t="str">
        <f t="shared" ca="1" si="106"/>
        <v>NA</v>
      </c>
      <c r="BI312" s="12" t="str">
        <f t="shared" ca="1" si="107"/>
        <v>NA</v>
      </c>
      <c r="BJ312" s="12" t="str">
        <f t="shared" ca="1" si="108"/>
        <v>NA</v>
      </c>
      <c r="BK312" s="5"/>
      <c r="BL312" s="5"/>
      <c r="BM312" s="12" t="str">
        <f t="shared" ca="1" si="109"/>
        <v>NA</v>
      </c>
      <c r="BN312" s="12" t="str">
        <f t="shared" ca="1" si="110"/>
        <v>NA</v>
      </c>
      <c r="BO312" s="12" t="str">
        <f t="shared" ca="1" si="111"/>
        <v>NA</v>
      </c>
      <c r="BP312" s="5"/>
      <c r="BQ312" s="5"/>
      <c r="BR312" s="5"/>
      <c r="BS312" s="12" t="str">
        <f t="shared" ca="1" si="112"/>
        <v>NA</v>
      </c>
      <c r="BT312" s="12" t="str">
        <f t="shared" ca="1" si="113"/>
        <v>NA</v>
      </c>
      <c r="BU312" s="12" t="str">
        <f t="shared" ca="1" si="114"/>
        <v>NA</v>
      </c>
      <c r="BV312" s="5"/>
      <c r="BW312" s="5"/>
      <c r="BX312" s="12" t="str">
        <f t="shared" ca="1" si="115"/>
        <v>NA</v>
      </c>
      <c r="BY312" s="12" t="str">
        <f t="shared" ca="1" si="116"/>
        <v>NA</v>
      </c>
      <c r="BZ312" s="12" t="str">
        <f t="shared" ca="1" si="117"/>
        <v>NA</v>
      </c>
      <c r="CA312" s="5"/>
    </row>
    <row r="313" spans="1:79" ht="12.75" customHeight="1" x14ac:dyDescent="0.15">
      <c r="A313" s="4">
        <v>1025</v>
      </c>
      <c r="B313" s="5" t="s">
        <v>79</v>
      </c>
      <c r="C313" s="5" t="s">
        <v>79</v>
      </c>
      <c r="D313" s="6" t="s">
        <v>1656</v>
      </c>
      <c r="E313" s="6" t="s">
        <v>1657</v>
      </c>
      <c r="F313" s="6" t="s">
        <v>1658</v>
      </c>
      <c r="G313" s="8"/>
      <c r="H313" s="8"/>
      <c r="I313" s="8"/>
      <c r="J313" s="8"/>
      <c r="K313" s="8"/>
      <c r="L313" s="8" t="s">
        <v>1594</v>
      </c>
      <c r="M313" s="6" t="s">
        <v>1659</v>
      </c>
      <c r="N313" s="6" t="s">
        <v>1660</v>
      </c>
      <c r="O313" s="23">
        <v>31048</v>
      </c>
      <c r="P313" s="10">
        <f t="shared" ca="1" si="84"/>
        <v>12.402777777777779</v>
      </c>
      <c r="Q313" s="5">
        <f t="shared" ca="1" si="85"/>
        <v>148</v>
      </c>
      <c r="R313" s="5">
        <f t="shared" ca="1" si="86"/>
        <v>4528</v>
      </c>
      <c r="S313" s="7">
        <f t="shared" ca="1" si="87"/>
        <v>1985</v>
      </c>
      <c r="T313" s="7">
        <f t="shared" ca="1" si="88"/>
        <v>1</v>
      </c>
      <c r="U313" s="7">
        <f t="shared" ca="1" si="89"/>
        <v>1</v>
      </c>
      <c r="V313" s="8" t="s">
        <v>1640</v>
      </c>
      <c r="W313" s="8" t="s">
        <v>84</v>
      </c>
      <c r="X313" s="8" t="s">
        <v>1641</v>
      </c>
      <c r="Y313" s="5">
        <f t="shared" ca="1" si="121"/>
        <v>2</v>
      </c>
      <c r="Z313" s="16">
        <v>31048</v>
      </c>
      <c r="AA313" s="12">
        <f t="shared" ca="1" si="91"/>
        <v>1985</v>
      </c>
      <c r="AB313" s="12">
        <f t="shared" ca="1" si="92"/>
        <v>1</v>
      </c>
      <c r="AC313" s="12">
        <f t="shared" ca="1" si="93"/>
        <v>1</v>
      </c>
      <c r="AD313" s="8" t="s">
        <v>1640</v>
      </c>
      <c r="AE313" s="21" t="s">
        <v>84</v>
      </c>
      <c r="AF313" s="8" t="s">
        <v>1641</v>
      </c>
      <c r="AG313" s="11">
        <v>35576</v>
      </c>
      <c r="AH313" s="12">
        <f t="shared" ca="1" si="94"/>
        <v>1997</v>
      </c>
      <c r="AI313" s="12">
        <f t="shared" ca="1" si="95"/>
        <v>5</v>
      </c>
      <c r="AJ313" s="12">
        <f t="shared" ca="1" si="96"/>
        <v>26</v>
      </c>
      <c r="AK313" s="8" t="s">
        <v>1661</v>
      </c>
      <c r="AL313" s="8"/>
      <c r="AM313" s="5"/>
      <c r="AN313" s="5"/>
      <c r="AO313" s="11">
        <v>31680</v>
      </c>
      <c r="AP313" s="12">
        <f t="shared" ca="1" si="97"/>
        <v>1986</v>
      </c>
      <c r="AQ313" s="12">
        <f t="shared" ca="1" si="98"/>
        <v>9</v>
      </c>
      <c r="AR313" s="12">
        <f t="shared" ca="1" si="99"/>
        <v>25</v>
      </c>
      <c r="AS313" s="8" t="s">
        <v>1662</v>
      </c>
      <c r="AT313" s="8"/>
      <c r="AU313" s="11">
        <v>31978</v>
      </c>
      <c r="AV313" s="12">
        <f t="shared" ca="1" si="100"/>
        <v>1987</v>
      </c>
      <c r="AW313" s="12">
        <f t="shared" ca="1" si="101"/>
        <v>7</v>
      </c>
      <c r="AX313" s="12">
        <f t="shared" ca="1" si="102"/>
        <v>20</v>
      </c>
      <c r="AY313" s="8" t="s">
        <v>1663</v>
      </c>
      <c r="AZ313" s="8"/>
      <c r="BA313" s="5"/>
      <c r="BB313" s="12" t="str">
        <f t="shared" ca="1" si="103"/>
        <v>NA</v>
      </c>
      <c r="BC313" s="12" t="str">
        <f t="shared" ca="1" si="104"/>
        <v>NA</v>
      </c>
      <c r="BD313" s="12" t="str">
        <f t="shared" ca="1" si="105"/>
        <v>NA</v>
      </c>
      <c r="BE313" s="5"/>
      <c r="BF313" s="5"/>
      <c r="BG313" s="5"/>
      <c r="BH313" s="12" t="str">
        <f t="shared" ca="1" si="106"/>
        <v>NA</v>
      </c>
      <c r="BI313" s="12" t="str">
        <f t="shared" ca="1" si="107"/>
        <v>NA</v>
      </c>
      <c r="BJ313" s="12" t="str">
        <f t="shared" ca="1" si="108"/>
        <v>NA</v>
      </c>
      <c r="BK313" s="5"/>
      <c r="BL313" s="5"/>
      <c r="BM313" s="12" t="str">
        <f t="shared" ca="1" si="109"/>
        <v>NA</v>
      </c>
      <c r="BN313" s="12" t="str">
        <f t="shared" ca="1" si="110"/>
        <v>NA</v>
      </c>
      <c r="BO313" s="12" t="str">
        <f t="shared" ca="1" si="111"/>
        <v>NA</v>
      </c>
      <c r="BP313" s="5"/>
      <c r="BQ313" s="5"/>
      <c r="BR313" s="5"/>
      <c r="BS313" s="12" t="str">
        <f t="shared" ca="1" si="112"/>
        <v>NA</v>
      </c>
      <c r="BT313" s="12" t="str">
        <f t="shared" ca="1" si="113"/>
        <v>NA</v>
      </c>
      <c r="BU313" s="12" t="str">
        <f t="shared" ca="1" si="114"/>
        <v>NA</v>
      </c>
      <c r="BV313" s="5"/>
      <c r="BW313" s="5"/>
      <c r="BX313" s="12" t="str">
        <f t="shared" ca="1" si="115"/>
        <v>NA</v>
      </c>
      <c r="BY313" s="12" t="str">
        <f t="shared" ca="1" si="116"/>
        <v>NA</v>
      </c>
      <c r="BZ313" s="12" t="str">
        <f t="shared" ca="1" si="117"/>
        <v>NA</v>
      </c>
      <c r="CA313" s="5"/>
    </row>
    <row r="314" spans="1:79" ht="12.75" customHeight="1" x14ac:dyDescent="0.15">
      <c r="A314" s="4">
        <v>1026</v>
      </c>
      <c r="B314" s="5" t="s">
        <v>79</v>
      </c>
      <c r="C314" s="5" t="s">
        <v>79</v>
      </c>
      <c r="D314" s="8" t="s">
        <v>1664</v>
      </c>
      <c r="E314" s="8" t="s">
        <v>1665</v>
      </c>
      <c r="F314" s="8" t="s">
        <v>1666</v>
      </c>
      <c r="G314" s="8"/>
      <c r="H314" s="8"/>
      <c r="I314" s="8"/>
      <c r="J314" s="8"/>
      <c r="K314" s="8"/>
      <c r="L314" s="8" t="s">
        <v>1594</v>
      </c>
      <c r="M314" s="8" t="s">
        <v>1667</v>
      </c>
      <c r="N314" s="8" t="s">
        <v>1668</v>
      </c>
      <c r="O314" s="9" t="s">
        <v>1669</v>
      </c>
      <c r="P314" s="10" t="str">
        <f t="shared" ca="1" si="84"/>
        <v>NA</v>
      </c>
      <c r="Q314" s="5" t="str">
        <f t="shared" ca="1" si="85"/>
        <v>NA</v>
      </c>
      <c r="R314" s="5" t="str">
        <f t="shared" ca="1" si="86"/>
        <v>NA</v>
      </c>
      <c r="S314" s="7" t="str">
        <f t="shared" ca="1" si="87"/>
        <v>NA</v>
      </c>
      <c r="T314" s="7" t="str">
        <f t="shared" ca="1" si="88"/>
        <v>NA</v>
      </c>
      <c r="U314" s="7" t="str">
        <f t="shared" ca="1" si="89"/>
        <v>NA</v>
      </c>
      <c r="V314" s="8" t="s">
        <v>1640</v>
      </c>
      <c r="W314" s="14" t="s">
        <v>96</v>
      </c>
      <c r="X314" s="8" t="s">
        <v>1641</v>
      </c>
      <c r="Y314" s="5">
        <f t="shared" ca="1" si="121"/>
        <v>2</v>
      </c>
      <c r="Z314" s="8" t="s">
        <v>1670</v>
      </c>
      <c r="AA314" s="12" t="str">
        <f t="shared" ca="1" si="91"/>
        <v>NA</v>
      </c>
      <c r="AB314" s="12" t="str">
        <f t="shared" ca="1" si="92"/>
        <v>NA</v>
      </c>
      <c r="AC314" s="12" t="str">
        <f t="shared" ca="1" si="93"/>
        <v>NA</v>
      </c>
      <c r="AD314" s="8" t="s">
        <v>1640</v>
      </c>
      <c r="AE314" s="5"/>
      <c r="AF314" s="8" t="s">
        <v>1641</v>
      </c>
      <c r="AG314" s="11">
        <v>33222</v>
      </c>
      <c r="AH314" s="12">
        <f t="shared" ca="1" si="94"/>
        <v>1990</v>
      </c>
      <c r="AI314" s="12">
        <f t="shared" ca="1" si="95"/>
        <v>12</v>
      </c>
      <c r="AJ314" s="12">
        <f t="shared" ca="1" si="96"/>
        <v>15</v>
      </c>
      <c r="AK314" s="8" t="s">
        <v>1671</v>
      </c>
      <c r="AL314" s="8"/>
      <c r="AM314" s="5"/>
      <c r="AN314" s="5"/>
      <c r="AO314" s="11">
        <v>31472</v>
      </c>
      <c r="AP314" s="12">
        <f t="shared" ca="1" si="97"/>
        <v>1986</v>
      </c>
      <c r="AQ314" s="12">
        <f t="shared" ca="1" si="98"/>
        <v>3</v>
      </c>
      <c r="AR314" s="12">
        <f t="shared" ca="1" si="99"/>
        <v>1</v>
      </c>
      <c r="AS314" s="8" t="s">
        <v>1672</v>
      </c>
      <c r="AT314" s="8"/>
      <c r="AU314" s="11">
        <v>31978</v>
      </c>
      <c r="AV314" s="12">
        <f t="shared" ca="1" si="100"/>
        <v>1987</v>
      </c>
      <c r="AW314" s="12">
        <f t="shared" ca="1" si="101"/>
        <v>7</v>
      </c>
      <c r="AX314" s="12">
        <f t="shared" ca="1" si="102"/>
        <v>20</v>
      </c>
      <c r="AY314" s="8" t="s">
        <v>1673</v>
      </c>
      <c r="AZ314" s="8"/>
      <c r="BA314" s="8"/>
      <c r="BB314" s="12" t="str">
        <f t="shared" ca="1" si="103"/>
        <v>NA</v>
      </c>
      <c r="BC314" s="12" t="str">
        <f t="shared" ca="1" si="104"/>
        <v>NA</v>
      </c>
      <c r="BD314" s="12" t="str">
        <f t="shared" ca="1" si="105"/>
        <v>NA</v>
      </c>
      <c r="BE314" s="5"/>
      <c r="BF314" s="5"/>
      <c r="BG314" s="5"/>
      <c r="BH314" s="12" t="str">
        <f t="shared" ca="1" si="106"/>
        <v>NA</v>
      </c>
      <c r="BI314" s="12" t="str">
        <f t="shared" ca="1" si="107"/>
        <v>NA</v>
      </c>
      <c r="BJ314" s="12" t="str">
        <f t="shared" ca="1" si="108"/>
        <v>NA</v>
      </c>
      <c r="BK314" s="5"/>
      <c r="BL314" s="5"/>
      <c r="BM314" s="12" t="str">
        <f t="shared" ca="1" si="109"/>
        <v>NA</v>
      </c>
      <c r="BN314" s="12" t="str">
        <f t="shared" ca="1" si="110"/>
        <v>NA</v>
      </c>
      <c r="BO314" s="12" t="str">
        <f t="shared" ca="1" si="111"/>
        <v>NA</v>
      </c>
      <c r="BP314" s="5"/>
      <c r="BQ314" s="5"/>
      <c r="BR314" s="5"/>
      <c r="BS314" s="12" t="str">
        <f t="shared" ca="1" si="112"/>
        <v>NA</v>
      </c>
      <c r="BT314" s="12" t="str">
        <f t="shared" ca="1" si="113"/>
        <v>NA</v>
      </c>
      <c r="BU314" s="12" t="str">
        <f t="shared" ca="1" si="114"/>
        <v>NA</v>
      </c>
      <c r="BV314" s="5"/>
      <c r="BW314" s="5"/>
      <c r="BX314" s="12" t="str">
        <f t="shared" ca="1" si="115"/>
        <v>NA</v>
      </c>
      <c r="BY314" s="12" t="str">
        <f t="shared" ca="1" si="116"/>
        <v>NA</v>
      </c>
      <c r="BZ314" s="12" t="str">
        <f t="shared" ca="1" si="117"/>
        <v>NA</v>
      </c>
      <c r="CA314" s="5"/>
    </row>
    <row r="315" spans="1:79" ht="12.75" customHeight="1" x14ac:dyDescent="0.15">
      <c r="A315" s="4">
        <v>1032</v>
      </c>
      <c r="B315" s="5" t="s">
        <v>79</v>
      </c>
      <c r="C315" s="5" t="s">
        <v>79</v>
      </c>
      <c r="D315" s="6" t="s">
        <v>1674</v>
      </c>
      <c r="E315" s="6" t="s">
        <v>1675</v>
      </c>
      <c r="F315" s="6" t="s">
        <v>1676</v>
      </c>
      <c r="G315" s="8"/>
      <c r="H315" s="8"/>
      <c r="I315" s="8"/>
      <c r="J315" s="8"/>
      <c r="K315" s="8"/>
      <c r="L315" s="8" t="s">
        <v>1594</v>
      </c>
      <c r="M315" s="6" t="s">
        <v>1677</v>
      </c>
      <c r="N315" s="6" t="s">
        <v>1678</v>
      </c>
      <c r="O315" s="9">
        <v>30317</v>
      </c>
      <c r="P315" s="10">
        <f t="shared" ca="1" si="84"/>
        <v>14.194444444444445</v>
      </c>
      <c r="Q315" s="5">
        <f t="shared" ca="1" si="85"/>
        <v>170</v>
      </c>
      <c r="R315" s="5">
        <f t="shared" ca="1" si="86"/>
        <v>5183</v>
      </c>
      <c r="S315" s="7">
        <f t="shared" ca="1" si="87"/>
        <v>1983</v>
      </c>
      <c r="T315" s="7">
        <f t="shared" ca="1" si="88"/>
        <v>1</v>
      </c>
      <c r="U315" s="7">
        <f t="shared" ca="1" si="89"/>
        <v>1</v>
      </c>
      <c r="V315" s="8" t="s">
        <v>1640</v>
      </c>
      <c r="W315" s="8" t="s">
        <v>84</v>
      </c>
      <c r="X315" s="8" t="s">
        <v>1641</v>
      </c>
      <c r="Y315" s="5">
        <f t="shared" ca="1" si="121"/>
        <v>2</v>
      </c>
      <c r="Z315" s="16">
        <v>31048</v>
      </c>
      <c r="AA315" s="12">
        <f t="shared" ca="1" si="91"/>
        <v>1985</v>
      </c>
      <c r="AB315" s="12">
        <f t="shared" ca="1" si="92"/>
        <v>1</v>
      </c>
      <c r="AC315" s="12">
        <f t="shared" ca="1" si="93"/>
        <v>1</v>
      </c>
      <c r="AD315" s="8" t="s">
        <v>1640</v>
      </c>
      <c r="AE315" s="21" t="s">
        <v>84</v>
      </c>
      <c r="AF315" s="8" t="s">
        <v>1641</v>
      </c>
      <c r="AG315" s="11">
        <v>35500</v>
      </c>
      <c r="AH315" s="12">
        <f t="shared" ca="1" si="94"/>
        <v>1997</v>
      </c>
      <c r="AI315" s="12">
        <f t="shared" ca="1" si="95"/>
        <v>3</v>
      </c>
      <c r="AJ315" s="12">
        <f t="shared" ca="1" si="96"/>
        <v>11</v>
      </c>
      <c r="AK315" s="8" t="s">
        <v>1679</v>
      </c>
      <c r="AL315" s="8"/>
      <c r="AM315" s="5"/>
      <c r="AN315" s="5"/>
      <c r="AO315" s="11">
        <v>31472</v>
      </c>
      <c r="AP315" s="12">
        <f t="shared" ca="1" si="97"/>
        <v>1986</v>
      </c>
      <c r="AQ315" s="12">
        <f t="shared" ca="1" si="98"/>
        <v>3</v>
      </c>
      <c r="AR315" s="12">
        <f t="shared" ca="1" si="99"/>
        <v>1</v>
      </c>
      <c r="AS315" s="8" t="s">
        <v>1680</v>
      </c>
      <c r="AT315" s="8"/>
      <c r="AU315" s="11">
        <v>31978</v>
      </c>
      <c r="AV315" s="12">
        <f t="shared" ca="1" si="100"/>
        <v>1987</v>
      </c>
      <c r="AW315" s="12">
        <f t="shared" ca="1" si="101"/>
        <v>7</v>
      </c>
      <c r="AX315" s="12">
        <f t="shared" ca="1" si="102"/>
        <v>20</v>
      </c>
      <c r="AY315" s="8" t="s">
        <v>1681</v>
      </c>
      <c r="AZ315" s="8"/>
      <c r="BA315" s="6"/>
      <c r="BB315" s="12" t="str">
        <f t="shared" ca="1" si="103"/>
        <v>NA</v>
      </c>
      <c r="BC315" s="12" t="str">
        <f t="shared" ca="1" si="104"/>
        <v>NA</v>
      </c>
      <c r="BD315" s="12" t="str">
        <f t="shared" ca="1" si="105"/>
        <v>NA</v>
      </c>
      <c r="BE315" s="5"/>
      <c r="BF315" s="5"/>
      <c r="BG315" s="5"/>
      <c r="BH315" s="12" t="str">
        <f t="shared" ca="1" si="106"/>
        <v>NA</v>
      </c>
      <c r="BI315" s="12" t="str">
        <f t="shared" ca="1" si="107"/>
        <v>NA</v>
      </c>
      <c r="BJ315" s="12" t="str">
        <f t="shared" ca="1" si="108"/>
        <v>NA</v>
      </c>
      <c r="BK315" s="5"/>
      <c r="BL315" s="5"/>
      <c r="BM315" s="12" t="str">
        <f t="shared" ca="1" si="109"/>
        <v>NA</v>
      </c>
      <c r="BN315" s="12" t="str">
        <f t="shared" ca="1" si="110"/>
        <v>NA</v>
      </c>
      <c r="BO315" s="12" t="str">
        <f t="shared" ca="1" si="111"/>
        <v>NA</v>
      </c>
      <c r="BP315" s="5"/>
      <c r="BQ315" s="5"/>
      <c r="BR315" s="5"/>
      <c r="BS315" s="12" t="str">
        <f t="shared" ca="1" si="112"/>
        <v>NA</v>
      </c>
      <c r="BT315" s="12" t="str">
        <f t="shared" ca="1" si="113"/>
        <v>NA</v>
      </c>
      <c r="BU315" s="12" t="str">
        <f t="shared" ca="1" si="114"/>
        <v>NA</v>
      </c>
      <c r="BV315" s="5"/>
      <c r="BW315" s="5"/>
      <c r="BX315" s="12" t="str">
        <f t="shared" ca="1" si="115"/>
        <v>NA</v>
      </c>
      <c r="BY315" s="12" t="str">
        <f t="shared" ca="1" si="116"/>
        <v>NA</v>
      </c>
      <c r="BZ315" s="12" t="str">
        <f t="shared" ca="1" si="117"/>
        <v>NA</v>
      </c>
      <c r="CA315" s="5"/>
    </row>
    <row r="316" spans="1:79" ht="12.75" customHeight="1" x14ac:dyDescent="0.15">
      <c r="A316" s="4">
        <v>1033</v>
      </c>
      <c r="B316" s="5" t="s">
        <v>79</v>
      </c>
      <c r="C316" s="5" t="s">
        <v>79</v>
      </c>
      <c r="D316" s="6" t="s">
        <v>1682</v>
      </c>
      <c r="E316" s="6" t="s">
        <v>1683</v>
      </c>
      <c r="F316" s="6" t="s">
        <v>1684</v>
      </c>
      <c r="G316" s="8"/>
      <c r="H316" s="8"/>
      <c r="I316" s="8"/>
      <c r="J316" s="8"/>
      <c r="K316" s="8"/>
      <c r="L316" s="8" t="s">
        <v>1594</v>
      </c>
      <c r="M316" s="6" t="s">
        <v>1685</v>
      </c>
      <c r="N316" s="6" t="s">
        <v>1686</v>
      </c>
      <c r="O316" s="9">
        <v>30317</v>
      </c>
      <c r="P316" s="10">
        <f t="shared" ca="1" si="84"/>
        <v>5.572222222222222</v>
      </c>
      <c r="Q316" s="5">
        <f t="shared" ca="1" si="85"/>
        <v>66</v>
      </c>
      <c r="R316" s="5">
        <f t="shared" ca="1" si="86"/>
        <v>2034</v>
      </c>
      <c r="S316" s="7">
        <f t="shared" ca="1" si="87"/>
        <v>1983</v>
      </c>
      <c r="T316" s="7">
        <f t="shared" ca="1" si="88"/>
        <v>1</v>
      </c>
      <c r="U316" s="7">
        <f t="shared" ca="1" si="89"/>
        <v>1</v>
      </c>
      <c r="V316" s="8" t="s">
        <v>1640</v>
      </c>
      <c r="W316" s="8" t="s">
        <v>84</v>
      </c>
      <c r="X316" s="8" t="s">
        <v>1641</v>
      </c>
      <c r="Y316" s="5">
        <f t="shared" ca="1" si="121"/>
        <v>2</v>
      </c>
      <c r="Z316" s="8" t="s">
        <v>1687</v>
      </c>
      <c r="AA316" s="12" t="str">
        <f t="shared" ca="1" si="91"/>
        <v>NA</v>
      </c>
      <c r="AB316" s="12" t="str">
        <f t="shared" ca="1" si="92"/>
        <v>NA</v>
      </c>
      <c r="AC316" s="12" t="str">
        <f t="shared" ca="1" si="93"/>
        <v>NA</v>
      </c>
      <c r="AD316" s="8" t="s">
        <v>1640</v>
      </c>
      <c r="AE316" s="5"/>
      <c r="AF316" s="8" t="s">
        <v>1641</v>
      </c>
      <c r="AG316" s="11">
        <v>32351</v>
      </c>
      <c r="AH316" s="12">
        <f t="shared" ca="1" si="94"/>
        <v>1988</v>
      </c>
      <c r="AI316" s="12">
        <f t="shared" ca="1" si="95"/>
        <v>7</v>
      </c>
      <c r="AJ316" s="12">
        <f t="shared" ca="1" si="96"/>
        <v>27</v>
      </c>
      <c r="AK316" s="8" t="s">
        <v>1688</v>
      </c>
      <c r="AL316" s="8"/>
      <c r="AM316" s="5"/>
      <c r="AN316" s="5"/>
      <c r="AO316" s="11">
        <v>31472</v>
      </c>
      <c r="AP316" s="12">
        <f t="shared" ca="1" si="97"/>
        <v>1986</v>
      </c>
      <c r="AQ316" s="12">
        <f t="shared" ca="1" si="98"/>
        <v>3</v>
      </c>
      <c r="AR316" s="12">
        <f t="shared" ca="1" si="99"/>
        <v>1</v>
      </c>
      <c r="AS316" s="8" t="s">
        <v>1689</v>
      </c>
      <c r="AT316" s="8"/>
      <c r="AU316" s="11">
        <v>31978</v>
      </c>
      <c r="AV316" s="12">
        <f t="shared" ca="1" si="100"/>
        <v>1987</v>
      </c>
      <c r="AW316" s="12">
        <f t="shared" ca="1" si="101"/>
        <v>7</v>
      </c>
      <c r="AX316" s="12">
        <f t="shared" ca="1" si="102"/>
        <v>20</v>
      </c>
      <c r="AY316" s="8" t="s">
        <v>1690</v>
      </c>
      <c r="AZ316" s="8"/>
      <c r="BA316" s="6"/>
      <c r="BB316" s="12" t="str">
        <f t="shared" ca="1" si="103"/>
        <v>NA</v>
      </c>
      <c r="BC316" s="12" t="str">
        <f t="shared" ca="1" si="104"/>
        <v>NA</v>
      </c>
      <c r="BD316" s="12" t="str">
        <f t="shared" ca="1" si="105"/>
        <v>NA</v>
      </c>
      <c r="BE316" s="5"/>
      <c r="BF316" s="5"/>
      <c r="BG316" s="5"/>
      <c r="BH316" s="12" t="str">
        <f t="shared" ca="1" si="106"/>
        <v>NA</v>
      </c>
      <c r="BI316" s="12" t="str">
        <f t="shared" ca="1" si="107"/>
        <v>NA</v>
      </c>
      <c r="BJ316" s="12" t="str">
        <f t="shared" ca="1" si="108"/>
        <v>NA</v>
      </c>
      <c r="BK316" s="5"/>
      <c r="BL316" s="5"/>
      <c r="BM316" s="12" t="str">
        <f t="shared" ca="1" si="109"/>
        <v>NA</v>
      </c>
      <c r="BN316" s="12" t="str">
        <f t="shared" ca="1" si="110"/>
        <v>NA</v>
      </c>
      <c r="BO316" s="12" t="str">
        <f t="shared" ca="1" si="111"/>
        <v>NA</v>
      </c>
      <c r="BP316" s="5"/>
      <c r="BQ316" s="5"/>
      <c r="BR316" s="5"/>
      <c r="BS316" s="12" t="str">
        <f t="shared" ca="1" si="112"/>
        <v>NA</v>
      </c>
      <c r="BT316" s="12" t="str">
        <f t="shared" ca="1" si="113"/>
        <v>NA</v>
      </c>
      <c r="BU316" s="12" t="str">
        <f t="shared" ca="1" si="114"/>
        <v>NA</v>
      </c>
      <c r="BV316" s="5"/>
      <c r="BW316" s="5"/>
      <c r="BX316" s="12" t="str">
        <f t="shared" ca="1" si="115"/>
        <v>NA</v>
      </c>
      <c r="BY316" s="12" t="str">
        <f t="shared" ca="1" si="116"/>
        <v>NA</v>
      </c>
      <c r="BZ316" s="12" t="str">
        <f t="shared" ca="1" si="117"/>
        <v>NA</v>
      </c>
      <c r="CA316" s="5"/>
    </row>
    <row r="317" spans="1:79" ht="12.75" customHeight="1" x14ac:dyDescent="0.15">
      <c r="A317" s="4">
        <v>1034</v>
      </c>
      <c r="B317" s="5" t="s">
        <v>79</v>
      </c>
      <c r="C317" s="5" t="s">
        <v>79</v>
      </c>
      <c r="D317" s="6" t="s">
        <v>1691</v>
      </c>
      <c r="E317" s="6" t="s">
        <v>1692</v>
      </c>
      <c r="F317" s="6" t="s">
        <v>1693</v>
      </c>
      <c r="G317" s="8"/>
      <c r="H317" s="8"/>
      <c r="I317" s="8"/>
      <c r="J317" s="8"/>
      <c r="K317" s="8"/>
      <c r="L317" s="8" t="s">
        <v>1594</v>
      </c>
      <c r="M317" s="6" t="s">
        <v>1694</v>
      </c>
      <c r="N317" s="6" t="s">
        <v>1695</v>
      </c>
      <c r="O317" s="9">
        <v>30317</v>
      </c>
      <c r="P317" s="10">
        <f t="shared" ca="1" si="84"/>
        <v>9.1194444444444436</v>
      </c>
      <c r="Q317" s="5">
        <f t="shared" ca="1" si="85"/>
        <v>109</v>
      </c>
      <c r="R317" s="5">
        <f t="shared" ca="1" si="86"/>
        <v>3331</v>
      </c>
      <c r="S317" s="7">
        <f t="shared" ca="1" si="87"/>
        <v>1983</v>
      </c>
      <c r="T317" s="7">
        <f t="shared" ca="1" si="88"/>
        <v>1</v>
      </c>
      <c r="U317" s="7">
        <f t="shared" ca="1" si="89"/>
        <v>1</v>
      </c>
      <c r="V317" s="8" t="s">
        <v>1696</v>
      </c>
      <c r="W317" s="8" t="s">
        <v>84</v>
      </c>
      <c r="X317" s="8" t="s">
        <v>1641</v>
      </c>
      <c r="Y317" s="5">
        <f t="shared" ca="1" si="121"/>
        <v>4</v>
      </c>
      <c r="Z317" s="26" t="s">
        <v>1697</v>
      </c>
      <c r="AA317" s="12" t="str">
        <f t="shared" ca="1" si="91"/>
        <v>NA</v>
      </c>
      <c r="AB317" s="12" t="str">
        <f t="shared" ca="1" si="92"/>
        <v>NA</v>
      </c>
      <c r="AC317" s="12" t="str">
        <f t="shared" ca="1" si="93"/>
        <v>NA</v>
      </c>
      <c r="AD317" s="8" t="s">
        <v>1696</v>
      </c>
      <c r="AE317" s="5"/>
      <c r="AF317" s="8" t="s">
        <v>1641</v>
      </c>
      <c r="AG317" s="11">
        <v>33648</v>
      </c>
      <c r="AH317" s="12">
        <f t="shared" ca="1" si="94"/>
        <v>1992</v>
      </c>
      <c r="AI317" s="12">
        <f t="shared" ca="1" si="95"/>
        <v>2</v>
      </c>
      <c r="AJ317" s="12">
        <f t="shared" ca="1" si="96"/>
        <v>14</v>
      </c>
      <c r="AK317" s="8" t="s">
        <v>1698</v>
      </c>
      <c r="AL317" s="8"/>
      <c r="AM317" s="5"/>
      <c r="AN317" s="5"/>
      <c r="AO317" s="8" t="s">
        <v>1699</v>
      </c>
      <c r="AP317" s="12" t="str">
        <f t="shared" ca="1" si="97"/>
        <v>NA</v>
      </c>
      <c r="AQ317" s="12" t="str">
        <f t="shared" ca="1" si="98"/>
        <v>NA</v>
      </c>
      <c r="AR317" s="12" t="str">
        <f t="shared" ca="1" si="99"/>
        <v>NA</v>
      </c>
      <c r="AS317" s="8" t="s">
        <v>1700</v>
      </c>
      <c r="AT317" s="8"/>
      <c r="AU317" s="11">
        <v>31775</v>
      </c>
      <c r="AV317" s="12">
        <f t="shared" ca="1" si="100"/>
        <v>1986</v>
      </c>
      <c r="AW317" s="12">
        <f t="shared" ca="1" si="101"/>
        <v>12</v>
      </c>
      <c r="AX317" s="12">
        <f t="shared" ca="1" si="102"/>
        <v>29</v>
      </c>
      <c r="AY317" s="8" t="s">
        <v>1701</v>
      </c>
      <c r="AZ317" s="8"/>
      <c r="BA317" s="11">
        <v>31850</v>
      </c>
      <c r="BB317" s="12">
        <f t="shared" ca="1" si="103"/>
        <v>1987</v>
      </c>
      <c r="BC317" s="12">
        <f t="shared" ca="1" si="104"/>
        <v>3</v>
      </c>
      <c r="BD317" s="12">
        <f t="shared" ca="1" si="105"/>
        <v>14</v>
      </c>
      <c r="BE317" s="8" t="s">
        <v>1702</v>
      </c>
      <c r="BF317" s="8"/>
      <c r="BG317" s="11">
        <v>31881</v>
      </c>
      <c r="BH317" s="12">
        <f t="shared" ca="1" si="106"/>
        <v>1987</v>
      </c>
      <c r="BI317" s="12">
        <f t="shared" ca="1" si="107"/>
        <v>4</v>
      </c>
      <c r="BJ317" s="12">
        <f t="shared" ca="1" si="108"/>
        <v>14</v>
      </c>
      <c r="BK317" s="8" t="s">
        <v>1703</v>
      </c>
      <c r="BL317" s="11">
        <v>31978</v>
      </c>
      <c r="BM317" s="12">
        <f t="shared" ca="1" si="109"/>
        <v>1987</v>
      </c>
      <c r="BN317" s="12">
        <f t="shared" ca="1" si="110"/>
        <v>7</v>
      </c>
      <c r="BO317" s="12">
        <f t="shared" ca="1" si="111"/>
        <v>20</v>
      </c>
      <c r="BP317" s="8" t="s">
        <v>1704</v>
      </c>
      <c r="BQ317" s="8"/>
      <c r="BR317" s="5"/>
      <c r="BS317" s="12" t="str">
        <f t="shared" ca="1" si="112"/>
        <v>NA</v>
      </c>
      <c r="BT317" s="12" t="str">
        <f t="shared" ca="1" si="113"/>
        <v>NA</v>
      </c>
      <c r="BU317" s="12" t="str">
        <f t="shared" ca="1" si="114"/>
        <v>NA</v>
      </c>
      <c r="BV317" s="5"/>
      <c r="BW317" s="5"/>
      <c r="BX317" s="12" t="str">
        <f t="shared" ca="1" si="115"/>
        <v>NA</v>
      </c>
      <c r="BY317" s="12" t="str">
        <f t="shared" ca="1" si="116"/>
        <v>NA</v>
      </c>
      <c r="BZ317" s="12" t="str">
        <f t="shared" ca="1" si="117"/>
        <v>NA</v>
      </c>
      <c r="CA317" s="5"/>
    </row>
    <row r="318" spans="1:79" ht="12.75" customHeight="1" x14ac:dyDescent="0.15">
      <c r="A318" s="4">
        <v>1035</v>
      </c>
      <c r="B318" s="5" t="s">
        <v>79</v>
      </c>
      <c r="C318" s="5" t="s">
        <v>79</v>
      </c>
      <c r="D318" s="6" t="s">
        <v>1705</v>
      </c>
      <c r="E318" s="6" t="s">
        <v>1706</v>
      </c>
      <c r="F318" s="6" t="s">
        <v>1707</v>
      </c>
      <c r="G318" s="8"/>
      <c r="H318" s="8"/>
      <c r="I318" s="8"/>
      <c r="J318" s="8"/>
      <c r="K318" s="8"/>
      <c r="L318" s="8" t="s">
        <v>1594</v>
      </c>
      <c r="M318" s="6" t="s">
        <v>1708</v>
      </c>
      <c r="N318" s="6" t="s">
        <v>1709</v>
      </c>
      <c r="O318" s="9">
        <v>30317</v>
      </c>
      <c r="P318" s="10">
        <f t="shared" ca="1" si="84"/>
        <v>7.8944444444444448</v>
      </c>
      <c r="Q318" s="5">
        <f t="shared" ca="1" si="85"/>
        <v>94</v>
      </c>
      <c r="R318" s="5">
        <f t="shared" ca="1" si="86"/>
        <v>2883</v>
      </c>
      <c r="S318" s="7">
        <f t="shared" ca="1" si="87"/>
        <v>1983</v>
      </c>
      <c r="T318" s="7">
        <f t="shared" ca="1" si="88"/>
        <v>1</v>
      </c>
      <c r="U318" s="7">
        <f t="shared" ca="1" si="89"/>
        <v>1</v>
      </c>
      <c r="V318" s="8" t="s">
        <v>1640</v>
      </c>
      <c r="W318" s="8" t="s">
        <v>84</v>
      </c>
      <c r="X318" s="8" t="s">
        <v>1641</v>
      </c>
      <c r="Y318" s="5">
        <f t="shared" ca="1" si="121"/>
        <v>3</v>
      </c>
      <c r="Z318" s="8" t="s">
        <v>1710</v>
      </c>
      <c r="AA318" s="12" t="str">
        <f t="shared" ca="1" si="91"/>
        <v>NA</v>
      </c>
      <c r="AB318" s="12" t="str">
        <f t="shared" ca="1" si="92"/>
        <v>NA</v>
      </c>
      <c r="AC318" s="12" t="str">
        <f t="shared" ca="1" si="93"/>
        <v>NA</v>
      </c>
      <c r="AD318" s="8" t="s">
        <v>1640</v>
      </c>
      <c r="AE318" s="5"/>
      <c r="AF318" s="8" t="s">
        <v>1641</v>
      </c>
      <c r="AG318" s="11">
        <v>33200</v>
      </c>
      <c r="AH318" s="12">
        <f t="shared" ca="1" si="94"/>
        <v>1990</v>
      </c>
      <c r="AI318" s="12">
        <f t="shared" ca="1" si="95"/>
        <v>11</v>
      </c>
      <c r="AJ318" s="12">
        <f t="shared" ca="1" si="96"/>
        <v>23</v>
      </c>
      <c r="AK318" s="8" t="s">
        <v>1711</v>
      </c>
      <c r="AL318" s="8"/>
      <c r="AM318" s="5"/>
      <c r="AN318" s="5"/>
      <c r="AO318" s="8" t="s">
        <v>1712</v>
      </c>
      <c r="AP318" s="12" t="str">
        <f t="shared" ca="1" si="97"/>
        <v>NA</v>
      </c>
      <c r="AQ318" s="12" t="str">
        <f t="shared" ca="1" si="98"/>
        <v>NA</v>
      </c>
      <c r="AR318" s="12" t="str">
        <f t="shared" ca="1" si="99"/>
        <v>NA</v>
      </c>
      <c r="AS318" s="8" t="s">
        <v>1713</v>
      </c>
      <c r="AT318" s="8"/>
      <c r="AU318" s="11">
        <v>31775</v>
      </c>
      <c r="AV318" s="12">
        <f t="shared" ca="1" si="100"/>
        <v>1986</v>
      </c>
      <c r="AW318" s="12">
        <f t="shared" ca="1" si="101"/>
        <v>12</v>
      </c>
      <c r="AX318" s="12">
        <f t="shared" ca="1" si="102"/>
        <v>29</v>
      </c>
      <c r="AY318" s="8" t="s">
        <v>1714</v>
      </c>
      <c r="AZ318" s="8"/>
      <c r="BA318" s="11">
        <v>31850</v>
      </c>
      <c r="BB318" s="12">
        <f t="shared" ca="1" si="103"/>
        <v>1987</v>
      </c>
      <c r="BC318" s="12">
        <f t="shared" ca="1" si="104"/>
        <v>3</v>
      </c>
      <c r="BD318" s="12">
        <f t="shared" ca="1" si="105"/>
        <v>14</v>
      </c>
      <c r="BE318" s="8" t="s">
        <v>1715</v>
      </c>
      <c r="BF318" s="8"/>
      <c r="BG318" s="11">
        <v>31978</v>
      </c>
      <c r="BH318" s="12">
        <f t="shared" ca="1" si="106"/>
        <v>1987</v>
      </c>
      <c r="BI318" s="12">
        <f t="shared" ca="1" si="107"/>
        <v>7</v>
      </c>
      <c r="BJ318" s="12">
        <f t="shared" ca="1" si="108"/>
        <v>20</v>
      </c>
      <c r="BK318" s="8" t="s">
        <v>1716</v>
      </c>
      <c r="BL318" s="5"/>
      <c r="BM318" s="12" t="str">
        <f t="shared" ca="1" si="109"/>
        <v>NA</v>
      </c>
      <c r="BN318" s="12" t="str">
        <f t="shared" ca="1" si="110"/>
        <v>NA</v>
      </c>
      <c r="BO318" s="12" t="str">
        <f t="shared" ca="1" si="111"/>
        <v>NA</v>
      </c>
      <c r="BP318" s="5"/>
      <c r="BQ318" s="5"/>
      <c r="BR318" s="5"/>
      <c r="BS318" s="12" t="str">
        <f t="shared" ca="1" si="112"/>
        <v>NA</v>
      </c>
      <c r="BT318" s="12" t="str">
        <f t="shared" ca="1" si="113"/>
        <v>NA</v>
      </c>
      <c r="BU318" s="12" t="str">
        <f t="shared" ca="1" si="114"/>
        <v>NA</v>
      </c>
      <c r="BV318" s="5"/>
      <c r="BW318" s="5"/>
      <c r="BX318" s="12" t="str">
        <f t="shared" ca="1" si="115"/>
        <v>NA</v>
      </c>
      <c r="BY318" s="12" t="str">
        <f t="shared" ca="1" si="116"/>
        <v>NA</v>
      </c>
      <c r="BZ318" s="12" t="str">
        <f t="shared" ca="1" si="117"/>
        <v>NA</v>
      </c>
      <c r="CA318" s="5"/>
    </row>
    <row r="319" spans="1:79" ht="12.75" customHeight="1" x14ac:dyDescent="0.15">
      <c r="A319" s="4">
        <v>1036</v>
      </c>
      <c r="B319" s="5" t="s">
        <v>79</v>
      </c>
      <c r="C319" s="5" t="s">
        <v>79</v>
      </c>
      <c r="D319" s="6" t="s">
        <v>1717</v>
      </c>
      <c r="E319" s="6" t="s">
        <v>1718</v>
      </c>
      <c r="F319" s="6" t="s">
        <v>1719</v>
      </c>
      <c r="G319" s="8"/>
      <c r="H319" s="8"/>
      <c r="I319" s="8"/>
      <c r="J319" s="8"/>
      <c r="K319" s="8"/>
      <c r="L319" s="8" t="s">
        <v>1594</v>
      </c>
      <c r="M319" s="6" t="s">
        <v>1720</v>
      </c>
      <c r="N319" s="6" t="s">
        <v>1721</v>
      </c>
      <c r="O319" s="9">
        <v>30317</v>
      </c>
      <c r="P319" s="10">
        <f t="shared" ca="1" si="84"/>
        <v>6.8166666666666664</v>
      </c>
      <c r="Q319" s="5">
        <f t="shared" ca="1" si="85"/>
        <v>81</v>
      </c>
      <c r="R319" s="5">
        <f t="shared" ca="1" si="86"/>
        <v>2489</v>
      </c>
      <c r="S319" s="7">
        <f t="shared" ca="1" si="87"/>
        <v>1983</v>
      </c>
      <c r="T319" s="7">
        <f t="shared" ca="1" si="88"/>
        <v>1</v>
      </c>
      <c r="U319" s="7">
        <f t="shared" ca="1" si="89"/>
        <v>1</v>
      </c>
      <c r="V319" s="8" t="s">
        <v>1640</v>
      </c>
      <c r="W319" s="8" t="s">
        <v>84</v>
      </c>
      <c r="X319" s="8" t="s">
        <v>1641</v>
      </c>
      <c r="Y319" s="5">
        <f t="shared" ca="1" si="121"/>
        <v>3</v>
      </c>
      <c r="Z319" s="8" t="s">
        <v>1722</v>
      </c>
      <c r="AA319" s="12" t="str">
        <f t="shared" ca="1" si="91"/>
        <v>NA</v>
      </c>
      <c r="AB319" s="12" t="str">
        <f t="shared" ca="1" si="92"/>
        <v>NA</v>
      </c>
      <c r="AC319" s="12" t="str">
        <f t="shared" ca="1" si="93"/>
        <v>NA</v>
      </c>
      <c r="AD319" s="8" t="s">
        <v>1640</v>
      </c>
      <c r="AE319" s="5"/>
      <c r="AF319" s="8" t="s">
        <v>1641</v>
      </c>
      <c r="AG319" s="11">
        <v>32806</v>
      </c>
      <c r="AH319" s="12">
        <f t="shared" ca="1" si="94"/>
        <v>1989</v>
      </c>
      <c r="AI319" s="12">
        <f t="shared" ca="1" si="95"/>
        <v>10</v>
      </c>
      <c r="AJ319" s="12">
        <f t="shared" ca="1" si="96"/>
        <v>25</v>
      </c>
      <c r="AK319" s="8" t="s">
        <v>1723</v>
      </c>
      <c r="AL319" s="8"/>
      <c r="AM319" s="5"/>
      <c r="AN319" s="5"/>
      <c r="AO319" s="8" t="s">
        <v>1724</v>
      </c>
      <c r="AP319" s="12" t="str">
        <f t="shared" ca="1" si="97"/>
        <v>NA</v>
      </c>
      <c r="AQ319" s="12" t="str">
        <f t="shared" ca="1" si="98"/>
        <v>NA</v>
      </c>
      <c r="AR319" s="12" t="str">
        <f t="shared" ca="1" si="99"/>
        <v>NA</v>
      </c>
      <c r="AS319" s="8" t="s">
        <v>1725</v>
      </c>
      <c r="AT319" s="8"/>
      <c r="AU319" s="11">
        <v>31775</v>
      </c>
      <c r="AV319" s="12">
        <f t="shared" ca="1" si="100"/>
        <v>1986</v>
      </c>
      <c r="AW319" s="12">
        <f t="shared" ca="1" si="101"/>
        <v>12</v>
      </c>
      <c r="AX319" s="12">
        <f t="shared" ca="1" si="102"/>
        <v>29</v>
      </c>
      <c r="AY319" s="8" t="s">
        <v>1726</v>
      </c>
      <c r="AZ319" s="8"/>
      <c r="BA319" s="11">
        <v>31881</v>
      </c>
      <c r="BB319" s="12">
        <f t="shared" ca="1" si="103"/>
        <v>1987</v>
      </c>
      <c r="BC319" s="12">
        <f t="shared" ca="1" si="104"/>
        <v>4</v>
      </c>
      <c r="BD319" s="12">
        <f t="shared" ca="1" si="105"/>
        <v>14</v>
      </c>
      <c r="BE319" s="8" t="s">
        <v>1727</v>
      </c>
      <c r="BF319" s="8"/>
      <c r="BG319" s="11">
        <v>31978</v>
      </c>
      <c r="BH319" s="12">
        <f t="shared" ca="1" si="106"/>
        <v>1987</v>
      </c>
      <c r="BI319" s="12">
        <f t="shared" ca="1" si="107"/>
        <v>7</v>
      </c>
      <c r="BJ319" s="12">
        <f t="shared" ca="1" si="108"/>
        <v>20</v>
      </c>
      <c r="BK319" s="8" t="s">
        <v>1728</v>
      </c>
      <c r="BL319" s="5"/>
      <c r="BM319" s="12" t="str">
        <f t="shared" ca="1" si="109"/>
        <v>NA</v>
      </c>
      <c r="BN319" s="12" t="str">
        <f t="shared" ca="1" si="110"/>
        <v>NA</v>
      </c>
      <c r="BO319" s="12" t="str">
        <f t="shared" ca="1" si="111"/>
        <v>NA</v>
      </c>
      <c r="BP319" s="5"/>
      <c r="BQ319" s="5"/>
      <c r="BR319" s="5"/>
      <c r="BS319" s="12" t="str">
        <f t="shared" ca="1" si="112"/>
        <v>NA</v>
      </c>
      <c r="BT319" s="12" t="str">
        <f t="shared" ca="1" si="113"/>
        <v>NA</v>
      </c>
      <c r="BU319" s="12" t="str">
        <f t="shared" ca="1" si="114"/>
        <v>NA</v>
      </c>
      <c r="BV319" s="5"/>
      <c r="BW319" s="5"/>
      <c r="BX319" s="12" t="str">
        <f t="shared" ca="1" si="115"/>
        <v>NA</v>
      </c>
      <c r="BY319" s="12" t="str">
        <f t="shared" ca="1" si="116"/>
        <v>NA</v>
      </c>
      <c r="BZ319" s="12" t="str">
        <f t="shared" ca="1" si="117"/>
        <v>NA</v>
      </c>
      <c r="CA319" s="5"/>
    </row>
    <row r="320" spans="1:79" ht="12.75" customHeight="1" x14ac:dyDescent="0.15">
      <c r="A320" s="4">
        <v>1037</v>
      </c>
      <c r="B320" s="5" t="s">
        <v>79</v>
      </c>
      <c r="C320" s="5" t="s">
        <v>79</v>
      </c>
      <c r="D320" s="6" t="s">
        <v>1729</v>
      </c>
      <c r="E320" s="6" t="s">
        <v>1730</v>
      </c>
      <c r="F320" s="6" t="s">
        <v>1731</v>
      </c>
      <c r="G320" s="8"/>
      <c r="H320" s="8"/>
      <c r="I320" s="8"/>
      <c r="J320" s="8"/>
      <c r="K320" s="8"/>
      <c r="L320" s="8" t="s">
        <v>1594</v>
      </c>
      <c r="M320" s="6" t="s">
        <v>1732</v>
      </c>
      <c r="N320" s="6" t="s">
        <v>1733</v>
      </c>
      <c r="O320" s="9">
        <v>30317</v>
      </c>
      <c r="P320" s="10">
        <f t="shared" ca="1" si="84"/>
        <v>7.416666666666667</v>
      </c>
      <c r="Q320" s="5">
        <f t="shared" ca="1" si="85"/>
        <v>89</v>
      </c>
      <c r="R320" s="5">
        <f t="shared" ca="1" si="86"/>
        <v>2708</v>
      </c>
      <c r="S320" s="7">
        <f t="shared" ca="1" si="87"/>
        <v>1983</v>
      </c>
      <c r="T320" s="7">
        <f t="shared" ca="1" si="88"/>
        <v>1</v>
      </c>
      <c r="U320" s="7">
        <f t="shared" ca="1" si="89"/>
        <v>1</v>
      </c>
      <c r="V320" s="8" t="s">
        <v>1640</v>
      </c>
      <c r="W320" s="8" t="s">
        <v>84</v>
      </c>
      <c r="X320" s="8" t="s">
        <v>1641</v>
      </c>
      <c r="Y320" s="5">
        <f t="shared" ca="1" si="121"/>
        <v>2</v>
      </c>
      <c r="Z320" s="8" t="s">
        <v>1734</v>
      </c>
      <c r="AA320" s="12" t="str">
        <f t="shared" ca="1" si="91"/>
        <v>NA</v>
      </c>
      <c r="AB320" s="12" t="str">
        <f t="shared" ca="1" si="92"/>
        <v>NA</v>
      </c>
      <c r="AC320" s="12" t="str">
        <f t="shared" ca="1" si="93"/>
        <v>NA</v>
      </c>
      <c r="AD320" s="8" t="s">
        <v>1640</v>
      </c>
      <c r="AE320" s="5"/>
      <c r="AF320" s="8" t="s">
        <v>1641</v>
      </c>
      <c r="AG320" s="11">
        <v>33025</v>
      </c>
      <c r="AH320" s="12">
        <f t="shared" ca="1" si="94"/>
        <v>1990</v>
      </c>
      <c r="AI320" s="12">
        <f t="shared" ca="1" si="95"/>
        <v>6</v>
      </c>
      <c r="AJ320" s="12">
        <f t="shared" ca="1" si="96"/>
        <v>1</v>
      </c>
      <c r="AK320" s="8" t="s">
        <v>1735</v>
      </c>
      <c r="AL320" s="8"/>
      <c r="AM320" s="5"/>
      <c r="AN320" s="5"/>
      <c r="AO320" s="11">
        <v>31472</v>
      </c>
      <c r="AP320" s="12">
        <f t="shared" ca="1" si="97"/>
        <v>1986</v>
      </c>
      <c r="AQ320" s="12">
        <f t="shared" ca="1" si="98"/>
        <v>3</v>
      </c>
      <c r="AR320" s="12">
        <f t="shared" ca="1" si="99"/>
        <v>1</v>
      </c>
      <c r="AS320" s="8" t="s">
        <v>1736</v>
      </c>
      <c r="AT320" s="8"/>
      <c r="AU320" s="11">
        <v>31978</v>
      </c>
      <c r="AV320" s="12">
        <f t="shared" ca="1" si="100"/>
        <v>1987</v>
      </c>
      <c r="AW320" s="12">
        <f t="shared" ca="1" si="101"/>
        <v>7</v>
      </c>
      <c r="AX320" s="12">
        <f t="shared" ca="1" si="102"/>
        <v>20</v>
      </c>
      <c r="AY320" s="8" t="s">
        <v>1737</v>
      </c>
      <c r="AZ320" s="8"/>
      <c r="BA320" s="6"/>
      <c r="BB320" s="12" t="str">
        <f t="shared" ca="1" si="103"/>
        <v>NA</v>
      </c>
      <c r="BC320" s="12" t="str">
        <f t="shared" ca="1" si="104"/>
        <v>NA</v>
      </c>
      <c r="BD320" s="12" t="str">
        <f t="shared" ca="1" si="105"/>
        <v>NA</v>
      </c>
      <c r="BE320" s="5"/>
      <c r="BF320" s="5"/>
      <c r="BG320" s="5"/>
      <c r="BH320" s="12" t="str">
        <f t="shared" ca="1" si="106"/>
        <v>NA</v>
      </c>
      <c r="BI320" s="12" t="str">
        <f t="shared" ca="1" si="107"/>
        <v>NA</v>
      </c>
      <c r="BJ320" s="12" t="str">
        <f t="shared" ca="1" si="108"/>
        <v>NA</v>
      </c>
      <c r="BK320" s="5"/>
      <c r="BL320" s="5"/>
      <c r="BM320" s="12" t="str">
        <f t="shared" ca="1" si="109"/>
        <v>NA</v>
      </c>
      <c r="BN320" s="12" t="str">
        <f t="shared" ca="1" si="110"/>
        <v>NA</v>
      </c>
      <c r="BO320" s="12" t="str">
        <f t="shared" ca="1" si="111"/>
        <v>NA</v>
      </c>
      <c r="BP320" s="5"/>
      <c r="BQ320" s="5"/>
      <c r="BR320" s="5"/>
      <c r="BS320" s="12" t="str">
        <f t="shared" ca="1" si="112"/>
        <v>NA</v>
      </c>
      <c r="BT320" s="12" t="str">
        <f t="shared" ca="1" si="113"/>
        <v>NA</v>
      </c>
      <c r="BU320" s="12" t="str">
        <f t="shared" ca="1" si="114"/>
        <v>NA</v>
      </c>
      <c r="BV320" s="5"/>
      <c r="BW320" s="5"/>
      <c r="BX320" s="12" t="str">
        <f t="shared" ca="1" si="115"/>
        <v>NA</v>
      </c>
      <c r="BY320" s="12" t="str">
        <f t="shared" ca="1" si="116"/>
        <v>NA</v>
      </c>
      <c r="BZ320" s="12" t="str">
        <f t="shared" ca="1" si="117"/>
        <v>NA</v>
      </c>
      <c r="CA320" s="5"/>
    </row>
    <row r="321" spans="1:79" ht="12.75" customHeight="1" x14ac:dyDescent="0.15">
      <c r="A321" s="4">
        <v>1038</v>
      </c>
      <c r="B321" s="5" t="s">
        <v>79</v>
      </c>
      <c r="C321" s="5" t="s">
        <v>79</v>
      </c>
      <c r="D321" s="8" t="s">
        <v>1738</v>
      </c>
      <c r="E321" s="8" t="s">
        <v>1739</v>
      </c>
      <c r="F321" s="8" t="s">
        <v>1740</v>
      </c>
      <c r="G321" s="8"/>
      <c r="H321" s="8"/>
      <c r="I321" s="8"/>
      <c r="J321" s="8"/>
      <c r="K321" s="8"/>
      <c r="L321" s="8" t="s">
        <v>1594</v>
      </c>
      <c r="M321" s="8" t="s">
        <v>1741</v>
      </c>
      <c r="N321" s="8" t="s">
        <v>1742</v>
      </c>
      <c r="O321" s="9" t="s">
        <v>1743</v>
      </c>
      <c r="P321" s="10" t="str">
        <f t="shared" ca="1" si="84"/>
        <v>NA</v>
      </c>
      <c r="Q321" s="5" t="str">
        <f t="shared" ca="1" si="85"/>
        <v>NA</v>
      </c>
      <c r="R321" s="5" t="str">
        <f t="shared" ca="1" si="86"/>
        <v>NA</v>
      </c>
      <c r="S321" s="7" t="str">
        <f t="shared" ca="1" si="87"/>
        <v>NA</v>
      </c>
      <c r="T321" s="7" t="str">
        <f t="shared" ca="1" si="88"/>
        <v>NA</v>
      </c>
      <c r="U321" s="7" t="str">
        <f t="shared" ca="1" si="89"/>
        <v>NA</v>
      </c>
      <c r="V321" s="8" t="s">
        <v>1640</v>
      </c>
      <c r="W321" s="14" t="s">
        <v>96</v>
      </c>
      <c r="X321" s="8" t="s">
        <v>1641</v>
      </c>
      <c r="Y321" s="5">
        <f t="shared" ca="1" si="121"/>
        <v>2</v>
      </c>
      <c r="Z321" s="8" t="s">
        <v>1744</v>
      </c>
      <c r="AA321" s="12" t="str">
        <f t="shared" ca="1" si="91"/>
        <v>NA</v>
      </c>
      <c r="AB321" s="12" t="str">
        <f t="shared" ca="1" si="92"/>
        <v>NA</v>
      </c>
      <c r="AC321" s="12" t="str">
        <f t="shared" ca="1" si="93"/>
        <v>NA</v>
      </c>
      <c r="AD321" s="8" t="s">
        <v>1640</v>
      </c>
      <c r="AE321" s="5"/>
      <c r="AF321" s="8" t="s">
        <v>1641</v>
      </c>
      <c r="AG321" s="11">
        <v>32702</v>
      </c>
      <c r="AH321" s="12">
        <f t="shared" ca="1" si="94"/>
        <v>1989</v>
      </c>
      <c r="AI321" s="12">
        <f t="shared" ca="1" si="95"/>
        <v>7</v>
      </c>
      <c r="AJ321" s="12">
        <f t="shared" ca="1" si="96"/>
        <v>13</v>
      </c>
      <c r="AK321" s="8" t="s">
        <v>1745</v>
      </c>
      <c r="AL321" s="8"/>
      <c r="AM321" s="5"/>
      <c r="AN321" s="5"/>
      <c r="AO321" s="11">
        <v>31543</v>
      </c>
      <c r="AP321" s="12">
        <f t="shared" ca="1" si="97"/>
        <v>1986</v>
      </c>
      <c r="AQ321" s="12">
        <f t="shared" ca="1" si="98"/>
        <v>5</v>
      </c>
      <c r="AR321" s="12">
        <f t="shared" ca="1" si="99"/>
        <v>11</v>
      </c>
      <c r="AS321" s="8" t="s">
        <v>1746</v>
      </c>
      <c r="AT321" s="8"/>
      <c r="AU321" s="11">
        <v>31978</v>
      </c>
      <c r="AV321" s="12">
        <f t="shared" ca="1" si="100"/>
        <v>1987</v>
      </c>
      <c r="AW321" s="12">
        <f t="shared" ca="1" si="101"/>
        <v>7</v>
      </c>
      <c r="AX321" s="12">
        <f t="shared" ca="1" si="102"/>
        <v>20</v>
      </c>
      <c r="AY321" s="8" t="s">
        <v>1747</v>
      </c>
      <c r="AZ321" s="8"/>
      <c r="BA321" s="8"/>
      <c r="BB321" s="12" t="str">
        <f t="shared" ca="1" si="103"/>
        <v>NA</v>
      </c>
      <c r="BC321" s="12" t="str">
        <f t="shared" ca="1" si="104"/>
        <v>NA</v>
      </c>
      <c r="BD321" s="12" t="str">
        <f t="shared" ca="1" si="105"/>
        <v>NA</v>
      </c>
      <c r="BE321" s="5"/>
      <c r="BF321" s="5"/>
      <c r="BG321" s="5"/>
      <c r="BH321" s="12" t="str">
        <f t="shared" ca="1" si="106"/>
        <v>NA</v>
      </c>
      <c r="BI321" s="12" t="str">
        <f t="shared" ca="1" si="107"/>
        <v>NA</v>
      </c>
      <c r="BJ321" s="12" t="str">
        <f t="shared" ca="1" si="108"/>
        <v>NA</v>
      </c>
      <c r="BK321" s="5"/>
      <c r="BL321" s="5"/>
      <c r="BM321" s="12" t="str">
        <f t="shared" ca="1" si="109"/>
        <v>NA</v>
      </c>
      <c r="BN321" s="12" t="str">
        <f t="shared" ca="1" si="110"/>
        <v>NA</v>
      </c>
      <c r="BO321" s="12" t="str">
        <f t="shared" ca="1" si="111"/>
        <v>NA</v>
      </c>
      <c r="BP321" s="5"/>
      <c r="BQ321" s="5"/>
      <c r="BR321" s="5"/>
      <c r="BS321" s="12" t="str">
        <f t="shared" ca="1" si="112"/>
        <v>NA</v>
      </c>
      <c r="BT321" s="12" t="str">
        <f t="shared" ca="1" si="113"/>
        <v>NA</v>
      </c>
      <c r="BU321" s="12" t="str">
        <f t="shared" ca="1" si="114"/>
        <v>NA</v>
      </c>
      <c r="BV321" s="5"/>
      <c r="BW321" s="5"/>
      <c r="BX321" s="12" t="str">
        <f t="shared" ca="1" si="115"/>
        <v>NA</v>
      </c>
      <c r="BY321" s="12" t="str">
        <f t="shared" ca="1" si="116"/>
        <v>NA</v>
      </c>
      <c r="BZ321" s="12" t="str">
        <f t="shared" ca="1" si="117"/>
        <v>NA</v>
      </c>
      <c r="CA321" s="5"/>
    </row>
    <row r="322" spans="1:79" ht="12.75" customHeight="1" x14ac:dyDescent="0.15">
      <c r="A322" s="4">
        <v>1078</v>
      </c>
      <c r="B322" s="5" t="s">
        <v>79</v>
      </c>
      <c r="C322" s="5" t="s">
        <v>79</v>
      </c>
      <c r="D322" s="8" t="s">
        <v>1748</v>
      </c>
      <c r="E322" s="28">
        <v>950424</v>
      </c>
      <c r="F322" s="8" t="s">
        <v>1749</v>
      </c>
      <c r="G322" s="8"/>
      <c r="H322" s="8"/>
      <c r="I322" s="8"/>
      <c r="J322" s="8"/>
      <c r="K322" s="8"/>
      <c r="L322" s="8" t="s">
        <v>1594</v>
      </c>
      <c r="M322" s="8" t="s">
        <v>1750</v>
      </c>
      <c r="N322" s="8" t="s">
        <v>1751</v>
      </c>
      <c r="O322" s="9" t="s">
        <v>1752</v>
      </c>
      <c r="P322" s="10" t="str">
        <f t="shared" ca="1" si="84"/>
        <v>NA</v>
      </c>
      <c r="Q322" s="5" t="str">
        <f t="shared" ca="1" si="85"/>
        <v>NA</v>
      </c>
      <c r="R322" s="5" t="str">
        <f t="shared" ca="1" si="86"/>
        <v>NA</v>
      </c>
      <c r="S322" s="7" t="str">
        <f t="shared" ca="1" si="87"/>
        <v>NA</v>
      </c>
      <c r="T322" s="7" t="str">
        <f t="shared" ca="1" si="88"/>
        <v>NA</v>
      </c>
      <c r="U322" s="7" t="str">
        <f t="shared" ca="1" si="89"/>
        <v>NA</v>
      </c>
      <c r="V322" s="8" t="s">
        <v>1753</v>
      </c>
      <c r="W322" s="14" t="s">
        <v>96</v>
      </c>
      <c r="X322" s="8"/>
      <c r="Y322" s="5">
        <f t="shared" ca="1" si="121"/>
        <v>2</v>
      </c>
      <c r="Z322" s="8" t="s">
        <v>1754</v>
      </c>
      <c r="AA322" s="12" t="str">
        <f t="shared" ca="1" si="91"/>
        <v>NA</v>
      </c>
      <c r="AB322" s="12" t="str">
        <f t="shared" ca="1" si="92"/>
        <v>NA</v>
      </c>
      <c r="AC322" s="12" t="str">
        <f t="shared" ca="1" si="93"/>
        <v>NA</v>
      </c>
      <c r="AD322" s="8" t="s">
        <v>1755</v>
      </c>
      <c r="AE322" s="5"/>
      <c r="AF322" s="8"/>
      <c r="AG322" s="11">
        <v>35944</v>
      </c>
      <c r="AH322" s="12">
        <f t="shared" ca="1" si="94"/>
        <v>1998</v>
      </c>
      <c r="AI322" s="12">
        <f t="shared" ca="1" si="95"/>
        <v>5</v>
      </c>
      <c r="AJ322" s="12">
        <f t="shared" ca="1" si="96"/>
        <v>29</v>
      </c>
      <c r="AK322" s="8" t="s">
        <v>1756</v>
      </c>
      <c r="AL322" s="8"/>
      <c r="AM322" s="5"/>
      <c r="AN322" s="5"/>
      <c r="AO322" s="8" t="s">
        <v>1757</v>
      </c>
      <c r="AP322" s="12" t="str">
        <f t="shared" ca="1" si="97"/>
        <v>NA</v>
      </c>
      <c r="AQ322" s="12" t="str">
        <f t="shared" ca="1" si="98"/>
        <v>NA</v>
      </c>
      <c r="AR322" s="12" t="str">
        <f t="shared" ca="1" si="99"/>
        <v>NA</v>
      </c>
      <c r="AS322" s="8" t="s">
        <v>1758</v>
      </c>
      <c r="AT322" s="8"/>
      <c r="AU322" s="11">
        <v>33290</v>
      </c>
      <c r="AV322" s="12">
        <f t="shared" ca="1" si="100"/>
        <v>1991</v>
      </c>
      <c r="AW322" s="12">
        <f t="shared" ca="1" si="101"/>
        <v>2</v>
      </c>
      <c r="AX322" s="12">
        <f t="shared" ca="1" si="102"/>
        <v>21</v>
      </c>
      <c r="AY322" s="8" t="s">
        <v>1759</v>
      </c>
      <c r="AZ322" s="8"/>
      <c r="BA322" s="11">
        <v>34801</v>
      </c>
      <c r="BB322" s="12">
        <f t="shared" ca="1" si="103"/>
        <v>1995</v>
      </c>
      <c r="BC322" s="12">
        <f t="shared" ca="1" si="104"/>
        <v>4</v>
      </c>
      <c r="BD322" s="12">
        <f t="shared" ca="1" si="105"/>
        <v>12</v>
      </c>
      <c r="BE322" s="8" t="s">
        <v>1760</v>
      </c>
      <c r="BF322" s="8"/>
      <c r="BG322" s="5"/>
      <c r="BH322" s="12" t="str">
        <f t="shared" ca="1" si="106"/>
        <v>NA</v>
      </c>
      <c r="BI322" s="12" t="str">
        <f t="shared" ca="1" si="107"/>
        <v>NA</v>
      </c>
      <c r="BJ322" s="12" t="str">
        <f t="shared" ca="1" si="108"/>
        <v>NA</v>
      </c>
      <c r="BK322" s="5"/>
      <c r="BL322" s="5"/>
      <c r="BM322" s="12" t="str">
        <f t="shared" ca="1" si="109"/>
        <v>NA</v>
      </c>
      <c r="BN322" s="12" t="str">
        <f t="shared" ca="1" si="110"/>
        <v>NA</v>
      </c>
      <c r="BO322" s="12" t="str">
        <f t="shared" ca="1" si="111"/>
        <v>NA</v>
      </c>
      <c r="BP322" s="5"/>
      <c r="BQ322" s="5"/>
      <c r="BR322" s="5"/>
      <c r="BS322" s="12" t="str">
        <f t="shared" ca="1" si="112"/>
        <v>NA</v>
      </c>
      <c r="BT322" s="12" t="str">
        <f t="shared" ca="1" si="113"/>
        <v>NA</v>
      </c>
      <c r="BU322" s="12" t="str">
        <f t="shared" ca="1" si="114"/>
        <v>NA</v>
      </c>
      <c r="BV322" s="5"/>
      <c r="BW322" s="5"/>
      <c r="BX322" s="12" t="str">
        <f t="shared" ca="1" si="115"/>
        <v>NA</v>
      </c>
      <c r="BY322" s="12" t="str">
        <f t="shared" ca="1" si="116"/>
        <v>NA</v>
      </c>
      <c r="BZ322" s="12" t="str">
        <f t="shared" ca="1" si="117"/>
        <v>NA</v>
      </c>
      <c r="CA322" s="5"/>
    </row>
    <row r="323" spans="1:79" ht="12.75" customHeight="1" x14ac:dyDescent="0.15">
      <c r="A323" s="4">
        <v>1088</v>
      </c>
      <c r="B323" s="5" t="s">
        <v>79</v>
      </c>
      <c r="C323" s="5" t="s">
        <v>79</v>
      </c>
      <c r="D323" s="8" t="s">
        <v>1761</v>
      </c>
      <c r="E323" s="28">
        <v>970689</v>
      </c>
      <c r="F323" s="8" t="s">
        <v>1762</v>
      </c>
      <c r="G323" s="8"/>
      <c r="H323" s="8"/>
      <c r="I323" s="8"/>
      <c r="J323" s="8"/>
      <c r="K323" s="8"/>
      <c r="L323" s="8" t="s">
        <v>1594</v>
      </c>
      <c r="M323" s="8" t="s">
        <v>1763</v>
      </c>
      <c r="N323" s="8" t="s">
        <v>1764</v>
      </c>
      <c r="O323" s="9" t="s">
        <v>1765</v>
      </c>
      <c r="P323" s="10" t="str">
        <f t="shared" ca="1" si="84"/>
        <v>NA</v>
      </c>
      <c r="Q323" s="5" t="str">
        <f t="shared" ca="1" si="85"/>
        <v>NA</v>
      </c>
      <c r="R323" s="5" t="str">
        <f t="shared" ca="1" si="86"/>
        <v>NA</v>
      </c>
      <c r="S323" s="7" t="str">
        <f t="shared" ca="1" si="87"/>
        <v>NA</v>
      </c>
      <c r="T323" s="7" t="str">
        <f t="shared" ca="1" si="88"/>
        <v>NA</v>
      </c>
      <c r="U323" s="7" t="str">
        <f t="shared" ca="1" si="89"/>
        <v>NA</v>
      </c>
      <c r="V323" s="8" t="s">
        <v>1640</v>
      </c>
      <c r="W323" s="14" t="s">
        <v>96</v>
      </c>
      <c r="X323" s="8" t="s">
        <v>1641</v>
      </c>
      <c r="Y323" s="5">
        <f t="shared" ca="1" si="121"/>
        <v>2</v>
      </c>
      <c r="Z323" s="8" t="s">
        <v>1766</v>
      </c>
      <c r="AA323" s="12" t="str">
        <f t="shared" ca="1" si="91"/>
        <v>NA</v>
      </c>
      <c r="AB323" s="12" t="str">
        <f t="shared" ca="1" si="92"/>
        <v>NA</v>
      </c>
      <c r="AC323" s="12" t="str">
        <f t="shared" ca="1" si="93"/>
        <v>NA</v>
      </c>
      <c r="AD323" s="8" t="s">
        <v>1640</v>
      </c>
      <c r="AE323" s="5"/>
      <c r="AF323" s="8" t="s">
        <v>1641</v>
      </c>
      <c r="AG323" s="11">
        <v>39669</v>
      </c>
      <c r="AH323" s="12">
        <f t="shared" ca="1" si="94"/>
        <v>2008</v>
      </c>
      <c r="AI323" s="12">
        <f t="shared" ca="1" si="95"/>
        <v>8</v>
      </c>
      <c r="AJ323" s="12">
        <f t="shared" ca="1" si="96"/>
        <v>9</v>
      </c>
      <c r="AK323" s="8" t="s">
        <v>1767</v>
      </c>
      <c r="AL323" s="8"/>
      <c r="AM323" s="5"/>
      <c r="AN323" s="5"/>
      <c r="AO323" s="8" t="s">
        <v>1768</v>
      </c>
      <c r="AP323" s="12" t="str">
        <f t="shared" ca="1" si="97"/>
        <v>NA</v>
      </c>
      <c r="AQ323" s="12" t="str">
        <f t="shared" ca="1" si="98"/>
        <v>NA</v>
      </c>
      <c r="AR323" s="12" t="str">
        <f t="shared" ca="1" si="99"/>
        <v>NA</v>
      </c>
      <c r="AS323" s="8" t="s">
        <v>1769</v>
      </c>
      <c r="AT323" s="8"/>
      <c r="AU323" s="11">
        <v>34234</v>
      </c>
      <c r="AV323" s="12">
        <f t="shared" ca="1" si="100"/>
        <v>1993</v>
      </c>
      <c r="AW323" s="12">
        <f t="shared" ca="1" si="101"/>
        <v>9</v>
      </c>
      <c r="AX323" s="12">
        <f t="shared" ca="1" si="102"/>
        <v>22</v>
      </c>
      <c r="AY323" s="8" t="s">
        <v>1770</v>
      </c>
      <c r="AZ323" s="8"/>
      <c r="BA323" s="11">
        <v>35608</v>
      </c>
      <c r="BB323" s="12">
        <f t="shared" ca="1" si="103"/>
        <v>1997</v>
      </c>
      <c r="BC323" s="12">
        <f t="shared" ca="1" si="104"/>
        <v>6</v>
      </c>
      <c r="BD323" s="12">
        <f t="shared" ca="1" si="105"/>
        <v>27</v>
      </c>
      <c r="BE323" s="8" t="s">
        <v>1771</v>
      </c>
      <c r="BF323" s="8"/>
      <c r="BG323" s="5"/>
      <c r="BH323" s="12" t="str">
        <f t="shared" ca="1" si="106"/>
        <v>NA</v>
      </c>
      <c r="BI323" s="12" t="str">
        <f t="shared" ca="1" si="107"/>
        <v>NA</v>
      </c>
      <c r="BJ323" s="12" t="str">
        <f t="shared" ca="1" si="108"/>
        <v>NA</v>
      </c>
      <c r="BK323" s="5"/>
      <c r="BL323" s="5"/>
      <c r="BM323" s="12" t="str">
        <f t="shared" ca="1" si="109"/>
        <v>NA</v>
      </c>
      <c r="BN323" s="12" t="str">
        <f t="shared" ca="1" si="110"/>
        <v>NA</v>
      </c>
      <c r="BO323" s="12" t="str">
        <f t="shared" ca="1" si="111"/>
        <v>NA</v>
      </c>
      <c r="BP323" s="5"/>
      <c r="BQ323" s="5"/>
      <c r="BR323" s="5"/>
      <c r="BS323" s="12" t="str">
        <f t="shared" ca="1" si="112"/>
        <v>NA</v>
      </c>
      <c r="BT323" s="12" t="str">
        <f t="shared" ca="1" si="113"/>
        <v>NA</v>
      </c>
      <c r="BU323" s="12" t="str">
        <f t="shared" ca="1" si="114"/>
        <v>NA</v>
      </c>
      <c r="BV323" s="5"/>
      <c r="BW323" s="5"/>
      <c r="BX323" s="12" t="str">
        <f t="shared" ca="1" si="115"/>
        <v>NA</v>
      </c>
      <c r="BY323" s="12" t="str">
        <f t="shared" ca="1" si="116"/>
        <v>NA</v>
      </c>
      <c r="BZ323" s="12" t="str">
        <f t="shared" ca="1" si="117"/>
        <v>NA</v>
      </c>
      <c r="CA323" s="5"/>
    </row>
    <row r="324" spans="1:79" ht="12.75" customHeight="1" x14ac:dyDescent="0.15">
      <c r="A324" s="4">
        <v>1014</v>
      </c>
      <c r="B324" s="5" t="s">
        <v>79</v>
      </c>
      <c r="C324" s="5" t="s">
        <v>79</v>
      </c>
      <c r="D324" s="8" t="s">
        <v>1772</v>
      </c>
      <c r="E324" s="8" t="s">
        <v>1773</v>
      </c>
      <c r="F324" s="8" t="s">
        <v>1774</v>
      </c>
      <c r="G324" s="8"/>
      <c r="H324" s="8"/>
      <c r="I324" s="8"/>
      <c r="J324" s="8"/>
      <c r="K324" s="8"/>
      <c r="L324" s="8" t="s">
        <v>1594</v>
      </c>
      <c r="M324" s="8" t="s">
        <v>1775</v>
      </c>
      <c r="N324" s="8" t="s">
        <v>1776</v>
      </c>
      <c r="O324" s="9" t="s">
        <v>1777</v>
      </c>
      <c r="P324" s="10" t="str">
        <f t="shared" ca="1" si="84"/>
        <v>NA</v>
      </c>
      <c r="Q324" s="5" t="str">
        <f t="shared" ca="1" si="85"/>
        <v>NA</v>
      </c>
      <c r="R324" s="5" t="str">
        <f t="shared" ca="1" si="86"/>
        <v>NA</v>
      </c>
      <c r="S324" s="7" t="str">
        <f t="shared" ca="1" si="87"/>
        <v>NA</v>
      </c>
      <c r="T324" s="7" t="str">
        <f t="shared" ca="1" si="88"/>
        <v>NA</v>
      </c>
      <c r="U324" s="7" t="str">
        <f t="shared" ca="1" si="89"/>
        <v>NA</v>
      </c>
      <c r="V324" s="8" t="s">
        <v>1640</v>
      </c>
      <c r="W324" s="14" t="s">
        <v>96</v>
      </c>
      <c r="X324" s="8" t="s">
        <v>1641</v>
      </c>
      <c r="Y324" s="5">
        <f t="shared" ca="1" si="121"/>
        <v>1</v>
      </c>
      <c r="Z324" s="8" t="s">
        <v>1778</v>
      </c>
      <c r="AA324" s="12" t="str">
        <f t="shared" ca="1" si="91"/>
        <v>NA</v>
      </c>
      <c r="AB324" s="12" t="str">
        <f t="shared" ca="1" si="92"/>
        <v>NA</v>
      </c>
      <c r="AC324" s="12" t="str">
        <f t="shared" ca="1" si="93"/>
        <v>NA</v>
      </c>
      <c r="AD324" s="8" t="s">
        <v>1640</v>
      </c>
      <c r="AE324" s="5"/>
      <c r="AF324" s="8" t="s">
        <v>1641</v>
      </c>
      <c r="AG324" s="16">
        <v>35064</v>
      </c>
      <c r="AH324" s="12">
        <f t="shared" ca="1" si="94"/>
        <v>1995</v>
      </c>
      <c r="AI324" s="12">
        <f t="shared" ca="1" si="95"/>
        <v>12</v>
      </c>
      <c r="AJ324" s="12">
        <f t="shared" ca="1" si="96"/>
        <v>31</v>
      </c>
      <c r="AK324" s="6" t="s">
        <v>1779</v>
      </c>
      <c r="AL324" s="8" t="s">
        <v>264</v>
      </c>
      <c r="AM324" s="5"/>
      <c r="AN324" s="5"/>
      <c r="AO324" s="8" t="s">
        <v>1780</v>
      </c>
      <c r="AP324" s="12" t="str">
        <f t="shared" ca="1" si="97"/>
        <v>NA</v>
      </c>
      <c r="AQ324" s="12" t="str">
        <f t="shared" ca="1" si="98"/>
        <v>NA</v>
      </c>
      <c r="AR324" s="12" t="str">
        <f t="shared" ca="1" si="99"/>
        <v>NA</v>
      </c>
      <c r="AS324" s="8" t="s">
        <v>1781</v>
      </c>
      <c r="AT324" s="8"/>
      <c r="AU324" s="16">
        <v>31898</v>
      </c>
      <c r="AV324" s="12">
        <f t="shared" ca="1" si="100"/>
        <v>1987</v>
      </c>
      <c r="AW324" s="12">
        <f t="shared" ca="1" si="101"/>
        <v>5</v>
      </c>
      <c r="AX324" s="12">
        <f t="shared" ca="1" si="102"/>
        <v>1</v>
      </c>
      <c r="AY324" s="6" t="s">
        <v>1782</v>
      </c>
      <c r="AZ324" s="20" t="s">
        <v>258</v>
      </c>
      <c r="BA324" s="8"/>
      <c r="BB324" s="12" t="str">
        <f t="shared" ca="1" si="103"/>
        <v>NA</v>
      </c>
      <c r="BC324" s="12" t="str">
        <f t="shared" ca="1" si="104"/>
        <v>NA</v>
      </c>
      <c r="BD324" s="12" t="str">
        <f t="shared" ca="1" si="105"/>
        <v>NA</v>
      </c>
      <c r="BE324" s="5"/>
      <c r="BF324" s="5"/>
      <c r="BG324" s="5"/>
      <c r="BH324" s="12" t="str">
        <f t="shared" ca="1" si="106"/>
        <v>NA</v>
      </c>
      <c r="BI324" s="12" t="str">
        <f t="shared" ca="1" si="107"/>
        <v>NA</v>
      </c>
      <c r="BJ324" s="12" t="str">
        <f t="shared" ca="1" si="108"/>
        <v>NA</v>
      </c>
      <c r="BK324" s="5"/>
      <c r="BL324" s="5"/>
      <c r="BM324" s="12" t="str">
        <f t="shared" ca="1" si="109"/>
        <v>NA</v>
      </c>
      <c r="BN324" s="12" t="str">
        <f t="shared" ca="1" si="110"/>
        <v>NA</v>
      </c>
      <c r="BO324" s="12" t="str">
        <f t="shared" ca="1" si="111"/>
        <v>NA</v>
      </c>
      <c r="BP324" s="5"/>
      <c r="BQ324" s="5"/>
      <c r="BR324" s="5"/>
      <c r="BS324" s="12" t="str">
        <f t="shared" ca="1" si="112"/>
        <v>NA</v>
      </c>
      <c r="BT324" s="12" t="str">
        <f t="shared" ca="1" si="113"/>
        <v>NA</v>
      </c>
      <c r="BU324" s="12" t="str">
        <f t="shared" ca="1" si="114"/>
        <v>NA</v>
      </c>
      <c r="BV324" s="5"/>
      <c r="BW324" s="5"/>
      <c r="BX324" s="12" t="str">
        <f t="shared" ca="1" si="115"/>
        <v>NA</v>
      </c>
      <c r="BY324" s="12" t="str">
        <f t="shared" ca="1" si="116"/>
        <v>NA</v>
      </c>
      <c r="BZ324" s="12" t="str">
        <f t="shared" ca="1" si="117"/>
        <v>NA</v>
      </c>
      <c r="CA324" s="5"/>
    </row>
    <row r="325" spans="1:79" ht="12.75" customHeight="1" x14ac:dyDescent="0.15">
      <c r="A325" s="4">
        <v>1015</v>
      </c>
      <c r="B325" s="5" t="s">
        <v>79</v>
      </c>
      <c r="C325" s="5" t="s">
        <v>79</v>
      </c>
      <c r="D325" s="8" t="s">
        <v>1783</v>
      </c>
      <c r="E325" s="8" t="s">
        <v>1784</v>
      </c>
      <c r="F325" s="8" t="s">
        <v>1785</v>
      </c>
      <c r="G325" s="8"/>
      <c r="H325" s="8"/>
      <c r="I325" s="8"/>
      <c r="J325" s="8"/>
      <c r="K325" s="8"/>
      <c r="L325" s="8" t="s">
        <v>1594</v>
      </c>
      <c r="M325" s="8" t="s">
        <v>1786</v>
      </c>
      <c r="N325" s="8" t="s">
        <v>1787</v>
      </c>
      <c r="O325" s="9" t="s">
        <v>1788</v>
      </c>
      <c r="P325" s="10" t="str">
        <f t="shared" ca="1" si="84"/>
        <v>NA</v>
      </c>
      <c r="Q325" s="5" t="str">
        <f t="shared" ca="1" si="85"/>
        <v>NA</v>
      </c>
      <c r="R325" s="5" t="str">
        <f t="shared" ca="1" si="86"/>
        <v>NA</v>
      </c>
      <c r="S325" s="7" t="str">
        <f t="shared" ca="1" si="87"/>
        <v>NA</v>
      </c>
      <c r="T325" s="7" t="str">
        <f t="shared" ca="1" si="88"/>
        <v>NA</v>
      </c>
      <c r="U325" s="7" t="str">
        <f t="shared" ca="1" si="89"/>
        <v>NA</v>
      </c>
      <c r="V325" s="8" t="s">
        <v>1640</v>
      </c>
      <c r="W325" s="14" t="s">
        <v>96</v>
      </c>
      <c r="X325" s="8" t="s">
        <v>1641</v>
      </c>
      <c r="Y325" s="5">
        <f t="shared" ca="1" si="121"/>
        <v>1</v>
      </c>
      <c r="Z325" s="8" t="s">
        <v>1789</v>
      </c>
      <c r="AA325" s="12" t="str">
        <f t="shared" ca="1" si="91"/>
        <v>NA</v>
      </c>
      <c r="AB325" s="12" t="str">
        <f t="shared" ca="1" si="92"/>
        <v>NA</v>
      </c>
      <c r="AC325" s="12" t="str">
        <f t="shared" ca="1" si="93"/>
        <v>NA</v>
      </c>
      <c r="AD325" s="8" t="s">
        <v>1640</v>
      </c>
      <c r="AE325" s="5"/>
      <c r="AF325" s="8" t="s">
        <v>1641</v>
      </c>
      <c r="AG325" s="11">
        <v>34675</v>
      </c>
      <c r="AH325" s="12">
        <f t="shared" ca="1" si="94"/>
        <v>1994</v>
      </c>
      <c r="AI325" s="12">
        <f t="shared" ca="1" si="95"/>
        <v>12</v>
      </c>
      <c r="AJ325" s="12">
        <f t="shared" ca="1" si="96"/>
        <v>7</v>
      </c>
      <c r="AK325" s="8" t="s">
        <v>1790</v>
      </c>
      <c r="AL325" s="8"/>
      <c r="AM325" s="5"/>
      <c r="AN325" s="5"/>
      <c r="AO325" s="8" t="s">
        <v>1791</v>
      </c>
      <c r="AP325" s="12" t="str">
        <f t="shared" ca="1" si="97"/>
        <v>NA</v>
      </c>
      <c r="AQ325" s="12" t="str">
        <f t="shared" ca="1" si="98"/>
        <v>NA</v>
      </c>
      <c r="AR325" s="12" t="str">
        <f t="shared" ca="1" si="99"/>
        <v>NA</v>
      </c>
      <c r="AS325" s="8" t="s">
        <v>1792</v>
      </c>
      <c r="AT325" s="8"/>
      <c r="AU325" s="16">
        <v>31898</v>
      </c>
      <c r="AV325" s="12">
        <f t="shared" ca="1" si="100"/>
        <v>1987</v>
      </c>
      <c r="AW325" s="12">
        <f t="shared" ca="1" si="101"/>
        <v>5</v>
      </c>
      <c r="AX325" s="12">
        <f t="shared" ca="1" si="102"/>
        <v>1</v>
      </c>
      <c r="AY325" s="6" t="s">
        <v>1793</v>
      </c>
      <c r="AZ325" s="20" t="s">
        <v>258</v>
      </c>
      <c r="BA325" s="8"/>
      <c r="BB325" s="12" t="str">
        <f t="shared" ca="1" si="103"/>
        <v>NA</v>
      </c>
      <c r="BC325" s="12" t="str">
        <f t="shared" ca="1" si="104"/>
        <v>NA</v>
      </c>
      <c r="BD325" s="12" t="str">
        <f t="shared" ca="1" si="105"/>
        <v>NA</v>
      </c>
      <c r="BE325" s="5"/>
      <c r="BF325" s="5"/>
      <c r="BG325" s="5"/>
      <c r="BH325" s="12" t="str">
        <f t="shared" ca="1" si="106"/>
        <v>NA</v>
      </c>
      <c r="BI325" s="12" t="str">
        <f t="shared" ca="1" si="107"/>
        <v>NA</v>
      </c>
      <c r="BJ325" s="12" t="str">
        <f t="shared" ca="1" si="108"/>
        <v>NA</v>
      </c>
      <c r="BK325" s="5"/>
      <c r="BL325" s="5"/>
      <c r="BM325" s="12" t="str">
        <f t="shared" ca="1" si="109"/>
        <v>NA</v>
      </c>
      <c r="BN325" s="12" t="str">
        <f t="shared" ca="1" si="110"/>
        <v>NA</v>
      </c>
      <c r="BO325" s="12" t="str">
        <f t="shared" ca="1" si="111"/>
        <v>NA</v>
      </c>
      <c r="BP325" s="5"/>
      <c r="BQ325" s="5"/>
      <c r="BR325" s="5"/>
      <c r="BS325" s="12" t="str">
        <f t="shared" ca="1" si="112"/>
        <v>NA</v>
      </c>
      <c r="BT325" s="12" t="str">
        <f t="shared" ca="1" si="113"/>
        <v>NA</v>
      </c>
      <c r="BU325" s="12" t="str">
        <f t="shared" ca="1" si="114"/>
        <v>NA</v>
      </c>
      <c r="BV325" s="5"/>
      <c r="BW325" s="5"/>
      <c r="BX325" s="12" t="str">
        <f t="shared" ca="1" si="115"/>
        <v>NA</v>
      </c>
      <c r="BY325" s="12" t="str">
        <f t="shared" ca="1" si="116"/>
        <v>NA</v>
      </c>
      <c r="BZ325" s="12" t="str">
        <f t="shared" ca="1" si="117"/>
        <v>NA</v>
      </c>
      <c r="CA325" s="5"/>
    </row>
    <row r="326" spans="1:79" ht="12.75" customHeight="1" x14ac:dyDescent="0.15">
      <c r="A326" s="4">
        <v>1114</v>
      </c>
      <c r="B326" s="5" t="s">
        <v>79</v>
      </c>
      <c r="C326" s="5" t="s">
        <v>79</v>
      </c>
      <c r="D326" s="8" t="s">
        <v>1794</v>
      </c>
      <c r="E326" s="29"/>
      <c r="F326" s="8" t="s">
        <v>1795</v>
      </c>
      <c r="G326" s="8"/>
      <c r="H326" s="8"/>
      <c r="I326" s="8"/>
      <c r="J326" s="8"/>
      <c r="K326" s="8"/>
      <c r="L326" s="8" t="s">
        <v>1594</v>
      </c>
      <c r="M326" s="8" t="s">
        <v>1796</v>
      </c>
      <c r="N326" s="8" t="s">
        <v>1797</v>
      </c>
      <c r="O326" s="9" t="s">
        <v>1798</v>
      </c>
      <c r="P326" s="10" t="str">
        <f t="shared" ca="1" si="84"/>
        <v>NA</v>
      </c>
      <c r="Q326" s="5" t="str">
        <f t="shared" ca="1" si="85"/>
        <v>NA</v>
      </c>
      <c r="R326" s="5" t="str">
        <f t="shared" ca="1" si="86"/>
        <v>NA</v>
      </c>
      <c r="S326" s="7" t="str">
        <f t="shared" ca="1" si="87"/>
        <v>NA</v>
      </c>
      <c r="T326" s="7" t="str">
        <f t="shared" ca="1" si="88"/>
        <v>NA</v>
      </c>
      <c r="U326" s="7" t="str">
        <f t="shared" ca="1" si="89"/>
        <v>NA</v>
      </c>
      <c r="V326" s="8" t="s">
        <v>1640</v>
      </c>
      <c r="W326" s="14" t="s">
        <v>96</v>
      </c>
      <c r="X326" s="8" t="s">
        <v>1641</v>
      </c>
      <c r="Y326" s="5">
        <f t="shared" ca="1" si="121"/>
        <v>1</v>
      </c>
      <c r="Z326" s="8" t="s">
        <v>1799</v>
      </c>
      <c r="AA326" s="12" t="str">
        <f t="shared" ca="1" si="91"/>
        <v>NA</v>
      </c>
      <c r="AB326" s="12" t="str">
        <f t="shared" ca="1" si="92"/>
        <v>NA</v>
      </c>
      <c r="AC326" s="12" t="str">
        <f t="shared" ca="1" si="93"/>
        <v>NA</v>
      </c>
      <c r="AD326" s="8" t="s">
        <v>1640</v>
      </c>
      <c r="AE326" s="5"/>
      <c r="AF326" s="8" t="s">
        <v>1641</v>
      </c>
      <c r="AG326" s="11">
        <v>36545</v>
      </c>
      <c r="AH326" s="12">
        <f t="shared" ca="1" si="94"/>
        <v>2000</v>
      </c>
      <c r="AI326" s="12">
        <f t="shared" ca="1" si="95"/>
        <v>1</v>
      </c>
      <c r="AJ326" s="12">
        <f t="shared" ca="1" si="96"/>
        <v>20</v>
      </c>
      <c r="AK326" s="8" t="s">
        <v>1800</v>
      </c>
      <c r="AL326" s="8"/>
      <c r="AM326" s="5"/>
      <c r="AN326" s="5"/>
      <c r="AO326" s="8" t="s">
        <v>1801</v>
      </c>
      <c r="AP326" s="12" t="str">
        <f t="shared" ca="1" si="97"/>
        <v>NA</v>
      </c>
      <c r="AQ326" s="12" t="str">
        <f t="shared" ca="1" si="98"/>
        <v>NA</v>
      </c>
      <c r="AR326" s="12" t="str">
        <f t="shared" ca="1" si="99"/>
        <v>NA</v>
      </c>
      <c r="AS326" s="8" t="s">
        <v>1802</v>
      </c>
      <c r="AT326" s="8"/>
      <c r="AU326" s="11">
        <v>34856</v>
      </c>
      <c r="AV326" s="12">
        <f t="shared" ca="1" si="100"/>
        <v>1995</v>
      </c>
      <c r="AW326" s="12">
        <f t="shared" ca="1" si="101"/>
        <v>6</v>
      </c>
      <c r="AX326" s="12">
        <f t="shared" ca="1" si="102"/>
        <v>6</v>
      </c>
      <c r="AY326" s="8" t="s">
        <v>1803</v>
      </c>
      <c r="AZ326" s="8"/>
      <c r="BA326" s="8"/>
      <c r="BB326" s="12" t="str">
        <f t="shared" ca="1" si="103"/>
        <v>NA</v>
      </c>
      <c r="BC326" s="12" t="str">
        <f t="shared" ca="1" si="104"/>
        <v>NA</v>
      </c>
      <c r="BD326" s="12" t="str">
        <f t="shared" ca="1" si="105"/>
        <v>NA</v>
      </c>
      <c r="BE326" s="5"/>
      <c r="BF326" s="5"/>
      <c r="BG326" s="5"/>
      <c r="BH326" s="12" t="str">
        <f t="shared" ca="1" si="106"/>
        <v>NA</v>
      </c>
      <c r="BI326" s="12" t="str">
        <f t="shared" ca="1" si="107"/>
        <v>NA</v>
      </c>
      <c r="BJ326" s="12" t="str">
        <f t="shared" ca="1" si="108"/>
        <v>NA</v>
      </c>
      <c r="BK326" s="5"/>
      <c r="BL326" s="5"/>
      <c r="BM326" s="12" t="str">
        <f t="shared" ca="1" si="109"/>
        <v>NA</v>
      </c>
      <c r="BN326" s="12" t="str">
        <f t="shared" ca="1" si="110"/>
        <v>NA</v>
      </c>
      <c r="BO326" s="12" t="str">
        <f t="shared" ca="1" si="111"/>
        <v>NA</v>
      </c>
      <c r="BP326" s="5"/>
      <c r="BQ326" s="5"/>
      <c r="BR326" s="5"/>
      <c r="BS326" s="12" t="str">
        <f t="shared" ca="1" si="112"/>
        <v>NA</v>
      </c>
      <c r="BT326" s="12" t="str">
        <f t="shared" ca="1" si="113"/>
        <v>NA</v>
      </c>
      <c r="BU326" s="12" t="str">
        <f t="shared" ca="1" si="114"/>
        <v>NA</v>
      </c>
      <c r="BV326" s="5"/>
      <c r="BW326" s="5"/>
      <c r="BX326" s="12" t="str">
        <f t="shared" ca="1" si="115"/>
        <v>NA</v>
      </c>
      <c r="BY326" s="12" t="str">
        <f t="shared" ca="1" si="116"/>
        <v>NA</v>
      </c>
      <c r="BZ326" s="12" t="str">
        <f t="shared" ca="1" si="117"/>
        <v>NA</v>
      </c>
      <c r="CA326" s="5"/>
    </row>
    <row r="327" spans="1:79" ht="12.75" customHeight="1" x14ac:dyDescent="0.15">
      <c r="A327" s="4">
        <v>1007</v>
      </c>
      <c r="B327" s="5" t="s">
        <v>79</v>
      </c>
      <c r="C327" s="5" t="s">
        <v>79</v>
      </c>
      <c r="D327" s="6" t="s">
        <v>1804</v>
      </c>
      <c r="E327" s="7">
        <v>1926</v>
      </c>
      <c r="F327" s="6" t="s">
        <v>1805</v>
      </c>
      <c r="G327" s="8"/>
      <c r="H327" s="8"/>
      <c r="I327" s="8"/>
      <c r="J327" s="8"/>
      <c r="K327" s="8"/>
      <c r="L327" s="8" t="s">
        <v>1594</v>
      </c>
      <c r="M327" s="6" t="s">
        <v>1806</v>
      </c>
      <c r="N327" s="6" t="s">
        <v>1807</v>
      </c>
      <c r="O327" s="9">
        <v>30376</v>
      </c>
      <c r="P327" s="10">
        <f t="shared" ca="1" si="84"/>
        <v>7.197222222222222</v>
      </c>
      <c r="Q327" s="5">
        <f t="shared" ca="1" si="85"/>
        <v>86</v>
      </c>
      <c r="R327" s="5">
        <f t="shared" ca="1" si="86"/>
        <v>2629</v>
      </c>
      <c r="S327" s="7">
        <f t="shared" ca="1" si="87"/>
        <v>1983</v>
      </c>
      <c r="T327" s="7">
        <f t="shared" ca="1" si="88"/>
        <v>3</v>
      </c>
      <c r="U327" s="7">
        <f t="shared" ca="1" si="89"/>
        <v>1</v>
      </c>
      <c r="V327" s="8" t="s">
        <v>1640</v>
      </c>
      <c r="W327" s="8" t="s">
        <v>84</v>
      </c>
      <c r="X327" s="8" t="s">
        <v>1641</v>
      </c>
      <c r="Y327" s="5">
        <f t="shared" ca="1" si="121"/>
        <v>2</v>
      </c>
      <c r="Z327" s="8" t="s">
        <v>1808</v>
      </c>
      <c r="AA327" s="12" t="str">
        <f t="shared" ca="1" si="91"/>
        <v>NA</v>
      </c>
      <c r="AB327" s="12" t="str">
        <f t="shared" ca="1" si="92"/>
        <v>NA</v>
      </c>
      <c r="AC327" s="12" t="str">
        <f t="shared" ca="1" si="93"/>
        <v>NA</v>
      </c>
      <c r="AD327" s="8" t="s">
        <v>1640</v>
      </c>
      <c r="AE327" s="5"/>
      <c r="AF327" s="8" t="s">
        <v>1641</v>
      </c>
      <c r="AG327" s="11">
        <v>33005</v>
      </c>
      <c r="AH327" s="12">
        <f t="shared" ca="1" si="94"/>
        <v>1990</v>
      </c>
      <c r="AI327" s="12">
        <f t="shared" ca="1" si="95"/>
        <v>5</v>
      </c>
      <c r="AJ327" s="12">
        <f t="shared" ca="1" si="96"/>
        <v>12</v>
      </c>
      <c r="AK327" s="8" t="s">
        <v>1809</v>
      </c>
      <c r="AL327" s="8"/>
      <c r="AM327" s="5"/>
      <c r="AN327" s="5"/>
      <c r="AO327" s="11">
        <v>31472</v>
      </c>
      <c r="AP327" s="12">
        <f t="shared" ca="1" si="97"/>
        <v>1986</v>
      </c>
      <c r="AQ327" s="12">
        <f t="shared" ca="1" si="98"/>
        <v>3</v>
      </c>
      <c r="AR327" s="12">
        <f t="shared" ca="1" si="99"/>
        <v>1</v>
      </c>
      <c r="AS327" s="8" t="s">
        <v>1810</v>
      </c>
      <c r="AT327" s="8"/>
      <c r="AU327" s="11">
        <v>31872</v>
      </c>
      <c r="AV327" s="12">
        <f t="shared" ca="1" si="100"/>
        <v>1987</v>
      </c>
      <c r="AW327" s="12">
        <f t="shared" ca="1" si="101"/>
        <v>4</v>
      </c>
      <c r="AX327" s="12">
        <f t="shared" ca="1" si="102"/>
        <v>5</v>
      </c>
      <c r="AY327" s="8" t="s">
        <v>1811</v>
      </c>
      <c r="AZ327" s="8"/>
      <c r="BA327" s="6"/>
      <c r="BB327" s="12" t="str">
        <f t="shared" ca="1" si="103"/>
        <v>NA</v>
      </c>
      <c r="BC327" s="12" t="str">
        <f t="shared" ca="1" si="104"/>
        <v>NA</v>
      </c>
      <c r="BD327" s="12" t="str">
        <f t="shared" ca="1" si="105"/>
        <v>NA</v>
      </c>
      <c r="BE327" s="5"/>
      <c r="BF327" s="5"/>
      <c r="BG327" s="5"/>
      <c r="BH327" s="12" t="str">
        <f t="shared" ca="1" si="106"/>
        <v>NA</v>
      </c>
      <c r="BI327" s="12" t="str">
        <f t="shared" ca="1" si="107"/>
        <v>NA</v>
      </c>
      <c r="BJ327" s="12" t="str">
        <f t="shared" ca="1" si="108"/>
        <v>NA</v>
      </c>
      <c r="BK327" s="5"/>
      <c r="BL327" s="5"/>
      <c r="BM327" s="12" t="str">
        <f t="shared" ca="1" si="109"/>
        <v>NA</v>
      </c>
      <c r="BN327" s="12" t="str">
        <f t="shared" ca="1" si="110"/>
        <v>NA</v>
      </c>
      <c r="BO327" s="12" t="str">
        <f t="shared" ca="1" si="111"/>
        <v>NA</v>
      </c>
      <c r="BP327" s="5"/>
      <c r="BQ327" s="5"/>
      <c r="BR327" s="5"/>
      <c r="BS327" s="12" t="str">
        <f t="shared" ca="1" si="112"/>
        <v>NA</v>
      </c>
      <c r="BT327" s="12" t="str">
        <f t="shared" ca="1" si="113"/>
        <v>NA</v>
      </c>
      <c r="BU327" s="12" t="str">
        <f t="shared" ca="1" si="114"/>
        <v>NA</v>
      </c>
      <c r="BV327" s="5"/>
      <c r="BW327" s="5"/>
      <c r="BX327" s="12" t="str">
        <f t="shared" ca="1" si="115"/>
        <v>NA</v>
      </c>
      <c r="BY327" s="12" t="str">
        <f t="shared" ca="1" si="116"/>
        <v>NA</v>
      </c>
      <c r="BZ327" s="12" t="str">
        <f t="shared" ca="1" si="117"/>
        <v>NA</v>
      </c>
      <c r="CA327" s="5"/>
    </row>
    <row r="328" spans="1:79" ht="12.75" customHeight="1" x14ac:dyDescent="0.15">
      <c r="A328" s="4">
        <v>1008</v>
      </c>
      <c r="B328" s="5" t="s">
        <v>79</v>
      </c>
      <c r="C328" s="5" t="s">
        <v>79</v>
      </c>
      <c r="D328" s="6" t="s">
        <v>1812</v>
      </c>
      <c r="E328" s="7">
        <v>1930</v>
      </c>
      <c r="F328" s="6" t="s">
        <v>1813</v>
      </c>
      <c r="G328" s="8"/>
      <c r="H328" s="8"/>
      <c r="I328" s="8"/>
      <c r="J328" s="8"/>
      <c r="K328" s="8"/>
      <c r="L328" s="8" t="s">
        <v>1594</v>
      </c>
      <c r="M328" s="6" t="s">
        <v>1814</v>
      </c>
      <c r="N328" s="6" t="s">
        <v>1815</v>
      </c>
      <c r="O328" s="23">
        <v>30376</v>
      </c>
      <c r="P328" s="10">
        <f t="shared" ca="1" si="84"/>
        <v>15.622222222222222</v>
      </c>
      <c r="Q328" s="5">
        <f t="shared" ca="1" si="85"/>
        <v>187</v>
      </c>
      <c r="R328" s="5">
        <f t="shared" ca="1" si="86"/>
        <v>5707</v>
      </c>
      <c r="S328" s="7">
        <f t="shared" ca="1" si="87"/>
        <v>1983</v>
      </c>
      <c r="T328" s="7">
        <f t="shared" ca="1" si="88"/>
        <v>3</v>
      </c>
      <c r="U328" s="7">
        <f t="shared" ca="1" si="89"/>
        <v>1</v>
      </c>
      <c r="V328" s="8" t="s">
        <v>1640</v>
      </c>
      <c r="W328" s="8" t="s">
        <v>84</v>
      </c>
      <c r="X328" s="8" t="s">
        <v>1641</v>
      </c>
      <c r="Y328" s="5">
        <f t="shared" ca="1" si="121"/>
        <v>3</v>
      </c>
      <c r="Z328" s="11">
        <v>30416</v>
      </c>
      <c r="AA328" s="12">
        <f t="shared" ca="1" si="91"/>
        <v>1983</v>
      </c>
      <c r="AB328" s="12">
        <f t="shared" ca="1" si="92"/>
        <v>4</v>
      </c>
      <c r="AC328" s="12">
        <f t="shared" ca="1" si="93"/>
        <v>10</v>
      </c>
      <c r="AD328" s="8" t="s">
        <v>1640</v>
      </c>
      <c r="AE328" s="5"/>
      <c r="AF328" s="8" t="s">
        <v>1641</v>
      </c>
      <c r="AG328" s="11">
        <v>36083</v>
      </c>
      <c r="AH328" s="12">
        <f t="shared" ca="1" si="94"/>
        <v>1998</v>
      </c>
      <c r="AI328" s="12">
        <f t="shared" ca="1" si="95"/>
        <v>10</v>
      </c>
      <c r="AJ328" s="12">
        <f t="shared" ca="1" si="96"/>
        <v>15</v>
      </c>
      <c r="AK328" s="8" t="s">
        <v>1816</v>
      </c>
      <c r="AL328" s="8"/>
      <c r="AM328" s="5"/>
      <c r="AN328" s="5"/>
      <c r="AO328" s="11">
        <v>30834</v>
      </c>
      <c r="AP328" s="12">
        <f t="shared" ca="1" si="97"/>
        <v>1984</v>
      </c>
      <c r="AQ328" s="12">
        <f t="shared" ca="1" si="98"/>
        <v>6</v>
      </c>
      <c r="AR328" s="12">
        <f t="shared" ca="1" si="99"/>
        <v>1</v>
      </c>
      <c r="AS328" s="8" t="s">
        <v>1817</v>
      </c>
      <c r="AT328" s="8"/>
      <c r="AU328" s="11">
        <v>31765</v>
      </c>
      <c r="AV328" s="12">
        <f t="shared" ca="1" si="100"/>
        <v>1986</v>
      </c>
      <c r="AW328" s="12">
        <f t="shared" ca="1" si="101"/>
        <v>12</v>
      </c>
      <c r="AX328" s="12">
        <f t="shared" ca="1" si="102"/>
        <v>19</v>
      </c>
      <c r="AY328" s="8" t="s">
        <v>1818</v>
      </c>
      <c r="AZ328" s="8"/>
      <c r="BA328" s="11">
        <v>31872</v>
      </c>
      <c r="BB328" s="12">
        <f t="shared" ca="1" si="103"/>
        <v>1987</v>
      </c>
      <c r="BC328" s="12">
        <f t="shared" ca="1" si="104"/>
        <v>4</v>
      </c>
      <c r="BD328" s="12">
        <f t="shared" ca="1" si="105"/>
        <v>5</v>
      </c>
      <c r="BE328" s="8" t="s">
        <v>1819</v>
      </c>
      <c r="BF328" s="8"/>
      <c r="BG328" s="5"/>
      <c r="BH328" s="12" t="str">
        <f t="shared" ca="1" si="106"/>
        <v>NA</v>
      </c>
      <c r="BI328" s="12" t="str">
        <f t="shared" ca="1" si="107"/>
        <v>NA</v>
      </c>
      <c r="BJ328" s="12" t="str">
        <f t="shared" ca="1" si="108"/>
        <v>NA</v>
      </c>
      <c r="BK328" s="5"/>
      <c r="BL328" s="5"/>
      <c r="BM328" s="12" t="str">
        <f t="shared" ca="1" si="109"/>
        <v>NA</v>
      </c>
      <c r="BN328" s="12" t="str">
        <f t="shared" ca="1" si="110"/>
        <v>NA</v>
      </c>
      <c r="BO328" s="12" t="str">
        <f t="shared" ca="1" si="111"/>
        <v>NA</v>
      </c>
      <c r="BP328" s="5"/>
      <c r="BQ328" s="5"/>
      <c r="BR328" s="5"/>
      <c r="BS328" s="12" t="str">
        <f t="shared" ca="1" si="112"/>
        <v>NA</v>
      </c>
      <c r="BT328" s="12" t="str">
        <f t="shared" ca="1" si="113"/>
        <v>NA</v>
      </c>
      <c r="BU328" s="12" t="str">
        <f t="shared" ca="1" si="114"/>
        <v>NA</v>
      </c>
      <c r="BV328" s="5"/>
      <c r="BW328" s="5"/>
      <c r="BX328" s="12" t="str">
        <f t="shared" ca="1" si="115"/>
        <v>NA</v>
      </c>
      <c r="BY328" s="12" t="str">
        <f t="shared" ca="1" si="116"/>
        <v>NA</v>
      </c>
      <c r="BZ328" s="12" t="str">
        <f t="shared" ca="1" si="117"/>
        <v>NA</v>
      </c>
      <c r="CA328" s="5"/>
    </row>
    <row r="329" spans="1:79" ht="12.75" customHeight="1" x14ac:dyDescent="0.15">
      <c r="A329" s="4">
        <v>1009</v>
      </c>
      <c r="B329" s="5" t="s">
        <v>79</v>
      </c>
      <c r="C329" s="5" t="s">
        <v>79</v>
      </c>
      <c r="D329" s="8" t="s">
        <v>1820</v>
      </c>
      <c r="E329" s="28">
        <v>1925</v>
      </c>
      <c r="F329" s="8" t="s">
        <v>1821</v>
      </c>
      <c r="G329" s="8"/>
      <c r="H329" s="8"/>
      <c r="I329" s="8"/>
      <c r="J329" s="8"/>
      <c r="K329" s="8"/>
      <c r="L329" s="8" t="s">
        <v>1594</v>
      </c>
      <c r="M329" s="8" t="s">
        <v>1822</v>
      </c>
      <c r="N329" s="8" t="s">
        <v>1823</v>
      </c>
      <c r="O329" s="9" t="s">
        <v>1824</v>
      </c>
      <c r="P329" s="10" t="str">
        <f t="shared" ca="1" si="84"/>
        <v>NA</v>
      </c>
      <c r="Q329" s="5" t="str">
        <f t="shared" ca="1" si="85"/>
        <v>NA</v>
      </c>
      <c r="R329" s="5" t="str">
        <f t="shared" ca="1" si="86"/>
        <v>NA</v>
      </c>
      <c r="S329" s="7" t="str">
        <f t="shared" ca="1" si="87"/>
        <v>NA</v>
      </c>
      <c r="T329" s="7" t="str">
        <f t="shared" ca="1" si="88"/>
        <v>NA</v>
      </c>
      <c r="U329" s="7" t="str">
        <f t="shared" ca="1" si="89"/>
        <v>NA</v>
      </c>
      <c r="V329" s="8" t="s">
        <v>1640</v>
      </c>
      <c r="W329" s="14" t="s">
        <v>96</v>
      </c>
      <c r="X329" s="8" t="s">
        <v>1641</v>
      </c>
      <c r="Y329" s="5">
        <f t="shared" ca="1" si="121"/>
        <v>2</v>
      </c>
      <c r="Z329" s="16">
        <v>30682</v>
      </c>
      <c r="AA329" s="12">
        <f t="shared" ca="1" si="91"/>
        <v>1984</v>
      </c>
      <c r="AB329" s="12">
        <f t="shared" ca="1" si="92"/>
        <v>1</v>
      </c>
      <c r="AC329" s="12">
        <f t="shared" ca="1" si="93"/>
        <v>1</v>
      </c>
      <c r="AD329" s="8" t="s">
        <v>1640</v>
      </c>
      <c r="AE329" s="21" t="s">
        <v>84</v>
      </c>
      <c r="AF329" s="8" t="s">
        <v>1641</v>
      </c>
      <c r="AG329" s="11">
        <v>33144</v>
      </c>
      <c r="AH329" s="12">
        <f t="shared" ca="1" si="94"/>
        <v>1990</v>
      </c>
      <c r="AI329" s="12">
        <f t="shared" ca="1" si="95"/>
        <v>9</v>
      </c>
      <c r="AJ329" s="12">
        <f t="shared" ca="1" si="96"/>
        <v>28</v>
      </c>
      <c r="AK329" s="8" t="s">
        <v>1825</v>
      </c>
      <c r="AL329" s="8"/>
      <c r="AM329" s="5"/>
      <c r="AN329" s="5"/>
      <c r="AO329" s="11">
        <v>31503</v>
      </c>
      <c r="AP329" s="12">
        <f t="shared" ca="1" si="97"/>
        <v>1986</v>
      </c>
      <c r="AQ329" s="12">
        <f t="shared" ca="1" si="98"/>
        <v>4</v>
      </c>
      <c r="AR329" s="12">
        <f t="shared" ca="1" si="99"/>
        <v>1</v>
      </c>
      <c r="AS329" s="8" t="s">
        <v>1826</v>
      </c>
      <c r="AT329" s="8"/>
      <c r="AU329" s="11">
        <v>31872</v>
      </c>
      <c r="AV329" s="12">
        <f t="shared" ca="1" si="100"/>
        <v>1987</v>
      </c>
      <c r="AW329" s="12">
        <f t="shared" ca="1" si="101"/>
        <v>4</v>
      </c>
      <c r="AX329" s="12">
        <f t="shared" ca="1" si="102"/>
        <v>5</v>
      </c>
      <c r="AY329" s="8" t="s">
        <v>1827</v>
      </c>
      <c r="AZ329" s="8"/>
      <c r="BA329" s="8"/>
      <c r="BB329" s="12" t="str">
        <f t="shared" ca="1" si="103"/>
        <v>NA</v>
      </c>
      <c r="BC329" s="12" t="str">
        <f t="shared" ca="1" si="104"/>
        <v>NA</v>
      </c>
      <c r="BD329" s="12" t="str">
        <f t="shared" ca="1" si="105"/>
        <v>NA</v>
      </c>
      <c r="BE329" s="5"/>
      <c r="BF329" s="5"/>
      <c r="BG329" s="5"/>
      <c r="BH329" s="12" t="str">
        <f t="shared" ca="1" si="106"/>
        <v>NA</v>
      </c>
      <c r="BI329" s="12" t="str">
        <f t="shared" ca="1" si="107"/>
        <v>NA</v>
      </c>
      <c r="BJ329" s="12" t="str">
        <f t="shared" ca="1" si="108"/>
        <v>NA</v>
      </c>
      <c r="BK329" s="5"/>
      <c r="BL329" s="5"/>
      <c r="BM329" s="12" t="str">
        <f t="shared" ca="1" si="109"/>
        <v>NA</v>
      </c>
      <c r="BN329" s="12" t="str">
        <f t="shared" ca="1" si="110"/>
        <v>NA</v>
      </c>
      <c r="BO329" s="12" t="str">
        <f t="shared" ca="1" si="111"/>
        <v>NA</v>
      </c>
      <c r="BP329" s="5"/>
      <c r="BQ329" s="5"/>
      <c r="BR329" s="5"/>
      <c r="BS329" s="12" t="str">
        <f t="shared" ca="1" si="112"/>
        <v>NA</v>
      </c>
      <c r="BT329" s="12" t="str">
        <f t="shared" ca="1" si="113"/>
        <v>NA</v>
      </c>
      <c r="BU329" s="12" t="str">
        <f t="shared" ca="1" si="114"/>
        <v>NA</v>
      </c>
      <c r="BV329" s="5"/>
      <c r="BW329" s="5"/>
      <c r="BX329" s="12" t="str">
        <f t="shared" ca="1" si="115"/>
        <v>NA</v>
      </c>
      <c r="BY329" s="12" t="str">
        <f t="shared" ca="1" si="116"/>
        <v>NA</v>
      </c>
      <c r="BZ329" s="12" t="str">
        <f t="shared" ca="1" si="117"/>
        <v>NA</v>
      </c>
      <c r="CA329" s="5"/>
    </row>
    <row r="330" spans="1:79" ht="12.75" customHeight="1" x14ac:dyDescent="0.15">
      <c r="A330" s="4">
        <v>1010</v>
      </c>
      <c r="B330" s="5" t="s">
        <v>79</v>
      </c>
      <c r="C330" s="5" t="s">
        <v>79</v>
      </c>
      <c r="D330" s="6" t="s">
        <v>1828</v>
      </c>
      <c r="E330" s="7">
        <v>1928</v>
      </c>
      <c r="F330" s="6" t="s">
        <v>1829</v>
      </c>
      <c r="G330" s="8"/>
      <c r="H330" s="8"/>
      <c r="I330" s="8"/>
      <c r="J330" s="8"/>
      <c r="K330" s="8"/>
      <c r="L330" s="8" t="s">
        <v>1594</v>
      </c>
      <c r="M330" s="6" t="s">
        <v>1830</v>
      </c>
      <c r="N330" s="6" t="s">
        <v>1831</v>
      </c>
      <c r="O330" s="9">
        <v>30682</v>
      </c>
      <c r="P330" s="10">
        <f t="shared" ca="1" si="84"/>
        <v>9.2972222222222225</v>
      </c>
      <c r="Q330" s="5">
        <f t="shared" ca="1" si="85"/>
        <v>111</v>
      </c>
      <c r="R330" s="5">
        <f t="shared" ca="1" si="86"/>
        <v>3395</v>
      </c>
      <c r="S330" s="7">
        <f t="shared" ca="1" si="87"/>
        <v>1984</v>
      </c>
      <c r="T330" s="7">
        <f t="shared" ca="1" si="88"/>
        <v>1</v>
      </c>
      <c r="U330" s="7">
        <f t="shared" ca="1" si="89"/>
        <v>1</v>
      </c>
      <c r="V330" s="8" t="s">
        <v>1640</v>
      </c>
      <c r="W330" s="8" t="s">
        <v>84</v>
      </c>
      <c r="X330" s="8" t="s">
        <v>1641</v>
      </c>
      <c r="Y330" s="5">
        <f t="shared" ca="1" si="121"/>
        <v>2</v>
      </c>
      <c r="Z330" s="16">
        <v>30682</v>
      </c>
      <c r="AA330" s="12">
        <f t="shared" ca="1" si="91"/>
        <v>1984</v>
      </c>
      <c r="AB330" s="12">
        <f t="shared" ca="1" si="92"/>
        <v>1</v>
      </c>
      <c r="AC330" s="12">
        <f t="shared" ca="1" si="93"/>
        <v>1</v>
      </c>
      <c r="AD330" s="8" t="s">
        <v>1640</v>
      </c>
      <c r="AE330" s="21" t="s">
        <v>84</v>
      </c>
      <c r="AF330" s="8" t="s">
        <v>1641</v>
      </c>
      <c r="AG330" s="11">
        <v>34077</v>
      </c>
      <c r="AH330" s="12">
        <f t="shared" ca="1" si="94"/>
        <v>1993</v>
      </c>
      <c r="AI330" s="12">
        <f t="shared" ca="1" si="95"/>
        <v>4</v>
      </c>
      <c r="AJ330" s="12">
        <f t="shared" ca="1" si="96"/>
        <v>18</v>
      </c>
      <c r="AK330" s="8" t="s">
        <v>1832</v>
      </c>
      <c r="AL330" s="8"/>
      <c r="AM330" s="5"/>
      <c r="AN330" s="5"/>
      <c r="AO330" s="11">
        <v>31503</v>
      </c>
      <c r="AP330" s="12">
        <f t="shared" ca="1" si="97"/>
        <v>1986</v>
      </c>
      <c r="AQ330" s="12">
        <f t="shared" ca="1" si="98"/>
        <v>4</v>
      </c>
      <c r="AR330" s="12">
        <f t="shared" ca="1" si="99"/>
        <v>1</v>
      </c>
      <c r="AS330" s="8" t="s">
        <v>1833</v>
      </c>
      <c r="AT330" s="8"/>
      <c r="AU330" s="11">
        <v>31872</v>
      </c>
      <c r="AV330" s="12">
        <f t="shared" ca="1" si="100"/>
        <v>1987</v>
      </c>
      <c r="AW330" s="12">
        <f t="shared" ca="1" si="101"/>
        <v>4</v>
      </c>
      <c r="AX330" s="12">
        <f t="shared" ca="1" si="102"/>
        <v>5</v>
      </c>
      <c r="AY330" s="8" t="s">
        <v>1834</v>
      </c>
      <c r="AZ330" s="8"/>
      <c r="BA330" s="6"/>
      <c r="BB330" s="12" t="str">
        <f t="shared" ca="1" si="103"/>
        <v>NA</v>
      </c>
      <c r="BC330" s="12" t="str">
        <f t="shared" ca="1" si="104"/>
        <v>NA</v>
      </c>
      <c r="BD330" s="12" t="str">
        <f t="shared" ca="1" si="105"/>
        <v>NA</v>
      </c>
      <c r="BE330" s="5"/>
      <c r="BF330" s="5"/>
      <c r="BG330" s="5"/>
      <c r="BH330" s="12" t="str">
        <f t="shared" ca="1" si="106"/>
        <v>NA</v>
      </c>
      <c r="BI330" s="12" t="str">
        <f t="shared" ca="1" si="107"/>
        <v>NA</v>
      </c>
      <c r="BJ330" s="12" t="str">
        <f t="shared" ca="1" si="108"/>
        <v>NA</v>
      </c>
      <c r="BK330" s="5"/>
      <c r="BL330" s="5"/>
      <c r="BM330" s="12" t="str">
        <f t="shared" ca="1" si="109"/>
        <v>NA</v>
      </c>
      <c r="BN330" s="12" t="str">
        <f t="shared" ca="1" si="110"/>
        <v>NA</v>
      </c>
      <c r="BO330" s="12" t="str">
        <f t="shared" ca="1" si="111"/>
        <v>NA</v>
      </c>
      <c r="BP330" s="5"/>
      <c r="BQ330" s="5"/>
      <c r="BR330" s="5"/>
      <c r="BS330" s="12" t="str">
        <f t="shared" ca="1" si="112"/>
        <v>NA</v>
      </c>
      <c r="BT330" s="12" t="str">
        <f t="shared" ca="1" si="113"/>
        <v>NA</v>
      </c>
      <c r="BU330" s="12" t="str">
        <f t="shared" ca="1" si="114"/>
        <v>NA</v>
      </c>
      <c r="BV330" s="5"/>
      <c r="BW330" s="5"/>
      <c r="BX330" s="12" t="str">
        <f t="shared" ca="1" si="115"/>
        <v>NA</v>
      </c>
      <c r="BY330" s="12" t="str">
        <f t="shared" ca="1" si="116"/>
        <v>NA</v>
      </c>
      <c r="BZ330" s="12" t="str">
        <f t="shared" ca="1" si="117"/>
        <v>NA</v>
      </c>
      <c r="CA330" s="5"/>
    </row>
    <row r="331" spans="1:79" ht="12.75" customHeight="1" x14ac:dyDescent="0.15">
      <c r="A331" s="4">
        <v>1011</v>
      </c>
      <c r="B331" s="5" t="s">
        <v>79</v>
      </c>
      <c r="C331" s="5" t="s">
        <v>79</v>
      </c>
      <c r="D331" s="6" t="s">
        <v>1835</v>
      </c>
      <c r="E331" s="7">
        <v>1931</v>
      </c>
      <c r="F331" s="6" t="s">
        <v>1836</v>
      </c>
      <c r="G331" s="8"/>
      <c r="H331" s="8"/>
      <c r="I331" s="8"/>
      <c r="J331" s="8"/>
      <c r="K331" s="8"/>
      <c r="L331" s="8" t="s">
        <v>1594</v>
      </c>
      <c r="M331" s="6" t="s">
        <v>1837</v>
      </c>
      <c r="N331" s="6" t="s">
        <v>1838</v>
      </c>
      <c r="O331" s="9">
        <v>30682</v>
      </c>
      <c r="P331" s="10">
        <f t="shared" ca="1" si="84"/>
        <v>5.3833333333333337</v>
      </c>
      <c r="Q331" s="5">
        <f t="shared" ca="1" si="85"/>
        <v>64</v>
      </c>
      <c r="R331" s="5">
        <f t="shared" ca="1" si="86"/>
        <v>1965</v>
      </c>
      <c r="S331" s="7">
        <f t="shared" ca="1" si="87"/>
        <v>1984</v>
      </c>
      <c r="T331" s="7">
        <f t="shared" ca="1" si="88"/>
        <v>1</v>
      </c>
      <c r="U331" s="7">
        <f t="shared" ca="1" si="89"/>
        <v>1</v>
      </c>
      <c r="V331" s="8" t="s">
        <v>1640</v>
      </c>
      <c r="W331" s="8" t="s">
        <v>84</v>
      </c>
      <c r="X331" s="8" t="s">
        <v>1641</v>
      </c>
      <c r="Y331" s="5">
        <f t="shared" ca="1" si="121"/>
        <v>2</v>
      </c>
      <c r="Z331" s="16">
        <v>30682</v>
      </c>
      <c r="AA331" s="12">
        <f t="shared" ca="1" si="91"/>
        <v>1984</v>
      </c>
      <c r="AB331" s="12">
        <f t="shared" ca="1" si="92"/>
        <v>1</v>
      </c>
      <c r="AC331" s="12">
        <f t="shared" ca="1" si="93"/>
        <v>1</v>
      </c>
      <c r="AD331" s="8" t="s">
        <v>1640</v>
      </c>
      <c r="AE331" s="21" t="s">
        <v>84</v>
      </c>
      <c r="AF331" s="8" t="s">
        <v>1641</v>
      </c>
      <c r="AG331" s="11">
        <v>32647</v>
      </c>
      <c r="AH331" s="12">
        <f t="shared" ca="1" si="94"/>
        <v>1989</v>
      </c>
      <c r="AI331" s="12">
        <f t="shared" ca="1" si="95"/>
        <v>5</v>
      </c>
      <c r="AJ331" s="12">
        <f t="shared" ca="1" si="96"/>
        <v>19</v>
      </c>
      <c r="AK331" s="8" t="s">
        <v>1839</v>
      </c>
      <c r="AL331" s="8"/>
      <c r="AM331" s="5"/>
      <c r="AN331" s="5"/>
      <c r="AO331" s="11">
        <v>31344</v>
      </c>
      <c r="AP331" s="12">
        <f t="shared" ca="1" si="97"/>
        <v>1985</v>
      </c>
      <c r="AQ331" s="12">
        <f t="shared" ca="1" si="98"/>
        <v>10</v>
      </c>
      <c r="AR331" s="12">
        <f t="shared" ca="1" si="99"/>
        <v>24</v>
      </c>
      <c r="AS331" s="8" t="s">
        <v>1840</v>
      </c>
      <c r="AT331" s="8"/>
      <c r="AU331" s="11">
        <v>31872</v>
      </c>
      <c r="AV331" s="12">
        <f t="shared" ca="1" si="100"/>
        <v>1987</v>
      </c>
      <c r="AW331" s="12">
        <f t="shared" ca="1" si="101"/>
        <v>4</v>
      </c>
      <c r="AX331" s="12">
        <f t="shared" ca="1" si="102"/>
        <v>5</v>
      </c>
      <c r="AY331" s="8" t="s">
        <v>1841</v>
      </c>
      <c r="AZ331" s="8"/>
      <c r="BA331" s="6"/>
      <c r="BB331" s="12" t="str">
        <f t="shared" ca="1" si="103"/>
        <v>NA</v>
      </c>
      <c r="BC331" s="12" t="str">
        <f t="shared" ca="1" si="104"/>
        <v>NA</v>
      </c>
      <c r="BD331" s="12" t="str">
        <f t="shared" ca="1" si="105"/>
        <v>NA</v>
      </c>
      <c r="BE331" s="5"/>
      <c r="BF331" s="5"/>
      <c r="BG331" s="5"/>
      <c r="BH331" s="12" t="str">
        <f t="shared" ca="1" si="106"/>
        <v>NA</v>
      </c>
      <c r="BI331" s="12" t="str">
        <f t="shared" ca="1" si="107"/>
        <v>NA</v>
      </c>
      <c r="BJ331" s="12" t="str">
        <f t="shared" ca="1" si="108"/>
        <v>NA</v>
      </c>
      <c r="BK331" s="5"/>
      <c r="BL331" s="5"/>
      <c r="BM331" s="12" t="str">
        <f t="shared" ca="1" si="109"/>
        <v>NA</v>
      </c>
      <c r="BN331" s="12" t="str">
        <f t="shared" ca="1" si="110"/>
        <v>NA</v>
      </c>
      <c r="BO331" s="12" t="str">
        <f t="shared" ca="1" si="111"/>
        <v>NA</v>
      </c>
      <c r="BP331" s="5"/>
      <c r="BQ331" s="5"/>
      <c r="BR331" s="5"/>
      <c r="BS331" s="12" t="str">
        <f t="shared" ca="1" si="112"/>
        <v>NA</v>
      </c>
      <c r="BT331" s="12" t="str">
        <f t="shared" ca="1" si="113"/>
        <v>NA</v>
      </c>
      <c r="BU331" s="12" t="str">
        <f t="shared" ca="1" si="114"/>
        <v>NA</v>
      </c>
      <c r="BV331" s="5"/>
      <c r="BW331" s="5"/>
      <c r="BX331" s="12" t="str">
        <f t="shared" ca="1" si="115"/>
        <v>NA</v>
      </c>
      <c r="BY331" s="12" t="str">
        <f t="shared" ca="1" si="116"/>
        <v>NA</v>
      </c>
      <c r="BZ331" s="12" t="str">
        <f t="shared" ca="1" si="117"/>
        <v>NA</v>
      </c>
      <c r="CA331" s="5"/>
    </row>
    <row r="332" spans="1:79" ht="12.75" customHeight="1" x14ac:dyDescent="0.15">
      <c r="A332" s="4">
        <v>1012</v>
      </c>
      <c r="B332" s="5" t="s">
        <v>79</v>
      </c>
      <c r="C332" s="5" t="s">
        <v>79</v>
      </c>
      <c r="D332" s="6" t="s">
        <v>1842</v>
      </c>
      <c r="E332" s="7">
        <v>1932</v>
      </c>
      <c r="F332" s="6" t="s">
        <v>1843</v>
      </c>
      <c r="G332" s="8"/>
      <c r="H332" s="8"/>
      <c r="I332" s="8"/>
      <c r="J332" s="8"/>
      <c r="K332" s="8"/>
      <c r="L332" s="8" t="s">
        <v>1594</v>
      </c>
      <c r="M332" s="6" t="s">
        <v>1844</v>
      </c>
      <c r="N332" s="6" t="s">
        <v>1845</v>
      </c>
      <c r="O332" s="9">
        <v>30682</v>
      </c>
      <c r="P332" s="10">
        <f t="shared" ca="1" si="84"/>
        <v>14.555555555555555</v>
      </c>
      <c r="Q332" s="5">
        <f t="shared" ca="1" si="85"/>
        <v>174</v>
      </c>
      <c r="R332" s="5">
        <f t="shared" ca="1" si="86"/>
        <v>5315</v>
      </c>
      <c r="S332" s="7">
        <f t="shared" ca="1" si="87"/>
        <v>1984</v>
      </c>
      <c r="T332" s="7">
        <f t="shared" ca="1" si="88"/>
        <v>1</v>
      </c>
      <c r="U332" s="7">
        <f t="shared" ca="1" si="89"/>
        <v>1</v>
      </c>
      <c r="V332" s="8" t="s">
        <v>1640</v>
      </c>
      <c r="W332" s="8" t="s">
        <v>84</v>
      </c>
      <c r="X332" s="8" t="s">
        <v>1641</v>
      </c>
      <c r="Y332" s="5">
        <f t="shared" ca="1" si="121"/>
        <v>2</v>
      </c>
      <c r="Z332" s="16">
        <v>30682</v>
      </c>
      <c r="AA332" s="12">
        <f t="shared" ca="1" si="91"/>
        <v>1984</v>
      </c>
      <c r="AB332" s="12">
        <f t="shared" ca="1" si="92"/>
        <v>1</v>
      </c>
      <c r="AC332" s="12">
        <f t="shared" ca="1" si="93"/>
        <v>1</v>
      </c>
      <c r="AD332" s="8" t="s">
        <v>1640</v>
      </c>
      <c r="AE332" s="21" t="s">
        <v>84</v>
      </c>
      <c r="AF332" s="8" t="s">
        <v>1641</v>
      </c>
      <c r="AG332" s="11">
        <v>35997</v>
      </c>
      <c r="AH332" s="12">
        <f t="shared" ca="1" si="94"/>
        <v>1998</v>
      </c>
      <c r="AI332" s="12">
        <f t="shared" ca="1" si="95"/>
        <v>7</v>
      </c>
      <c r="AJ332" s="12">
        <f t="shared" ca="1" si="96"/>
        <v>21</v>
      </c>
      <c r="AK332" s="8" t="s">
        <v>1846</v>
      </c>
      <c r="AL332" s="8"/>
      <c r="AM332" s="5"/>
      <c r="AN332" s="5"/>
      <c r="AO332" s="11">
        <v>31503</v>
      </c>
      <c r="AP332" s="12">
        <f t="shared" ca="1" si="97"/>
        <v>1986</v>
      </c>
      <c r="AQ332" s="12">
        <f t="shared" ca="1" si="98"/>
        <v>4</v>
      </c>
      <c r="AR332" s="12">
        <f t="shared" ca="1" si="99"/>
        <v>1</v>
      </c>
      <c r="AS332" s="8" t="s">
        <v>1847</v>
      </c>
      <c r="AT332" s="8"/>
      <c r="AU332" s="11">
        <v>31872</v>
      </c>
      <c r="AV332" s="12">
        <f t="shared" ca="1" si="100"/>
        <v>1987</v>
      </c>
      <c r="AW332" s="12">
        <f t="shared" ca="1" si="101"/>
        <v>4</v>
      </c>
      <c r="AX332" s="12">
        <f t="shared" ca="1" si="102"/>
        <v>5</v>
      </c>
      <c r="AY332" s="8" t="s">
        <v>1848</v>
      </c>
      <c r="AZ332" s="8"/>
      <c r="BA332" s="6"/>
      <c r="BB332" s="12" t="str">
        <f t="shared" ca="1" si="103"/>
        <v>NA</v>
      </c>
      <c r="BC332" s="12" t="str">
        <f t="shared" ca="1" si="104"/>
        <v>NA</v>
      </c>
      <c r="BD332" s="12" t="str">
        <f t="shared" ca="1" si="105"/>
        <v>NA</v>
      </c>
      <c r="BE332" s="5"/>
      <c r="BF332" s="5"/>
      <c r="BG332" s="5"/>
      <c r="BH332" s="12" t="str">
        <f t="shared" ca="1" si="106"/>
        <v>NA</v>
      </c>
      <c r="BI332" s="12" t="str">
        <f t="shared" ca="1" si="107"/>
        <v>NA</v>
      </c>
      <c r="BJ332" s="12" t="str">
        <f t="shared" ca="1" si="108"/>
        <v>NA</v>
      </c>
      <c r="BK332" s="5"/>
      <c r="BL332" s="5"/>
      <c r="BM332" s="12" t="str">
        <f t="shared" ca="1" si="109"/>
        <v>NA</v>
      </c>
      <c r="BN332" s="12" t="str">
        <f t="shared" ca="1" si="110"/>
        <v>NA</v>
      </c>
      <c r="BO332" s="12" t="str">
        <f t="shared" ca="1" si="111"/>
        <v>NA</v>
      </c>
      <c r="BP332" s="5"/>
      <c r="BQ332" s="5"/>
      <c r="BR332" s="5"/>
      <c r="BS332" s="12" t="str">
        <f t="shared" ca="1" si="112"/>
        <v>NA</v>
      </c>
      <c r="BT332" s="12" t="str">
        <f t="shared" ca="1" si="113"/>
        <v>NA</v>
      </c>
      <c r="BU332" s="12" t="str">
        <f t="shared" ca="1" si="114"/>
        <v>NA</v>
      </c>
      <c r="BV332" s="5"/>
      <c r="BW332" s="5"/>
      <c r="BX332" s="12" t="str">
        <f t="shared" ca="1" si="115"/>
        <v>NA</v>
      </c>
      <c r="BY332" s="12" t="str">
        <f t="shared" ca="1" si="116"/>
        <v>NA</v>
      </c>
      <c r="BZ332" s="12" t="str">
        <f t="shared" ca="1" si="117"/>
        <v>NA</v>
      </c>
      <c r="CA332" s="5"/>
    </row>
    <row r="333" spans="1:79" ht="12.75" customHeight="1" x14ac:dyDescent="0.15">
      <c r="A333" s="4">
        <v>1023</v>
      </c>
      <c r="B333" s="5" t="s">
        <v>79</v>
      </c>
      <c r="C333" s="5" t="s">
        <v>79</v>
      </c>
      <c r="D333" s="6" t="s">
        <v>1849</v>
      </c>
      <c r="E333" s="7">
        <v>1929</v>
      </c>
      <c r="F333" s="6" t="s">
        <v>1850</v>
      </c>
      <c r="G333" s="8"/>
      <c r="H333" s="8"/>
      <c r="I333" s="8"/>
      <c r="J333" s="8"/>
      <c r="K333" s="8"/>
      <c r="L333" s="8" t="s">
        <v>1594</v>
      </c>
      <c r="M333" s="6" t="s">
        <v>1851</v>
      </c>
      <c r="N333" s="6" t="s">
        <v>1852</v>
      </c>
      <c r="O333" s="9">
        <v>31107</v>
      </c>
      <c r="P333" s="10">
        <f t="shared" ca="1" si="84"/>
        <v>11.25</v>
      </c>
      <c r="Q333" s="5">
        <f t="shared" ca="1" si="85"/>
        <v>134</v>
      </c>
      <c r="R333" s="5">
        <f t="shared" ca="1" si="86"/>
        <v>4109</v>
      </c>
      <c r="S333" s="7">
        <f t="shared" ca="1" si="87"/>
        <v>1985</v>
      </c>
      <c r="T333" s="7">
        <f t="shared" ca="1" si="88"/>
        <v>3</v>
      </c>
      <c r="U333" s="7">
        <f t="shared" ca="1" si="89"/>
        <v>1</v>
      </c>
      <c r="V333" s="8" t="s">
        <v>1640</v>
      </c>
      <c r="W333" s="8" t="s">
        <v>84</v>
      </c>
      <c r="X333" s="8" t="s">
        <v>1641</v>
      </c>
      <c r="Y333" s="5">
        <f t="shared" ca="1" si="121"/>
        <v>2</v>
      </c>
      <c r="Z333" s="8" t="s">
        <v>1853</v>
      </c>
      <c r="AA333" s="12" t="str">
        <f t="shared" ca="1" si="91"/>
        <v>NA</v>
      </c>
      <c r="AB333" s="12" t="str">
        <f t="shared" ca="1" si="92"/>
        <v>NA</v>
      </c>
      <c r="AC333" s="12" t="str">
        <f t="shared" ca="1" si="93"/>
        <v>NA</v>
      </c>
      <c r="AD333" s="8" t="s">
        <v>1640</v>
      </c>
      <c r="AE333" s="5"/>
      <c r="AF333" s="8" t="s">
        <v>1641</v>
      </c>
      <c r="AG333" s="11">
        <v>35216</v>
      </c>
      <c r="AH333" s="12">
        <f t="shared" ca="1" si="94"/>
        <v>1996</v>
      </c>
      <c r="AI333" s="12">
        <f t="shared" ca="1" si="95"/>
        <v>5</v>
      </c>
      <c r="AJ333" s="12">
        <f t="shared" ca="1" si="96"/>
        <v>31</v>
      </c>
      <c r="AK333" s="8" t="s">
        <v>1854</v>
      </c>
      <c r="AL333" s="8"/>
      <c r="AM333" s="5"/>
      <c r="AN333" s="5"/>
      <c r="AO333" s="11">
        <v>31765</v>
      </c>
      <c r="AP333" s="12">
        <f t="shared" ca="1" si="97"/>
        <v>1986</v>
      </c>
      <c r="AQ333" s="12">
        <f t="shared" ca="1" si="98"/>
        <v>12</v>
      </c>
      <c r="AR333" s="12">
        <f t="shared" ca="1" si="99"/>
        <v>19</v>
      </c>
      <c r="AS333" s="8" t="s">
        <v>1855</v>
      </c>
      <c r="AT333" s="8"/>
      <c r="AU333" s="11">
        <v>31872</v>
      </c>
      <c r="AV333" s="12">
        <f t="shared" ca="1" si="100"/>
        <v>1987</v>
      </c>
      <c r="AW333" s="12">
        <f t="shared" ca="1" si="101"/>
        <v>4</v>
      </c>
      <c r="AX333" s="12">
        <f t="shared" ca="1" si="102"/>
        <v>5</v>
      </c>
      <c r="AY333" s="8" t="s">
        <v>1856</v>
      </c>
      <c r="AZ333" s="8"/>
      <c r="BA333" s="6"/>
      <c r="BB333" s="12" t="str">
        <f t="shared" ca="1" si="103"/>
        <v>NA</v>
      </c>
      <c r="BC333" s="12" t="str">
        <f t="shared" ca="1" si="104"/>
        <v>NA</v>
      </c>
      <c r="BD333" s="12" t="str">
        <f t="shared" ca="1" si="105"/>
        <v>NA</v>
      </c>
      <c r="BE333" s="5"/>
      <c r="BF333" s="5"/>
      <c r="BG333" s="5"/>
      <c r="BH333" s="12" t="str">
        <f t="shared" ca="1" si="106"/>
        <v>NA</v>
      </c>
      <c r="BI333" s="12" t="str">
        <f t="shared" ca="1" si="107"/>
        <v>NA</v>
      </c>
      <c r="BJ333" s="12" t="str">
        <f t="shared" ca="1" si="108"/>
        <v>NA</v>
      </c>
      <c r="BK333" s="5"/>
      <c r="BL333" s="5"/>
      <c r="BM333" s="12" t="str">
        <f t="shared" ca="1" si="109"/>
        <v>NA</v>
      </c>
      <c r="BN333" s="12" t="str">
        <f t="shared" ca="1" si="110"/>
        <v>NA</v>
      </c>
      <c r="BO333" s="12" t="str">
        <f t="shared" ca="1" si="111"/>
        <v>NA</v>
      </c>
      <c r="BP333" s="5"/>
      <c r="BQ333" s="5"/>
      <c r="BR333" s="5"/>
      <c r="BS333" s="12" t="str">
        <f t="shared" ca="1" si="112"/>
        <v>NA</v>
      </c>
      <c r="BT333" s="12" t="str">
        <f t="shared" ca="1" si="113"/>
        <v>NA</v>
      </c>
      <c r="BU333" s="12" t="str">
        <f t="shared" ca="1" si="114"/>
        <v>NA</v>
      </c>
      <c r="BV333" s="5"/>
      <c r="BW333" s="5"/>
      <c r="BX333" s="12" t="str">
        <f t="shared" ca="1" si="115"/>
        <v>NA</v>
      </c>
      <c r="BY333" s="12" t="str">
        <f t="shared" ca="1" si="116"/>
        <v>NA</v>
      </c>
      <c r="BZ333" s="12" t="str">
        <f t="shared" ca="1" si="117"/>
        <v>NA</v>
      </c>
      <c r="CA333" s="5"/>
    </row>
    <row r="334" spans="1:79" ht="12.75" customHeight="1" x14ac:dyDescent="0.15">
      <c r="A334" s="4">
        <v>2420</v>
      </c>
      <c r="B334" s="5" t="s">
        <v>79</v>
      </c>
      <c r="C334" s="5" t="s">
        <v>79</v>
      </c>
      <c r="D334" s="6" t="s">
        <v>1857</v>
      </c>
      <c r="E334" s="7">
        <v>2926</v>
      </c>
      <c r="F334" s="6" t="s">
        <v>1858</v>
      </c>
      <c r="G334" s="8"/>
      <c r="H334" s="8"/>
      <c r="I334" s="8"/>
      <c r="J334" s="8"/>
      <c r="K334" s="8"/>
      <c r="L334" s="8" t="s">
        <v>1594</v>
      </c>
      <c r="M334" s="6" t="s">
        <v>1859</v>
      </c>
      <c r="N334" s="6" t="s">
        <v>1860</v>
      </c>
      <c r="O334" s="23">
        <v>37259</v>
      </c>
      <c r="P334" s="10">
        <f t="shared" ca="1" si="84"/>
        <v>10.252777777777778</v>
      </c>
      <c r="Q334" s="5">
        <f t="shared" ca="1" si="85"/>
        <v>123</v>
      </c>
      <c r="R334" s="5">
        <f t="shared" ca="1" si="86"/>
        <v>3744</v>
      </c>
      <c r="S334" s="7">
        <f t="shared" ca="1" si="87"/>
        <v>2002</v>
      </c>
      <c r="T334" s="7">
        <f t="shared" ca="1" si="88"/>
        <v>1</v>
      </c>
      <c r="U334" s="7">
        <f t="shared" ca="1" si="89"/>
        <v>3</v>
      </c>
      <c r="V334" s="6" t="s">
        <v>1861</v>
      </c>
      <c r="W334" s="8" t="s">
        <v>84</v>
      </c>
      <c r="X334" s="8"/>
      <c r="Y334" s="5">
        <f t="shared" ca="1" si="121"/>
        <v>2</v>
      </c>
      <c r="Z334" s="8" t="s">
        <v>1862</v>
      </c>
      <c r="AA334" s="12" t="str">
        <f t="shared" ca="1" si="91"/>
        <v>NA</v>
      </c>
      <c r="AB334" s="12" t="str">
        <f t="shared" ca="1" si="92"/>
        <v>NA</v>
      </c>
      <c r="AC334" s="12" t="str">
        <f t="shared" ca="1" si="93"/>
        <v>NA</v>
      </c>
      <c r="AD334" s="8" t="s">
        <v>1863</v>
      </c>
      <c r="AE334" s="5"/>
      <c r="AF334" s="8"/>
      <c r="AG334" s="11">
        <v>41003</v>
      </c>
      <c r="AH334" s="12">
        <f t="shared" ca="1" si="94"/>
        <v>2012</v>
      </c>
      <c r="AI334" s="12">
        <f t="shared" ca="1" si="95"/>
        <v>4</v>
      </c>
      <c r="AJ334" s="12">
        <f t="shared" ca="1" si="96"/>
        <v>4</v>
      </c>
      <c r="AK334" s="8" t="s">
        <v>1864</v>
      </c>
      <c r="AL334" s="8"/>
      <c r="AM334" s="5"/>
      <c r="AN334" s="5"/>
      <c r="AO334" s="8" t="s">
        <v>1865</v>
      </c>
      <c r="AP334" s="12" t="str">
        <f t="shared" ca="1" si="97"/>
        <v>NA</v>
      </c>
      <c r="AQ334" s="12" t="str">
        <f t="shared" ca="1" si="98"/>
        <v>NA</v>
      </c>
      <c r="AR334" s="12" t="str">
        <f t="shared" ca="1" si="99"/>
        <v>NA</v>
      </c>
      <c r="AS334" s="6" t="s">
        <v>1866</v>
      </c>
      <c r="AT334" s="6"/>
      <c r="AU334" s="11">
        <v>37461</v>
      </c>
      <c r="AV334" s="12">
        <f t="shared" ca="1" si="100"/>
        <v>2002</v>
      </c>
      <c r="AW334" s="12">
        <f t="shared" ca="1" si="101"/>
        <v>7</v>
      </c>
      <c r="AX334" s="12">
        <f t="shared" ca="1" si="102"/>
        <v>24</v>
      </c>
      <c r="AY334" s="8" t="s">
        <v>1867</v>
      </c>
      <c r="AZ334" s="8"/>
      <c r="BA334" s="11">
        <v>38195</v>
      </c>
      <c r="BB334" s="12">
        <f t="shared" ca="1" si="103"/>
        <v>2004</v>
      </c>
      <c r="BC334" s="12">
        <f t="shared" ca="1" si="104"/>
        <v>7</v>
      </c>
      <c r="BD334" s="12">
        <f t="shared" ca="1" si="105"/>
        <v>27</v>
      </c>
      <c r="BE334" s="8" t="s">
        <v>1868</v>
      </c>
      <c r="BF334" s="8"/>
      <c r="BG334" s="5"/>
      <c r="BH334" s="12" t="str">
        <f t="shared" ca="1" si="106"/>
        <v>NA</v>
      </c>
      <c r="BI334" s="12" t="str">
        <f t="shared" ca="1" si="107"/>
        <v>NA</v>
      </c>
      <c r="BJ334" s="12" t="str">
        <f t="shared" ca="1" si="108"/>
        <v>NA</v>
      </c>
      <c r="BK334" s="5"/>
      <c r="BL334" s="5"/>
      <c r="BM334" s="12" t="str">
        <f t="shared" ca="1" si="109"/>
        <v>NA</v>
      </c>
      <c r="BN334" s="12" t="str">
        <f t="shared" ca="1" si="110"/>
        <v>NA</v>
      </c>
      <c r="BO334" s="12" t="str">
        <f t="shared" ca="1" si="111"/>
        <v>NA</v>
      </c>
      <c r="BP334" s="5"/>
      <c r="BQ334" s="5"/>
      <c r="BR334" s="5"/>
      <c r="BS334" s="12" t="str">
        <f t="shared" ca="1" si="112"/>
        <v>NA</v>
      </c>
      <c r="BT334" s="12" t="str">
        <f t="shared" ca="1" si="113"/>
        <v>NA</v>
      </c>
      <c r="BU334" s="12" t="str">
        <f t="shared" ca="1" si="114"/>
        <v>NA</v>
      </c>
      <c r="BV334" s="5"/>
      <c r="BW334" s="5"/>
      <c r="BX334" s="12" t="str">
        <f t="shared" ca="1" si="115"/>
        <v>NA</v>
      </c>
      <c r="BY334" s="12" t="str">
        <f t="shared" ca="1" si="116"/>
        <v>NA</v>
      </c>
      <c r="BZ334" s="12" t="str">
        <f t="shared" ca="1" si="117"/>
        <v>NA</v>
      </c>
      <c r="CA334" s="5"/>
    </row>
    <row r="335" spans="1:79" ht="12.75" customHeight="1" x14ac:dyDescent="0.15">
      <c r="A335" s="4">
        <v>2422</v>
      </c>
      <c r="B335" s="5" t="s">
        <v>79</v>
      </c>
      <c r="C335" s="5" t="s">
        <v>79</v>
      </c>
      <c r="D335" s="6" t="s">
        <v>1869</v>
      </c>
      <c r="E335" s="7">
        <v>2923</v>
      </c>
      <c r="F335" s="6" t="s">
        <v>1870</v>
      </c>
      <c r="G335" s="8"/>
      <c r="H335" s="8"/>
      <c r="I335" s="8"/>
      <c r="J335" s="8"/>
      <c r="K335" s="8"/>
      <c r="L335" s="8" t="s">
        <v>1594</v>
      </c>
      <c r="M335" s="6" t="s">
        <v>1871</v>
      </c>
      <c r="N335" s="6" t="s">
        <v>1872</v>
      </c>
      <c r="O335" s="9">
        <v>35431</v>
      </c>
      <c r="P335" s="10">
        <f t="shared" ca="1" si="84"/>
        <v>20.819444444444443</v>
      </c>
      <c r="Q335" s="5">
        <f t="shared" ca="1" si="85"/>
        <v>249</v>
      </c>
      <c r="R335" s="5">
        <f t="shared" ca="1" si="86"/>
        <v>7603</v>
      </c>
      <c r="S335" s="7">
        <f t="shared" ca="1" si="87"/>
        <v>1997</v>
      </c>
      <c r="T335" s="7">
        <f t="shared" ca="1" si="88"/>
        <v>1</v>
      </c>
      <c r="U335" s="7">
        <f t="shared" ca="1" si="89"/>
        <v>1</v>
      </c>
      <c r="V335" s="6" t="s">
        <v>1873</v>
      </c>
      <c r="W335" s="8" t="s">
        <v>84</v>
      </c>
      <c r="X335" s="8"/>
      <c r="Y335" s="5">
        <f t="shared" ca="1" si="121"/>
        <v>3</v>
      </c>
      <c r="Z335" s="8" t="s">
        <v>1874</v>
      </c>
      <c r="AA335" s="12" t="str">
        <f t="shared" ca="1" si="91"/>
        <v>NA</v>
      </c>
      <c r="AB335" s="12" t="str">
        <f t="shared" ca="1" si="92"/>
        <v>NA</v>
      </c>
      <c r="AC335" s="12" t="str">
        <f t="shared" ca="1" si="93"/>
        <v>NA</v>
      </c>
      <c r="AD335" s="8" t="s">
        <v>1875</v>
      </c>
      <c r="AE335" s="5"/>
      <c r="AF335" s="8"/>
      <c r="AG335" s="11">
        <v>43034</v>
      </c>
      <c r="AH335" s="12">
        <f t="shared" ca="1" si="94"/>
        <v>2017</v>
      </c>
      <c r="AI335" s="12">
        <f t="shared" ca="1" si="95"/>
        <v>10</v>
      </c>
      <c r="AJ335" s="12">
        <f t="shared" ca="1" si="96"/>
        <v>26</v>
      </c>
      <c r="AK335" s="8" t="s">
        <v>1876</v>
      </c>
      <c r="AL335" s="8"/>
      <c r="AM335" s="5"/>
      <c r="AN335" s="5"/>
      <c r="AO335" s="8" t="s">
        <v>1877</v>
      </c>
      <c r="AP335" s="12" t="str">
        <f t="shared" ca="1" si="97"/>
        <v>NA</v>
      </c>
      <c r="AQ335" s="12" t="str">
        <f t="shared" ca="1" si="98"/>
        <v>NA</v>
      </c>
      <c r="AR335" s="12" t="str">
        <f t="shared" ca="1" si="99"/>
        <v>NA</v>
      </c>
      <c r="AS335" s="6" t="s">
        <v>1878</v>
      </c>
      <c r="AT335" s="6"/>
      <c r="AU335" s="11">
        <v>37453</v>
      </c>
      <c r="AV335" s="12">
        <f t="shared" ca="1" si="100"/>
        <v>2002</v>
      </c>
      <c r="AW335" s="12">
        <f t="shared" ca="1" si="101"/>
        <v>7</v>
      </c>
      <c r="AX335" s="12">
        <f t="shared" ca="1" si="102"/>
        <v>16</v>
      </c>
      <c r="AY335" s="8" t="s">
        <v>1879</v>
      </c>
      <c r="AZ335" s="8"/>
      <c r="BA335" s="11">
        <v>37783</v>
      </c>
      <c r="BB335" s="12">
        <f t="shared" ca="1" si="103"/>
        <v>2003</v>
      </c>
      <c r="BC335" s="12">
        <f t="shared" ca="1" si="104"/>
        <v>6</v>
      </c>
      <c r="BD335" s="12">
        <f t="shared" ca="1" si="105"/>
        <v>11</v>
      </c>
      <c r="BE335" s="8" t="s">
        <v>1880</v>
      </c>
      <c r="BF335" s="8"/>
      <c r="BG335" s="11">
        <v>37964</v>
      </c>
      <c r="BH335" s="12">
        <f t="shared" ca="1" si="106"/>
        <v>2003</v>
      </c>
      <c r="BI335" s="12">
        <f t="shared" ca="1" si="107"/>
        <v>12</v>
      </c>
      <c r="BJ335" s="12">
        <f t="shared" ca="1" si="108"/>
        <v>9</v>
      </c>
      <c r="BK335" s="8" t="s">
        <v>1881</v>
      </c>
      <c r="BL335" s="5"/>
      <c r="BM335" s="12" t="str">
        <f t="shared" ca="1" si="109"/>
        <v>NA</v>
      </c>
      <c r="BN335" s="12" t="str">
        <f t="shared" ca="1" si="110"/>
        <v>NA</v>
      </c>
      <c r="BO335" s="12" t="str">
        <f t="shared" ca="1" si="111"/>
        <v>NA</v>
      </c>
      <c r="BP335" s="5"/>
      <c r="BQ335" s="5"/>
      <c r="BR335" s="5"/>
      <c r="BS335" s="12" t="str">
        <f t="shared" ca="1" si="112"/>
        <v>NA</v>
      </c>
      <c r="BT335" s="12" t="str">
        <f t="shared" ca="1" si="113"/>
        <v>NA</v>
      </c>
      <c r="BU335" s="12" t="str">
        <f t="shared" ca="1" si="114"/>
        <v>NA</v>
      </c>
      <c r="BV335" s="5"/>
      <c r="BW335" s="5"/>
      <c r="BX335" s="12" t="str">
        <f t="shared" ca="1" si="115"/>
        <v>NA</v>
      </c>
      <c r="BY335" s="12" t="str">
        <f t="shared" ca="1" si="116"/>
        <v>NA</v>
      </c>
      <c r="BZ335" s="12" t="str">
        <f t="shared" ca="1" si="117"/>
        <v>NA</v>
      </c>
      <c r="CA335" s="5"/>
    </row>
    <row r="336" spans="1:79" ht="12.75" customHeight="1" x14ac:dyDescent="0.15">
      <c r="A336" s="4">
        <v>1006</v>
      </c>
      <c r="B336" s="5" t="s">
        <v>79</v>
      </c>
      <c r="C336" s="5" t="s">
        <v>79</v>
      </c>
      <c r="D336" s="8" t="s">
        <v>1882</v>
      </c>
      <c r="E336" s="29"/>
      <c r="F336" s="8" t="s">
        <v>1883</v>
      </c>
      <c r="G336" s="8"/>
      <c r="H336" s="8"/>
      <c r="I336" s="8"/>
      <c r="J336" s="8"/>
      <c r="K336" s="8"/>
      <c r="L336" s="8" t="s">
        <v>1594</v>
      </c>
      <c r="M336" s="8" t="s">
        <v>1884</v>
      </c>
      <c r="N336" s="8" t="s">
        <v>1885</v>
      </c>
      <c r="O336" s="9" t="s">
        <v>1886</v>
      </c>
      <c r="P336" s="10" t="str">
        <f t="shared" ca="1" si="84"/>
        <v>NA</v>
      </c>
      <c r="Q336" s="5" t="str">
        <f t="shared" ca="1" si="85"/>
        <v>NA</v>
      </c>
      <c r="R336" s="5" t="str">
        <f t="shared" ca="1" si="86"/>
        <v>NA</v>
      </c>
      <c r="S336" s="7" t="str">
        <f t="shared" ca="1" si="87"/>
        <v>NA</v>
      </c>
      <c r="T336" s="7" t="str">
        <f t="shared" ca="1" si="88"/>
        <v>NA</v>
      </c>
      <c r="U336" s="7" t="str">
        <f t="shared" ca="1" si="89"/>
        <v>NA</v>
      </c>
      <c r="V336" s="6" t="s">
        <v>1887</v>
      </c>
      <c r="W336" s="14" t="s">
        <v>96</v>
      </c>
      <c r="X336" s="8"/>
      <c r="Y336" s="5">
        <f t="shared" ca="1" si="121"/>
        <v>2</v>
      </c>
      <c r="Z336" s="16">
        <v>32509</v>
      </c>
      <c r="AA336" s="12">
        <f t="shared" ca="1" si="91"/>
        <v>1989</v>
      </c>
      <c r="AB336" s="12">
        <f t="shared" ca="1" si="92"/>
        <v>1</v>
      </c>
      <c r="AC336" s="12">
        <f t="shared" ca="1" si="93"/>
        <v>1</v>
      </c>
      <c r="AD336" s="6" t="s">
        <v>1888</v>
      </c>
      <c r="AE336" s="21" t="s">
        <v>84</v>
      </c>
      <c r="AF336" s="6"/>
      <c r="AG336" s="11">
        <v>33401</v>
      </c>
      <c r="AH336" s="12">
        <f t="shared" ca="1" si="94"/>
        <v>1991</v>
      </c>
      <c r="AI336" s="12">
        <f t="shared" ca="1" si="95"/>
        <v>6</v>
      </c>
      <c r="AJ336" s="12">
        <f t="shared" ca="1" si="96"/>
        <v>12</v>
      </c>
      <c r="AK336" s="8" t="s">
        <v>1889</v>
      </c>
      <c r="AL336" s="8"/>
      <c r="AM336" s="5"/>
      <c r="AN336" s="5"/>
      <c r="AO336" s="16">
        <v>32509</v>
      </c>
      <c r="AP336" s="12">
        <f t="shared" ca="1" si="97"/>
        <v>1989</v>
      </c>
      <c r="AQ336" s="12">
        <f t="shared" ca="1" si="98"/>
        <v>1</v>
      </c>
      <c r="AR336" s="12">
        <f t="shared" ca="1" si="99"/>
        <v>1</v>
      </c>
      <c r="AS336" s="6" t="s">
        <v>1890</v>
      </c>
      <c r="AT336" s="6" t="s">
        <v>84</v>
      </c>
      <c r="AU336" s="11">
        <v>33391</v>
      </c>
      <c r="AV336" s="12">
        <f t="shared" ca="1" si="100"/>
        <v>1991</v>
      </c>
      <c r="AW336" s="12">
        <f t="shared" ca="1" si="101"/>
        <v>6</v>
      </c>
      <c r="AX336" s="12">
        <f t="shared" ca="1" si="102"/>
        <v>2</v>
      </c>
      <c r="AY336" s="8" t="s">
        <v>1891</v>
      </c>
      <c r="AZ336" s="8"/>
      <c r="BA336" s="8"/>
      <c r="BB336" s="12" t="str">
        <f t="shared" ca="1" si="103"/>
        <v>NA</v>
      </c>
      <c r="BC336" s="12" t="str">
        <f t="shared" ca="1" si="104"/>
        <v>NA</v>
      </c>
      <c r="BD336" s="12" t="str">
        <f t="shared" ca="1" si="105"/>
        <v>NA</v>
      </c>
      <c r="BE336" s="5"/>
      <c r="BF336" s="5"/>
      <c r="BG336" s="5"/>
      <c r="BH336" s="12" t="str">
        <f t="shared" ca="1" si="106"/>
        <v>NA</v>
      </c>
      <c r="BI336" s="12" t="str">
        <f t="shared" ca="1" si="107"/>
        <v>NA</v>
      </c>
      <c r="BJ336" s="12" t="str">
        <f t="shared" ca="1" si="108"/>
        <v>NA</v>
      </c>
      <c r="BK336" s="5"/>
      <c r="BL336" s="5"/>
      <c r="BM336" s="12" t="str">
        <f t="shared" ca="1" si="109"/>
        <v>NA</v>
      </c>
      <c r="BN336" s="12" t="str">
        <f t="shared" ca="1" si="110"/>
        <v>NA</v>
      </c>
      <c r="BO336" s="12" t="str">
        <f t="shared" ca="1" si="111"/>
        <v>NA</v>
      </c>
      <c r="BP336" s="5"/>
      <c r="BQ336" s="5"/>
      <c r="BR336" s="5"/>
      <c r="BS336" s="12" t="str">
        <f t="shared" ca="1" si="112"/>
        <v>NA</v>
      </c>
      <c r="BT336" s="12" t="str">
        <f t="shared" ca="1" si="113"/>
        <v>NA</v>
      </c>
      <c r="BU336" s="12" t="str">
        <f t="shared" ca="1" si="114"/>
        <v>NA</v>
      </c>
      <c r="BV336" s="5"/>
      <c r="BW336" s="5"/>
      <c r="BX336" s="12" t="str">
        <f t="shared" ca="1" si="115"/>
        <v>NA</v>
      </c>
      <c r="BY336" s="12" t="str">
        <f t="shared" ca="1" si="116"/>
        <v>NA</v>
      </c>
      <c r="BZ336" s="12" t="str">
        <f t="shared" ca="1" si="117"/>
        <v>NA</v>
      </c>
      <c r="CA336" s="5"/>
    </row>
    <row r="337" spans="1:79" ht="12.75" customHeight="1" x14ac:dyDescent="0.15">
      <c r="A337" s="4">
        <v>2097</v>
      </c>
      <c r="B337" s="5" t="s">
        <v>79</v>
      </c>
      <c r="C337" s="5" t="s">
        <v>79</v>
      </c>
      <c r="D337" s="8" t="s">
        <v>1892</v>
      </c>
      <c r="E337" s="28">
        <v>33037</v>
      </c>
      <c r="F337" s="8" t="s">
        <v>1893</v>
      </c>
      <c r="G337" s="8"/>
      <c r="H337" s="8"/>
      <c r="I337" s="8"/>
      <c r="J337" s="8"/>
      <c r="K337" s="8"/>
      <c r="L337" s="8" t="s">
        <v>1594</v>
      </c>
      <c r="M337" s="8" t="s">
        <v>1894</v>
      </c>
      <c r="N337" s="8" t="s">
        <v>1895</v>
      </c>
      <c r="O337" s="9" t="s">
        <v>1896</v>
      </c>
      <c r="P337" s="10" t="str">
        <f t="shared" ca="1" si="84"/>
        <v>NA</v>
      </c>
      <c r="Q337" s="5" t="str">
        <f t="shared" ca="1" si="85"/>
        <v>NA</v>
      </c>
      <c r="R337" s="5" t="str">
        <f t="shared" ca="1" si="86"/>
        <v>NA</v>
      </c>
      <c r="S337" s="7" t="str">
        <f t="shared" ca="1" si="87"/>
        <v>NA</v>
      </c>
      <c r="T337" s="7" t="str">
        <f t="shared" ca="1" si="88"/>
        <v>NA</v>
      </c>
      <c r="U337" s="7" t="str">
        <f t="shared" ca="1" si="89"/>
        <v>NA</v>
      </c>
      <c r="V337" s="8" t="s">
        <v>1640</v>
      </c>
      <c r="W337" s="14" t="s">
        <v>96</v>
      </c>
      <c r="X337" s="8" t="s">
        <v>1641</v>
      </c>
      <c r="Y337" s="5">
        <f t="shared" ca="1" si="121"/>
        <v>1</v>
      </c>
      <c r="Z337" s="8" t="s">
        <v>1897</v>
      </c>
      <c r="AA337" s="12" t="str">
        <f t="shared" ca="1" si="91"/>
        <v>NA</v>
      </c>
      <c r="AB337" s="12" t="str">
        <f t="shared" ca="1" si="92"/>
        <v>NA</v>
      </c>
      <c r="AC337" s="12" t="str">
        <f t="shared" ca="1" si="93"/>
        <v>NA</v>
      </c>
      <c r="AD337" s="8" t="s">
        <v>1640</v>
      </c>
      <c r="AE337" s="5"/>
      <c r="AF337" s="8" t="s">
        <v>1641</v>
      </c>
      <c r="AG337" s="11">
        <v>35085</v>
      </c>
      <c r="AH337" s="12">
        <f t="shared" ca="1" si="94"/>
        <v>1996</v>
      </c>
      <c r="AI337" s="12">
        <f t="shared" ca="1" si="95"/>
        <v>1</v>
      </c>
      <c r="AJ337" s="12">
        <f t="shared" ca="1" si="96"/>
        <v>21</v>
      </c>
      <c r="AK337" s="8" t="s">
        <v>1898</v>
      </c>
      <c r="AL337" s="8"/>
      <c r="AM337" s="5"/>
      <c r="AN337" s="5"/>
      <c r="AO337" s="8" t="s">
        <v>1899</v>
      </c>
      <c r="AP337" s="12" t="str">
        <f t="shared" ca="1" si="97"/>
        <v>NA</v>
      </c>
      <c r="AQ337" s="12" t="str">
        <f t="shared" ca="1" si="98"/>
        <v>NA</v>
      </c>
      <c r="AR337" s="12" t="str">
        <f t="shared" ca="1" si="99"/>
        <v>NA</v>
      </c>
      <c r="AS337" s="8" t="s">
        <v>1900</v>
      </c>
      <c r="AT337" s="8"/>
      <c r="AU337" s="11">
        <v>32982</v>
      </c>
      <c r="AV337" s="12">
        <f t="shared" ca="1" si="100"/>
        <v>1990</v>
      </c>
      <c r="AW337" s="12">
        <f t="shared" ca="1" si="101"/>
        <v>4</v>
      </c>
      <c r="AX337" s="12">
        <f t="shared" ca="1" si="102"/>
        <v>19</v>
      </c>
      <c r="AY337" s="8" t="s">
        <v>1901</v>
      </c>
      <c r="AZ337" s="8"/>
      <c r="BA337" s="8"/>
      <c r="BB337" s="12" t="str">
        <f t="shared" ca="1" si="103"/>
        <v>NA</v>
      </c>
      <c r="BC337" s="12" t="str">
        <f t="shared" ca="1" si="104"/>
        <v>NA</v>
      </c>
      <c r="BD337" s="12" t="str">
        <f t="shared" ca="1" si="105"/>
        <v>NA</v>
      </c>
      <c r="BE337" s="5"/>
      <c r="BF337" s="5"/>
      <c r="BG337" s="5"/>
      <c r="BH337" s="12" t="str">
        <f t="shared" ca="1" si="106"/>
        <v>NA</v>
      </c>
      <c r="BI337" s="12" t="str">
        <f t="shared" ca="1" si="107"/>
        <v>NA</v>
      </c>
      <c r="BJ337" s="12" t="str">
        <f t="shared" ca="1" si="108"/>
        <v>NA</v>
      </c>
      <c r="BK337" s="5"/>
      <c r="BL337" s="5"/>
      <c r="BM337" s="12" t="str">
        <f t="shared" ca="1" si="109"/>
        <v>NA</v>
      </c>
      <c r="BN337" s="12" t="str">
        <f t="shared" ca="1" si="110"/>
        <v>NA</v>
      </c>
      <c r="BO337" s="12" t="str">
        <f t="shared" ca="1" si="111"/>
        <v>NA</v>
      </c>
      <c r="BP337" s="5"/>
      <c r="BQ337" s="5"/>
      <c r="BR337" s="5"/>
      <c r="BS337" s="12" t="str">
        <f t="shared" ca="1" si="112"/>
        <v>NA</v>
      </c>
      <c r="BT337" s="12" t="str">
        <f t="shared" ca="1" si="113"/>
        <v>NA</v>
      </c>
      <c r="BU337" s="12" t="str">
        <f t="shared" ca="1" si="114"/>
        <v>NA</v>
      </c>
      <c r="BV337" s="5"/>
      <c r="BW337" s="5"/>
      <c r="BX337" s="12" t="str">
        <f t="shared" ca="1" si="115"/>
        <v>NA</v>
      </c>
      <c r="BY337" s="12" t="str">
        <f t="shared" ca="1" si="116"/>
        <v>NA</v>
      </c>
      <c r="BZ337" s="12" t="str">
        <f t="shared" ca="1" si="117"/>
        <v>NA</v>
      </c>
      <c r="CA337" s="5"/>
    </row>
    <row r="338" spans="1:79" ht="12.75" customHeight="1" x14ac:dyDescent="0.15">
      <c r="A338" s="4">
        <v>2098</v>
      </c>
      <c r="B338" s="5" t="s">
        <v>79</v>
      </c>
      <c r="C338" s="5" t="s">
        <v>79</v>
      </c>
      <c r="D338" s="6" t="s">
        <v>1902</v>
      </c>
      <c r="E338" s="7">
        <v>33036</v>
      </c>
      <c r="F338" s="6" t="s">
        <v>1903</v>
      </c>
      <c r="G338" s="8"/>
      <c r="H338" s="8"/>
      <c r="I338" s="8"/>
      <c r="J338" s="8"/>
      <c r="K338" s="8"/>
      <c r="L338" s="8" t="s">
        <v>1594</v>
      </c>
      <c r="M338" s="6" t="s">
        <v>1904</v>
      </c>
      <c r="N338" s="6" t="s">
        <v>1905</v>
      </c>
      <c r="O338" s="9">
        <v>31413</v>
      </c>
      <c r="P338" s="10">
        <f t="shared" ca="1" si="84"/>
        <v>14.6</v>
      </c>
      <c r="Q338" s="5">
        <f t="shared" ca="1" si="85"/>
        <v>175</v>
      </c>
      <c r="R338" s="5">
        <f t="shared" ca="1" si="86"/>
        <v>5332</v>
      </c>
      <c r="S338" s="7">
        <f t="shared" ca="1" si="87"/>
        <v>1986</v>
      </c>
      <c r="T338" s="7">
        <f t="shared" ca="1" si="88"/>
        <v>1</v>
      </c>
      <c r="U338" s="7">
        <f t="shared" ca="1" si="89"/>
        <v>1</v>
      </c>
      <c r="V338" s="8" t="s">
        <v>1640</v>
      </c>
      <c r="W338" s="8" t="s">
        <v>84</v>
      </c>
      <c r="X338" s="8" t="s">
        <v>1641</v>
      </c>
      <c r="Y338" s="5">
        <f t="shared" ca="1" si="121"/>
        <v>1</v>
      </c>
      <c r="Z338" s="8" t="s">
        <v>1906</v>
      </c>
      <c r="AA338" s="12" t="str">
        <f t="shared" ca="1" si="91"/>
        <v>NA</v>
      </c>
      <c r="AB338" s="12" t="str">
        <f t="shared" ca="1" si="92"/>
        <v>NA</v>
      </c>
      <c r="AC338" s="12" t="str">
        <f t="shared" ca="1" si="93"/>
        <v>NA</v>
      </c>
      <c r="AD338" s="8" t="s">
        <v>1640</v>
      </c>
      <c r="AE338" s="5"/>
      <c r="AF338" s="8" t="s">
        <v>1641</v>
      </c>
      <c r="AG338" s="11">
        <v>36745</v>
      </c>
      <c r="AH338" s="12">
        <f t="shared" ca="1" si="94"/>
        <v>2000</v>
      </c>
      <c r="AI338" s="12">
        <f t="shared" ca="1" si="95"/>
        <v>8</v>
      </c>
      <c r="AJ338" s="12">
        <f t="shared" ca="1" si="96"/>
        <v>7</v>
      </c>
      <c r="AK338" s="8" t="s">
        <v>1907</v>
      </c>
      <c r="AL338" s="8"/>
      <c r="AM338" s="5"/>
      <c r="AN338" s="5"/>
      <c r="AO338" s="26" t="s">
        <v>1908</v>
      </c>
      <c r="AP338" s="12" t="str">
        <f t="shared" ca="1" si="97"/>
        <v>NA</v>
      </c>
      <c r="AQ338" s="12" t="str">
        <f t="shared" ca="1" si="98"/>
        <v>NA</v>
      </c>
      <c r="AR338" s="12" t="str">
        <f t="shared" ca="1" si="99"/>
        <v>NA</v>
      </c>
      <c r="AS338" s="21" t="s">
        <v>1909</v>
      </c>
      <c r="AT338" s="21"/>
      <c r="AU338" s="11">
        <v>32982</v>
      </c>
      <c r="AV338" s="12">
        <f t="shared" ca="1" si="100"/>
        <v>1990</v>
      </c>
      <c r="AW338" s="12">
        <f t="shared" ca="1" si="101"/>
        <v>4</v>
      </c>
      <c r="AX338" s="12">
        <f t="shared" ca="1" si="102"/>
        <v>19</v>
      </c>
      <c r="AY338" s="8" t="s">
        <v>1910</v>
      </c>
      <c r="AZ338" s="8"/>
      <c r="BA338" s="6"/>
      <c r="BB338" s="12" t="str">
        <f t="shared" ca="1" si="103"/>
        <v>NA</v>
      </c>
      <c r="BC338" s="12" t="str">
        <f t="shared" ca="1" si="104"/>
        <v>NA</v>
      </c>
      <c r="BD338" s="12" t="str">
        <f t="shared" ca="1" si="105"/>
        <v>NA</v>
      </c>
      <c r="BE338" s="5"/>
      <c r="BF338" s="5"/>
      <c r="BG338" s="5"/>
      <c r="BH338" s="12" t="str">
        <f t="shared" ca="1" si="106"/>
        <v>NA</v>
      </c>
      <c r="BI338" s="12" t="str">
        <f t="shared" ca="1" si="107"/>
        <v>NA</v>
      </c>
      <c r="BJ338" s="12" t="str">
        <f t="shared" ca="1" si="108"/>
        <v>NA</v>
      </c>
      <c r="BK338" s="5"/>
      <c r="BL338" s="5"/>
      <c r="BM338" s="12" t="str">
        <f t="shared" ca="1" si="109"/>
        <v>NA</v>
      </c>
      <c r="BN338" s="12" t="str">
        <f t="shared" ca="1" si="110"/>
        <v>NA</v>
      </c>
      <c r="BO338" s="12" t="str">
        <f t="shared" ca="1" si="111"/>
        <v>NA</v>
      </c>
      <c r="BP338" s="5"/>
      <c r="BQ338" s="5"/>
      <c r="BR338" s="5"/>
      <c r="BS338" s="12" t="str">
        <f t="shared" ca="1" si="112"/>
        <v>NA</v>
      </c>
      <c r="BT338" s="12" t="str">
        <f t="shared" ca="1" si="113"/>
        <v>NA</v>
      </c>
      <c r="BU338" s="12" t="str">
        <f t="shared" ca="1" si="114"/>
        <v>NA</v>
      </c>
      <c r="BV338" s="5"/>
      <c r="BW338" s="5"/>
      <c r="BX338" s="12" t="str">
        <f t="shared" ca="1" si="115"/>
        <v>NA</v>
      </c>
      <c r="BY338" s="12" t="str">
        <f t="shared" ca="1" si="116"/>
        <v>NA</v>
      </c>
      <c r="BZ338" s="12" t="str">
        <f t="shared" ca="1" si="117"/>
        <v>NA</v>
      </c>
      <c r="CA338" s="5"/>
    </row>
    <row r="339" spans="1:79" ht="12.75" customHeight="1" x14ac:dyDescent="0.15">
      <c r="A339" s="4">
        <v>1002</v>
      </c>
      <c r="B339" s="5" t="s">
        <v>79</v>
      </c>
      <c r="C339" s="5" t="s">
        <v>79</v>
      </c>
      <c r="D339" s="8" t="s">
        <v>1911</v>
      </c>
      <c r="E339" s="28">
        <v>811005</v>
      </c>
      <c r="F339" s="8" t="s">
        <v>1912</v>
      </c>
      <c r="G339" s="8"/>
      <c r="H339" s="8"/>
      <c r="I339" s="8"/>
      <c r="J339" s="8"/>
      <c r="K339" s="8"/>
      <c r="L339" s="8" t="s">
        <v>1594</v>
      </c>
      <c r="M339" s="8" t="s">
        <v>1913</v>
      </c>
      <c r="N339" s="8" t="s">
        <v>1914</v>
      </c>
      <c r="O339" s="9" t="s">
        <v>1915</v>
      </c>
      <c r="P339" s="10" t="str">
        <f t="shared" ca="1" si="84"/>
        <v>NA</v>
      </c>
      <c r="Q339" s="5" t="str">
        <f t="shared" ca="1" si="85"/>
        <v>NA</v>
      </c>
      <c r="R339" s="5" t="str">
        <f t="shared" ca="1" si="86"/>
        <v>NA</v>
      </c>
      <c r="S339" s="7" t="str">
        <f t="shared" ca="1" si="87"/>
        <v>NA</v>
      </c>
      <c r="T339" s="7" t="str">
        <f t="shared" ca="1" si="88"/>
        <v>NA</v>
      </c>
      <c r="U339" s="7" t="str">
        <f t="shared" ca="1" si="89"/>
        <v>NA</v>
      </c>
      <c r="V339" s="8" t="s">
        <v>1640</v>
      </c>
      <c r="W339" s="14" t="s">
        <v>96</v>
      </c>
      <c r="X339" s="8" t="s">
        <v>1641</v>
      </c>
      <c r="Y339" s="5">
        <f t="shared" ca="1" si="121"/>
        <v>1</v>
      </c>
      <c r="Z339" s="8" t="s">
        <v>1916</v>
      </c>
      <c r="AA339" s="12" t="str">
        <f t="shared" ca="1" si="91"/>
        <v>NA</v>
      </c>
      <c r="AB339" s="12" t="str">
        <f t="shared" ca="1" si="92"/>
        <v>NA</v>
      </c>
      <c r="AC339" s="12" t="str">
        <f t="shared" ca="1" si="93"/>
        <v>NA</v>
      </c>
      <c r="AD339" s="8" t="s">
        <v>1640</v>
      </c>
      <c r="AE339" s="5"/>
      <c r="AF339" s="8" t="s">
        <v>1641</v>
      </c>
      <c r="AG339" s="11">
        <v>30800</v>
      </c>
      <c r="AH339" s="12">
        <f t="shared" ca="1" si="94"/>
        <v>1984</v>
      </c>
      <c r="AI339" s="12">
        <f t="shared" ca="1" si="95"/>
        <v>4</v>
      </c>
      <c r="AJ339" s="12">
        <f t="shared" ca="1" si="96"/>
        <v>28</v>
      </c>
      <c r="AK339" s="8" t="s">
        <v>1917</v>
      </c>
      <c r="AL339" s="8"/>
      <c r="AM339" s="5"/>
      <c r="AN339" s="5"/>
      <c r="AO339" s="8" t="s">
        <v>1918</v>
      </c>
      <c r="AP339" s="12" t="str">
        <f t="shared" ca="1" si="97"/>
        <v>NA</v>
      </c>
      <c r="AQ339" s="12" t="str">
        <f t="shared" ca="1" si="98"/>
        <v>NA</v>
      </c>
      <c r="AR339" s="12" t="str">
        <f t="shared" ca="1" si="99"/>
        <v>NA</v>
      </c>
      <c r="AS339" s="8" t="s">
        <v>1919</v>
      </c>
      <c r="AT339" s="8"/>
      <c r="AU339" s="11">
        <v>24999</v>
      </c>
      <c r="AV339" s="12">
        <f t="shared" ca="1" si="100"/>
        <v>1968</v>
      </c>
      <c r="AW339" s="12">
        <f t="shared" ca="1" si="101"/>
        <v>6</v>
      </c>
      <c r="AX339" s="12">
        <f t="shared" ca="1" si="102"/>
        <v>10</v>
      </c>
      <c r="AY339" s="8" t="s">
        <v>1920</v>
      </c>
      <c r="AZ339" s="8"/>
      <c r="BA339" s="8"/>
      <c r="BB339" s="12" t="str">
        <f t="shared" ca="1" si="103"/>
        <v>NA</v>
      </c>
      <c r="BC339" s="12" t="str">
        <f t="shared" ca="1" si="104"/>
        <v>NA</v>
      </c>
      <c r="BD339" s="12" t="str">
        <f t="shared" ca="1" si="105"/>
        <v>NA</v>
      </c>
      <c r="BE339" s="5"/>
      <c r="BF339" s="5"/>
      <c r="BG339" s="5"/>
      <c r="BH339" s="12" t="str">
        <f t="shared" ca="1" si="106"/>
        <v>NA</v>
      </c>
      <c r="BI339" s="12" t="str">
        <f t="shared" ca="1" si="107"/>
        <v>NA</v>
      </c>
      <c r="BJ339" s="12" t="str">
        <f t="shared" ca="1" si="108"/>
        <v>NA</v>
      </c>
      <c r="BK339" s="5"/>
      <c r="BL339" s="5"/>
      <c r="BM339" s="12" t="str">
        <f t="shared" ca="1" si="109"/>
        <v>NA</v>
      </c>
      <c r="BN339" s="12" t="str">
        <f t="shared" ca="1" si="110"/>
        <v>NA</v>
      </c>
      <c r="BO339" s="12" t="str">
        <f t="shared" ca="1" si="111"/>
        <v>NA</v>
      </c>
      <c r="BP339" s="5"/>
      <c r="BQ339" s="5"/>
      <c r="BR339" s="5"/>
      <c r="BS339" s="12" t="str">
        <f t="shared" ca="1" si="112"/>
        <v>NA</v>
      </c>
      <c r="BT339" s="12" t="str">
        <f t="shared" ca="1" si="113"/>
        <v>NA</v>
      </c>
      <c r="BU339" s="12" t="str">
        <f t="shared" ca="1" si="114"/>
        <v>NA</v>
      </c>
      <c r="BV339" s="5"/>
      <c r="BW339" s="5"/>
      <c r="BX339" s="12" t="str">
        <f t="shared" ca="1" si="115"/>
        <v>NA</v>
      </c>
      <c r="BY339" s="12" t="str">
        <f t="shared" ca="1" si="116"/>
        <v>NA</v>
      </c>
      <c r="BZ339" s="12" t="str">
        <f t="shared" ca="1" si="117"/>
        <v>NA</v>
      </c>
      <c r="CA339" s="5"/>
    </row>
    <row r="340" spans="1:79" ht="12.75" customHeight="1" x14ac:dyDescent="0.15">
      <c r="A340" s="4">
        <v>1003</v>
      </c>
      <c r="B340" s="5" t="s">
        <v>79</v>
      </c>
      <c r="C340" s="5" t="s">
        <v>79</v>
      </c>
      <c r="D340" s="8" t="s">
        <v>1921</v>
      </c>
      <c r="E340" s="28">
        <v>811006</v>
      </c>
      <c r="F340" s="8" t="s">
        <v>1922</v>
      </c>
      <c r="G340" s="8"/>
      <c r="H340" s="8"/>
      <c r="I340" s="8"/>
      <c r="J340" s="8"/>
      <c r="K340" s="8"/>
      <c r="L340" s="8" t="s">
        <v>1594</v>
      </c>
      <c r="M340" s="8" t="s">
        <v>1923</v>
      </c>
      <c r="N340" s="8" t="s">
        <v>1924</v>
      </c>
      <c r="O340" s="9" t="s">
        <v>1925</v>
      </c>
      <c r="P340" s="10" t="str">
        <f t="shared" ca="1" si="84"/>
        <v>NA</v>
      </c>
      <c r="Q340" s="5" t="str">
        <f t="shared" ca="1" si="85"/>
        <v>NA</v>
      </c>
      <c r="R340" s="5" t="str">
        <f t="shared" ca="1" si="86"/>
        <v>NA</v>
      </c>
      <c r="S340" s="7" t="str">
        <f t="shared" ca="1" si="87"/>
        <v>NA</v>
      </c>
      <c r="T340" s="7" t="str">
        <f t="shared" ca="1" si="88"/>
        <v>NA</v>
      </c>
      <c r="U340" s="7" t="str">
        <f t="shared" ca="1" si="89"/>
        <v>NA</v>
      </c>
      <c r="V340" s="8" t="s">
        <v>1640</v>
      </c>
      <c r="W340" s="14" t="s">
        <v>96</v>
      </c>
      <c r="X340" s="8" t="s">
        <v>1641</v>
      </c>
      <c r="Y340" s="5">
        <f t="shared" ca="1" si="121"/>
        <v>1</v>
      </c>
      <c r="Z340" s="8" t="s">
        <v>1926</v>
      </c>
      <c r="AA340" s="12" t="str">
        <f t="shared" ca="1" si="91"/>
        <v>NA</v>
      </c>
      <c r="AB340" s="12" t="str">
        <f t="shared" ca="1" si="92"/>
        <v>NA</v>
      </c>
      <c r="AC340" s="12" t="str">
        <f t="shared" ca="1" si="93"/>
        <v>NA</v>
      </c>
      <c r="AD340" s="8" t="s">
        <v>1640</v>
      </c>
      <c r="AE340" s="5"/>
      <c r="AF340" s="8" t="s">
        <v>1641</v>
      </c>
      <c r="AG340" s="11">
        <v>29980</v>
      </c>
      <c r="AH340" s="12">
        <f t="shared" ca="1" si="94"/>
        <v>1982</v>
      </c>
      <c r="AI340" s="12">
        <f t="shared" ca="1" si="95"/>
        <v>1</v>
      </c>
      <c r="AJ340" s="12">
        <f t="shared" ca="1" si="96"/>
        <v>29</v>
      </c>
      <c r="AK340" s="8" t="s">
        <v>1927</v>
      </c>
      <c r="AL340" s="8"/>
      <c r="AM340" s="5"/>
      <c r="AN340" s="5"/>
      <c r="AO340" s="11">
        <v>25573</v>
      </c>
      <c r="AP340" s="12">
        <f t="shared" ca="1" si="97"/>
        <v>1970</v>
      </c>
      <c r="AQ340" s="12">
        <f t="shared" ca="1" si="98"/>
        <v>1</v>
      </c>
      <c r="AR340" s="12">
        <f t="shared" ca="1" si="99"/>
        <v>5</v>
      </c>
      <c r="AS340" s="8" t="s">
        <v>1928</v>
      </c>
      <c r="AT340" s="8"/>
      <c r="AU340" s="5"/>
      <c r="AV340" s="12" t="str">
        <f t="shared" ca="1" si="100"/>
        <v>NA</v>
      </c>
      <c r="AW340" s="12" t="str">
        <f t="shared" ca="1" si="101"/>
        <v>NA</v>
      </c>
      <c r="AX340" s="12" t="str">
        <f t="shared" ca="1" si="102"/>
        <v>NA</v>
      </c>
      <c r="AY340" s="5"/>
      <c r="AZ340" s="5"/>
      <c r="BA340" s="8"/>
      <c r="BB340" s="12" t="str">
        <f t="shared" ca="1" si="103"/>
        <v>NA</v>
      </c>
      <c r="BC340" s="12" t="str">
        <f t="shared" ca="1" si="104"/>
        <v>NA</v>
      </c>
      <c r="BD340" s="12" t="str">
        <f t="shared" ca="1" si="105"/>
        <v>NA</v>
      </c>
      <c r="BE340" s="5"/>
      <c r="BF340" s="5"/>
      <c r="BG340" s="5"/>
      <c r="BH340" s="12" t="str">
        <f t="shared" ca="1" si="106"/>
        <v>NA</v>
      </c>
      <c r="BI340" s="12" t="str">
        <f t="shared" ca="1" si="107"/>
        <v>NA</v>
      </c>
      <c r="BJ340" s="12" t="str">
        <f t="shared" ca="1" si="108"/>
        <v>NA</v>
      </c>
      <c r="BK340" s="5"/>
      <c r="BL340" s="5"/>
      <c r="BM340" s="12" t="str">
        <f t="shared" ca="1" si="109"/>
        <v>NA</v>
      </c>
      <c r="BN340" s="12" t="str">
        <f t="shared" ca="1" si="110"/>
        <v>NA</v>
      </c>
      <c r="BO340" s="12" t="str">
        <f t="shared" ca="1" si="111"/>
        <v>NA</v>
      </c>
      <c r="BP340" s="5"/>
      <c r="BQ340" s="5"/>
      <c r="BR340" s="5"/>
      <c r="BS340" s="12" t="str">
        <f t="shared" ca="1" si="112"/>
        <v>NA</v>
      </c>
      <c r="BT340" s="12" t="str">
        <f t="shared" ca="1" si="113"/>
        <v>NA</v>
      </c>
      <c r="BU340" s="12" t="str">
        <f t="shared" ca="1" si="114"/>
        <v>NA</v>
      </c>
      <c r="BV340" s="5"/>
      <c r="BW340" s="5"/>
      <c r="BX340" s="12" t="str">
        <f t="shared" ca="1" si="115"/>
        <v>NA</v>
      </c>
      <c r="BY340" s="12" t="str">
        <f t="shared" ca="1" si="116"/>
        <v>NA</v>
      </c>
      <c r="BZ340" s="12" t="str">
        <f t="shared" ca="1" si="117"/>
        <v>NA</v>
      </c>
      <c r="CA340" s="5"/>
    </row>
    <row r="341" spans="1:79" ht="12.75" customHeight="1" x14ac:dyDescent="0.15">
      <c r="A341" s="4">
        <v>1042</v>
      </c>
      <c r="B341" s="5" t="s">
        <v>79</v>
      </c>
      <c r="C341" s="5" t="s">
        <v>79</v>
      </c>
      <c r="D341" s="8" t="s">
        <v>1929</v>
      </c>
      <c r="E341" s="28">
        <v>11673</v>
      </c>
      <c r="F341" s="8" t="s">
        <v>1930</v>
      </c>
      <c r="G341" s="8"/>
      <c r="H341" s="8"/>
      <c r="I341" s="8"/>
      <c r="J341" s="8"/>
      <c r="K341" s="8"/>
      <c r="L341" s="8" t="s">
        <v>1594</v>
      </c>
      <c r="M341" s="8" t="s">
        <v>1931</v>
      </c>
      <c r="N341" s="8" t="s">
        <v>1932</v>
      </c>
      <c r="O341" s="9" t="s">
        <v>1933</v>
      </c>
      <c r="P341" s="10" t="str">
        <f t="shared" ca="1" si="84"/>
        <v>NA</v>
      </c>
      <c r="Q341" s="5" t="str">
        <f t="shared" ca="1" si="85"/>
        <v>NA</v>
      </c>
      <c r="R341" s="5" t="str">
        <f t="shared" ca="1" si="86"/>
        <v>NA</v>
      </c>
      <c r="S341" s="7" t="str">
        <f t="shared" ca="1" si="87"/>
        <v>NA</v>
      </c>
      <c r="T341" s="7" t="str">
        <f t="shared" ca="1" si="88"/>
        <v>NA</v>
      </c>
      <c r="U341" s="7" t="str">
        <f t="shared" ca="1" si="89"/>
        <v>NA</v>
      </c>
      <c r="V341" s="8" t="s">
        <v>1934</v>
      </c>
      <c r="W341" s="14" t="s">
        <v>96</v>
      </c>
      <c r="X341" s="8"/>
      <c r="Y341" s="5">
        <f t="shared" ca="1" si="121"/>
        <v>2</v>
      </c>
      <c r="Z341" s="8" t="s">
        <v>1935</v>
      </c>
      <c r="AA341" s="12" t="str">
        <f t="shared" ca="1" si="91"/>
        <v>NA</v>
      </c>
      <c r="AB341" s="12" t="str">
        <f t="shared" ca="1" si="92"/>
        <v>NA</v>
      </c>
      <c r="AC341" s="12" t="str">
        <f t="shared" ca="1" si="93"/>
        <v>NA</v>
      </c>
      <c r="AD341" s="8" t="s">
        <v>1936</v>
      </c>
      <c r="AE341" s="5"/>
      <c r="AF341" s="8"/>
      <c r="AG341" s="11">
        <v>36469</v>
      </c>
      <c r="AH341" s="12">
        <f t="shared" ca="1" si="94"/>
        <v>1999</v>
      </c>
      <c r="AI341" s="12">
        <f t="shared" ca="1" si="95"/>
        <v>11</v>
      </c>
      <c r="AJ341" s="12">
        <f t="shared" ca="1" si="96"/>
        <v>5</v>
      </c>
      <c r="AK341" s="8" t="s">
        <v>1937</v>
      </c>
      <c r="AL341" s="8"/>
      <c r="AM341" s="5"/>
      <c r="AN341" s="5"/>
      <c r="AO341" s="11">
        <v>32635</v>
      </c>
      <c r="AP341" s="12">
        <f t="shared" ca="1" si="97"/>
        <v>1989</v>
      </c>
      <c r="AQ341" s="12">
        <f t="shared" ca="1" si="98"/>
        <v>5</v>
      </c>
      <c r="AR341" s="12">
        <f t="shared" ca="1" si="99"/>
        <v>7</v>
      </c>
      <c r="AS341" s="8" t="s">
        <v>1938</v>
      </c>
      <c r="AT341" s="8"/>
      <c r="AU341" s="11">
        <v>32735</v>
      </c>
      <c r="AV341" s="12">
        <f t="shared" ca="1" si="100"/>
        <v>1989</v>
      </c>
      <c r="AW341" s="12">
        <f t="shared" ca="1" si="101"/>
        <v>8</v>
      </c>
      <c r="AX341" s="12">
        <f t="shared" ca="1" si="102"/>
        <v>15</v>
      </c>
      <c r="AY341" s="8" t="s">
        <v>1939</v>
      </c>
      <c r="AZ341" s="8"/>
      <c r="BA341" s="8"/>
      <c r="BB341" s="12" t="str">
        <f t="shared" ca="1" si="103"/>
        <v>NA</v>
      </c>
      <c r="BC341" s="12" t="str">
        <f t="shared" ca="1" si="104"/>
        <v>NA</v>
      </c>
      <c r="BD341" s="12" t="str">
        <f t="shared" ca="1" si="105"/>
        <v>NA</v>
      </c>
      <c r="BE341" s="5"/>
      <c r="BF341" s="5"/>
      <c r="BG341" s="5"/>
      <c r="BH341" s="12" t="str">
        <f t="shared" ca="1" si="106"/>
        <v>NA</v>
      </c>
      <c r="BI341" s="12" t="str">
        <f t="shared" ca="1" si="107"/>
        <v>NA</v>
      </c>
      <c r="BJ341" s="12" t="str">
        <f t="shared" ca="1" si="108"/>
        <v>NA</v>
      </c>
      <c r="BK341" s="5"/>
      <c r="BL341" s="5"/>
      <c r="BM341" s="12" t="str">
        <f t="shared" ca="1" si="109"/>
        <v>NA</v>
      </c>
      <c r="BN341" s="12" t="str">
        <f t="shared" ca="1" si="110"/>
        <v>NA</v>
      </c>
      <c r="BO341" s="12" t="str">
        <f t="shared" ca="1" si="111"/>
        <v>NA</v>
      </c>
      <c r="BP341" s="5"/>
      <c r="BQ341" s="5"/>
      <c r="BR341" s="5"/>
      <c r="BS341" s="12" t="str">
        <f t="shared" ca="1" si="112"/>
        <v>NA</v>
      </c>
      <c r="BT341" s="12" t="str">
        <f t="shared" ca="1" si="113"/>
        <v>NA</v>
      </c>
      <c r="BU341" s="12" t="str">
        <f t="shared" ca="1" si="114"/>
        <v>NA</v>
      </c>
      <c r="BV341" s="5"/>
      <c r="BW341" s="5"/>
      <c r="BX341" s="12" t="str">
        <f t="shared" ca="1" si="115"/>
        <v>NA</v>
      </c>
      <c r="BY341" s="12" t="str">
        <f t="shared" ca="1" si="116"/>
        <v>NA</v>
      </c>
      <c r="BZ341" s="12" t="str">
        <f t="shared" ca="1" si="117"/>
        <v>NA</v>
      </c>
      <c r="CA341" s="5"/>
    </row>
    <row r="342" spans="1:79" ht="12.75" customHeight="1" x14ac:dyDescent="0.15">
      <c r="A342" s="4">
        <v>1044</v>
      </c>
      <c r="B342" s="5" t="s">
        <v>79</v>
      </c>
      <c r="C342" s="5" t="s">
        <v>79</v>
      </c>
      <c r="D342" s="6" t="s">
        <v>1940</v>
      </c>
      <c r="E342" s="7">
        <v>16796</v>
      </c>
      <c r="F342" s="6" t="s">
        <v>1941</v>
      </c>
      <c r="G342" s="8"/>
      <c r="H342" s="8"/>
      <c r="I342" s="8"/>
      <c r="J342" s="8"/>
      <c r="K342" s="8"/>
      <c r="L342" s="8" t="s">
        <v>1594</v>
      </c>
      <c r="M342" s="6" t="s">
        <v>1942</v>
      </c>
      <c r="N342" s="6" t="s">
        <v>1943</v>
      </c>
      <c r="O342" s="9">
        <v>30682</v>
      </c>
      <c r="P342" s="10">
        <f t="shared" ca="1" si="84"/>
        <v>19</v>
      </c>
      <c r="Q342" s="5">
        <f t="shared" ca="1" si="85"/>
        <v>228</v>
      </c>
      <c r="R342" s="5">
        <f t="shared" ca="1" si="86"/>
        <v>6940</v>
      </c>
      <c r="S342" s="7">
        <f t="shared" ca="1" si="87"/>
        <v>1984</v>
      </c>
      <c r="T342" s="7">
        <f t="shared" ca="1" si="88"/>
        <v>1</v>
      </c>
      <c r="U342" s="7">
        <f t="shared" ca="1" si="89"/>
        <v>1</v>
      </c>
      <c r="V342" s="6" t="s">
        <v>1944</v>
      </c>
      <c r="W342" s="8" t="s">
        <v>264</v>
      </c>
      <c r="X342" s="8" t="s">
        <v>1641</v>
      </c>
      <c r="Y342" s="5">
        <f t="shared" ca="1" si="121"/>
        <v>3</v>
      </c>
      <c r="Z342" s="8" t="s">
        <v>1945</v>
      </c>
      <c r="AA342" s="12" t="str">
        <f t="shared" ca="1" si="91"/>
        <v>NA</v>
      </c>
      <c r="AB342" s="12" t="str">
        <f t="shared" ca="1" si="92"/>
        <v>NA</v>
      </c>
      <c r="AC342" s="12" t="str">
        <f t="shared" ca="1" si="93"/>
        <v>NA</v>
      </c>
      <c r="AD342" s="8" t="s">
        <v>1944</v>
      </c>
      <c r="AE342" s="5"/>
      <c r="AF342" s="8" t="s">
        <v>1641</v>
      </c>
      <c r="AG342" s="11">
        <v>37622</v>
      </c>
      <c r="AH342" s="12">
        <f t="shared" ca="1" si="94"/>
        <v>2003</v>
      </c>
      <c r="AI342" s="12">
        <f t="shared" ca="1" si="95"/>
        <v>1</v>
      </c>
      <c r="AJ342" s="12">
        <f t="shared" ca="1" si="96"/>
        <v>1</v>
      </c>
      <c r="AK342" s="8" t="s">
        <v>1946</v>
      </c>
      <c r="AL342" s="8"/>
      <c r="AM342" s="5"/>
      <c r="AN342" s="5"/>
      <c r="AO342" s="8" t="s">
        <v>1947</v>
      </c>
      <c r="AP342" s="12" t="str">
        <f t="shared" ca="1" si="97"/>
        <v>NA</v>
      </c>
      <c r="AQ342" s="12" t="str">
        <f t="shared" ca="1" si="98"/>
        <v>NA</v>
      </c>
      <c r="AR342" s="12" t="str">
        <f t="shared" ca="1" si="99"/>
        <v>NA</v>
      </c>
      <c r="AS342" s="8" t="s">
        <v>1948</v>
      </c>
      <c r="AT342" s="8"/>
      <c r="AU342" s="11">
        <v>32740</v>
      </c>
      <c r="AV342" s="12">
        <f t="shared" ca="1" si="100"/>
        <v>1989</v>
      </c>
      <c r="AW342" s="12">
        <f t="shared" ca="1" si="101"/>
        <v>8</v>
      </c>
      <c r="AX342" s="12">
        <f t="shared" ca="1" si="102"/>
        <v>20</v>
      </c>
      <c r="AY342" s="8" t="s">
        <v>1949</v>
      </c>
      <c r="AZ342" s="8"/>
      <c r="BA342" s="11">
        <v>33773</v>
      </c>
      <c r="BB342" s="12">
        <f t="shared" ca="1" si="103"/>
        <v>1992</v>
      </c>
      <c r="BC342" s="12">
        <f t="shared" ca="1" si="104"/>
        <v>6</v>
      </c>
      <c r="BD342" s="12">
        <f t="shared" ca="1" si="105"/>
        <v>18</v>
      </c>
      <c r="BE342" s="8" t="s">
        <v>1950</v>
      </c>
      <c r="BF342" s="8"/>
      <c r="BG342" s="11">
        <v>35544</v>
      </c>
      <c r="BH342" s="12">
        <f t="shared" ca="1" si="106"/>
        <v>1997</v>
      </c>
      <c r="BI342" s="12">
        <f t="shared" ca="1" si="107"/>
        <v>4</v>
      </c>
      <c r="BJ342" s="12">
        <f t="shared" ca="1" si="108"/>
        <v>24</v>
      </c>
      <c r="BK342" s="8" t="s">
        <v>1951</v>
      </c>
      <c r="BL342" s="5"/>
      <c r="BM342" s="12" t="str">
        <f t="shared" ca="1" si="109"/>
        <v>NA</v>
      </c>
      <c r="BN342" s="12" t="str">
        <f t="shared" ca="1" si="110"/>
        <v>NA</v>
      </c>
      <c r="BO342" s="12" t="str">
        <f t="shared" ca="1" si="111"/>
        <v>NA</v>
      </c>
      <c r="BP342" s="5"/>
      <c r="BQ342" s="5"/>
      <c r="BR342" s="5"/>
      <c r="BS342" s="12" t="str">
        <f t="shared" ca="1" si="112"/>
        <v>NA</v>
      </c>
      <c r="BT342" s="12" t="str">
        <f t="shared" ca="1" si="113"/>
        <v>NA</v>
      </c>
      <c r="BU342" s="12" t="str">
        <f t="shared" ca="1" si="114"/>
        <v>NA</v>
      </c>
      <c r="BV342" s="5"/>
      <c r="BW342" s="5"/>
      <c r="BX342" s="12" t="str">
        <f t="shared" ca="1" si="115"/>
        <v>NA</v>
      </c>
      <c r="BY342" s="12" t="str">
        <f t="shared" ca="1" si="116"/>
        <v>NA</v>
      </c>
      <c r="BZ342" s="12" t="str">
        <f t="shared" ca="1" si="117"/>
        <v>NA</v>
      </c>
      <c r="CA342" s="5"/>
    </row>
    <row r="343" spans="1:79" ht="12.75" customHeight="1" x14ac:dyDescent="0.15">
      <c r="A343" s="4">
        <v>2129</v>
      </c>
      <c r="B343" s="5" t="s">
        <v>79</v>
      </c>
      <c r="C343" s="5" t="s">
        <v>79</v>
      </c>
      <c r="D343" s="8" t="s">
        <v>1952</v>
      </c>
      <c r="E343" s="28">
        <v>3037</v>
      </c>
      <c r="F343" s="8" t="s">
        <v>1953</v>
      </c>
      <c r="G343" s="8"/>
      <c r="H343" s="8"/>
      <c r="I343" s="8"/>
      <c r="J343" s="8"/>
      <c r="K343" s="8"/>
      <c r="L343" s="8" t="s">
        <v>1594</v>
      </c>
      <c r="M343" s="8" t="s">
        <v>1954</v>
      </c>
      <c r="N343" s="8" t="s">
        <v>1955</v>
      </c>
      <c r="O343" s="9" t="s">
        <v>1956</v>
      </c>
      <c r="P343" s="10" t="str">
        <f t="shared" ca="1" si="84"/>
        <v>NA</v>
      </c>
      <c r="Q343" s="5" t="str">
        <f t="shared" ca="1" si="85"/>
        <v>NA</v>
      </c>
      <c r="R343" s="5" t="str">
        <f t="shared" ca="1" si="86"/>
        <v>NA</v>
      </c>
      <c r="S343" s="7" t="str">
        <f t="shared" ca="1" si="87"/>
        <v>NA</v>
      </c>
      <c r="T343" s="7" t="str">
        <f t="shared" ca="1" si="88"/>
        <v>NA</v>
      </c>
      <c r="U343" s="7" t="str">
        <f t="shared" ca="1" si="89"/>
        <v>NA</v>
      </c>
      <c r="V343" s="8" t="s">
        <v>1640</v>
      </c>
      <c r="W343" s="14" t="s">
        <v>96</v>
      </c>
      <c r="X343" s="8" t="s">
        <v>1641</v>
      </c>
      <c r="Y343" s="5">
        <f t="shared" ca="1" si="121"/>
        <v>3</v>
      </c>
      <c r="Z343" s="8" t="s">
        <v>1957</v>
      </c>
      <c r="AA343" s="12" t="str">
        <f t="shared" ca="1" si="91"/>
        <v>NA</v>
      </c>
      <c r="AB343" s="12" t="str">
        <f t="shared" ca="1" si="92"/>
        <v>NA</v>
      </c>
      <c r="AC343" s="12" t="str">
        <f t="shared" ca="1" si="93"/>
        <v>NA</v>
      </c>
      <c r="AD343" s="8" t="s">
        <v>1640</v>
      </c>
      <c r="AE343" s="5"/>
      <c r="AF343" s="8" t="s">
        <v>1641</v>
      </c>
      <c r="AG343" s="11">
        <v>38692</v>
      </c>
      <c r="AH343" s="12">
        <f t="shared" ca="1" si="94"/>
        <v>2005</v>
      </c>
      <c r="AI343" s="12">
        <f t="shared" ca="1" si="95"/>
        <v>12</v>
      </c>
      <c r="AJ343" s="12">
        <f t="shared" ca="1" si="96"/>
        <v>6</v>
      </c>
      <c r="AK343" s="8" t="s">
        <v>1958</v>
      </c>
      <c r="AL343" s="8"/>
      <c r="AM343" s="5"/>
      <c r="AN343" s="5"/>
      <c r="AO343" s="8" t="s">
        <v>1959</v>
      </c>
      <c r="AP343" s="12" t="str">
        <f t="shared" ca="1" si="97"/>
        <v>NA</v>
      </c>
      <c r="AQ343" s="12" t="str">
        <f t="shared" ca="1" si="98"/>
        <v>NA</v>
      </c>
      <c r="AR343" s="12" t="str">
        <f t="shared" ca="1" si="99"/>
        <v>NA</v>
      </c>
      <c r="AS343" s="8" t="s">
        <v>1960</v>
      </c>
      <c r="AT343" s="8"/>
      <c r="AU343" s="11">
        <v>33523</v>
      </c>
      <c r="AV343" s="12">
        <f t="shared" ca="1" si="100"/>
        <v>1991</v>
      </c>
      <c r="AW343" s="12">
        <f t="shared" ca="1" si="101"/>
        <v>10</v>
      </c>
      <c r="AX343" s="12">
        <f t="shared" ca="1" si="102"/>
        <v>12</v>
      </c>
      <c r="AY343" s="8" t="s">
        <v>1961</v>
      </c>
      <c r="AZ343" s="8"/>
      <c r="BA343" s="11">
        <v>33724</v>
      </c>
      <c r="BB343" s="12">
        <f t="shared" ca="1" si="103"/>
        <v>1992</v>
      </c>
      <c r="BC343" s="12">
        <f t="shared" ca="1" si="104"/>
        <v>4</v>
      </c>
      <c r="BD343" s="12">
        <f t="shared" ca="1" si="105"/>
        <v>30</v>
      </c>
      <c r="BE343" s="8" t="s">
        <v>1962</v>
      </c>
      <c r="BF343" s="8"/>
      <c r="BG343" s="11">
        <v>37586</v>
      </c>
      <c r="BH343" s="12">
        <f t="shared" ca="1" si="106"/>
        <v>2002</v>
      </c>
      <c r="BI343" s="12">
        <f t="shared" ca="1" si="107"/>
        <v>11</v>
      </c>
      <c r="BJ343" s="12">
        <f t="shared" ca="1" si="108"/>
        <v>26</v>
      </c>
      <c r="BK343" s="8" t="s">
        <v>1963</v>
      </c>
      <c r="BL343" s="5"/>
      <c r="BM343" s="12" t="str">
        <f t="shared" ca="1" si="109"/>
        <v>NA</v>
      </c>
      <c r="BN343" s="12" t="str">
        <f t="shared" ca="1" si="110"/>
        <v>NA</v>
      </c>
      <c r="BO343" s="12" t="str">
        <f t="shared" ca="1" si="111"/>
        <v>NA</v>
      </c>
      <c r="BP343" s="5"/>
      <c r="BQ343" s="5"/>
      <c r="BR343" s="5"/>
      <c r="BS343" s="12" t="str">
        <f t="shared" ca="1" si="112"/>
        <v>NA</v>
      </c>
      <c r="BT343" s="12" t="str">
        <f t="shared" ca="1" si="113"/>
        <v>NA</v>
      </c>
      <c r="BU343" s="12" t="str">
        <f t="shared" ca="1" si="114"/>
        <v>NA</v>
      </c>
      <c r="BV343" s="5"/>
      <c r="BW343" s="5"/>
      <c r="BX343" s="12" t="str">
        <f t="shared" ca="1" si="115"/>
        <v>NA</v>
      </c>
      <c r="BY343" s="12" t="str">
        <f t="shared" ca="1" si="116"/>
        <v>NA</v>
      </c>
      <c r="BZ343" s="12" t="str">
        <f t="shared" ca="1" si="117"/>
        <v>NA</v>
      </c>
      <c r="CA343" s="5"/>
    </row>
    <row r="344" spans="1:79" ht="12.75" customHeight="1" x14ac:dyDescent="0.15">
      <c r="A344" s="4">
        <v>2337</v>
      </c>
      <c r="B344" s="5" t="s">
        <v>79</v>
      </c>
      <c r="C344" s="5" t="s">
        <v>79</v>
      </c>
      <c r="D344" s="8" t="s">
        <v>1964</v>
      </c>
      <c r="E344" s="8" t="s">
        <v>1965</v>
      </c>
      <c r="F344" s="8" t="s">
        <v>1966</v>
      </c>
      <c r="G344" s="8"/>
      <c r="H344" s="8"/>
      <c r="I344" s="8"/>
      <c r="J344" s="8"/>
      <c r="K344" s="8"/>
      <c r="L344" s="8" t="s">
        <v>1594</v>
      </c>
      <c r="M344" s="8" t="s">
        <v>1967</v>
      </c>
      <c r="N344" s="8" t="s">
        <v>1968</v>
      </c>
      <c r="O344" s="9" t="s">
        <v>1969</v>
      </c>
      <c r="P344" s="10" t="str">
        <f t="shared" ca="1" si="84"/>
        <v>NA</v>
      </c>
      <c r="Q344" s="5" t="str">
        <f t="shared" ca="1" si="85"/>
        <v>NA</v>
      </c>
      <c r="R344" s="5" t="str">
        <f t="shared" ca="1" si="86"/>
        <v>NA</v>
      </c>
      <c r="S344" s="7" t="str">
        <f t="shared" ca="1" si="87"/>
        <v>NA</v>
      </c>
      <c r="T344" s="7" t="str">
        <f t="shared" ca="1" si="88"/>
        <v>NA</v>
      </c>
      <c r="U344" s="7" t="str">
        <f t="shared" ca="1" si="89"/>
        <v>NA</v>
      </c>
      <c r="V344" s="8" t="s">
        <v>1970</v>
      </c>
      <c r="W344" s="14" t="s">
        <v>96</v>
      </c>
      <c r="X344" s="8"/>
      <c r="Y344" s="5">
        <f t="shared" ca="1" si="121"/>
        <v>3</v>
      </c>
      <c r="Z344" s="8" t="s">
        <v>1971</v>
      </c>
      <c r="AA344" s="12" t="str">
        <f t="shared" ca="1" si="91"/>
        <v>NA</v>
      </c>
      <c r="AB344" s="12" t="str">
        <f t="shared" ca="1" si="92"/>
        <v>NA</v>
      </c>
      <c r="AC344" s="12" t="str">
        <f t="shared" ca="1" si="93"/>
        <v>NA</v>
      </c>
      <c r="AD344" s="8" t="s">
        <v>1972</v>
      </c>
      <c r="AE344" s="5"/>
      <c r="AF344" s="8"/>
      <c r="AG344" s="8" t="s">
        <v>1973</v>
      </c>
      <c r="AH344" s="12" t="str">
        <f t="shared" ca="1" si="94"/>
        <v>NA</v>
      </c>
      <c r="AI344" s="12" t="str">
        <f t="shared" ca="1" si="95"/>
        <v>NA</v>
      </c>
      <c r="AJ344" s="12" t="str">
        <f t="shared" ca="1" si="96"/>
        <v>NA</v>
      </c>
      <c r="AK344" s="8" t="s">
        <v>1974</v>
      </c>
      <c r="AL344" s="8"/>
      <c r="AM344" s="11">
        <v>40484</v>
      </c>
      <c r="AN344" s="8" t="s">
        <v>1975</v>
      </c>
      <c r="AO344" s="11">
        <v>37105</v>
      </c>
      <c r="AP344" s="12">
        <f t="shared" ca="1" si="97"/>
        <v>2001</v>
      </c>
      <c r="AQ344" s="12">
        <f t="shared" ca="1" si="98"/>
        <v>8</v>
      </c>
      <c r="AR344" s="12">
        <f t="shared" ca="1" si="99"/>
        <v>2</v>
      </c>
      <c r="AS344" s="8" t="s">
        <v>1976</v>
      </c>
      <c r="AT344" s="8"/>
      <c r="AU344" s="11">
        <v>37216</v>
      </c>
      <c r="AV344" s="12">
        <f t="shared" ca="1" si="100"/>
        <v>2001</v>
      </c>
      <c r="AW344" s="12">
        <f t="shared" ca="1" si="101"/>
        <v>11</v>
      </c>
      <c r="AX344" s="12">
        <f t="shared" ca="1" si="102"/>
        <v>21</v>
      </c>
      <c r="AY344" s="8" t="s">
        <v>1977</v>
      </c>
      <c r="AZ344" s="8"/>
      <c r="BA344" s="11">
        <v>39602</v>
      </c>
      <c r="BB344" s="12">
        <f t="shared" ca="1" si="103"/>
        <v>2008</v>
      </c>
      <c r="BC344" s="12">
        <f t="shared" ca="1" si="104"/>
        <v>6</v>
      </c>
      <c r="BD344" s="12">
        <f t="shared" ca="1" si="105"/>
        <v>3</v>
      </c>
      <c r="BE344" s="8" t="s">
        <v>1978</v>
      </c>
      <c r="BF344" s="8"/>
      <c r="BG344" s="5"/>
      <c r="BH344" s="12" t="str">
        <f t="shared" ca="1" si="106"/>
        <v>NA</v>
      </c>
      <c r="BI344" s="12" t="str">
        <f t="shared" ca="1" si="107"/>
        <v>NA</v>
      </c>
      <c r="BJ344" s="12" t="str">
        <f t="shared" ca="1" si="108"/>
        <v>NA</v>
      </c>
      <c r="BK344" s="5"/>
      <c r="BL344" s="5"/>
      <c r="BM344" s="12" t="str">
        <f t="shared" ca="1" si="109"/>
        <v>NA</v>
      </c>
      <c r="BN344" s="12" t="str">
        <f t="shared" ca="1" si="110"/>
        <v>NA</v>
      </c>
      <c r="BO344" s="12" t="str">
        <f t="shared" ca="1" si="111"/>
        <v>NA</v>
      </c>
      <c r="BP344" s="5"/>
      <c r="BQ344" s="5"/>
      <c r="BR344" s="5"/>
      <c r="BS344" s="12" t="str">
        <f t="shared" ca="1" si="112"/>
        <v>NA</v>
      </c>
      <c r="BT344" s="12" t="str">
        <f t="shared" ca="1" si="113"/>
        <v>NA</v>
      </c>
      <c r="BU344" s="12" t="str">
        <f t="shared" ca="1" si="114"/>
        <v>NA</v>
      </c>
      <c r="BV344" s="5"/>
      <c r="BW344" s="5"/>
      <c r="BX344" s="12" t="str">
        <f t="shared" ca="1" si="115"/>
        <v>NA</v>
      </c>
      <c r="BY344" s="12" t="str">
        <f t="shared" ca="1" si="116"/>
        <v>NA</v>
      </c>
      <c r="BZ344" s="12" t="str">
        <f t="shared" ca="1" si="117"/>
        <v>NA</v>
      </c>
      <c r="CA344" s="5"/>
    </row>
    <row r="345" spans="1:79" ht="12.75" customHeight="1" x14ac:dyDescent="0.15">
      <c r="A345" s="4">
        <v>2421</v>
      </c>
      <c r="B345" s="5" t="s">
        <v>79</v>
      </c>
      <c r="C345" s="5" t="s">
        <v>79</v>
      </c>
      <c r="D345" s="8" t="s">
        <v>1979</v>
      </c>
      <c r="E345" s="28">
        <v>990648</v>
      </c>
      <c r="F345" s="8" t="s">
        <v>1980</v>
      </c>
      <c r="G345" s="8"/>
      <c r="H345" s="8"/>
      <c r="I345" s="8"/>
      <c r="J345" s="8"/>
      <c r="K345" s="8"/>
      <c r="L345" s="8" t="s">
        <v>1594</v>
      </c>
      <c r="M345" s="8" t="s">
        <v>1981</v>
      </c>
      <c r="N345" s="8" t="s">
        <v>1982</v>
      </c>
      <c r="O345" s="9" t="s">
        <v>1983</v>
      </c>
      <c r="P345" s="10" t="str">
        <f t="shared" ca="1" si="84"/>
        <v>NA</v>
      </c>
      <c r="Q345" s="5" t="str">
        <f t="shared" ca="1" si="85"/>
        <v>NA</v>
      </c>
      <c r="R345" s="5" t="str">
        <f t="shared" ca="1" si="86"/>
        <v>NA</v>
      </c>
      <c r="S345" s="7" t="str">
        <f t="shared" ca="1" si="87"/>
        <v>NA</v>
      </c>
      <c r="T345" s="7" t="str">
        <f t="shared" ca="1" si="88"/>
        <v>NA</v>
      </c>
      <c r="U345" s="7" t="str">
        <f t="shared" ca="1" si="89"/>
        <v>NA</v>
      </c>
      <c r="V345" s="8" t="s">
        <v>1984</v>
      </c>
      <c r="W345" s="14" t="s">
        <v>96</v>
      </c>
      <c r="X345" s="8"/>
      <c r="Y345" s="5">
        <f t="shared" ca="1" si="121"/>
        <v>1</v>
      </c>
      <c r="Z345" s="8" t="s">
        <v>1985</v>
      </c>
      <c r="AA345" s="12" t="str">
        <f t="shared" ca="1" si="91"/>
        <v>NA</v>
      </c>
      <c r="AB345" s="12" t="str">
        <f t="shared" ca="1" si="92"/>
        <v>NA</v>
      </c>
      <c r="AC345" s="12" t="str">
        <f t="shared" ca="1" si="93"/>
        <v>NA</v>
      </c>
      <c r="AD345" s="8" t="s">
        <v>1986</v>
      </c>
      <c r="AE345" s="5"/>
      <c r="AF345" s="8"/>
      <c r="AG345" s="11">
        <v>37660</v>
      </c>
      <c r="AH345" s="12">
        <f t="shared" ca="1" si="94"/>
        <v>2003</v>
      </c>
      <c r="AI345" s="12">
        <f t="shared" ca="1" si="95"/>
        <v>2</v>
      </c>
      <c r="AJ345" s="12">
        <f t="shared" ca="1" si="96"/>
        <v>8</v>
      </c>
      <c r="AK345" s="8" t="s">
        <v>1987</v>
      </c>
      <c r="AL345" s="8"/>
      <c r="AM345" s="5"/>
      <c r="AN345" s="5"/>
      <c r="AO345" s="21" t="s">
        <v>1988</v>
      </c>
      <c r="AP345" s="12" t="str">
        <f t="shared" ca="1" si="97"/>
        <v>NA</v>
      </c>
      <c r="AQ345" s="12" t="str">
        <f t="shared" ca="1" si="98"/>
        <v>NA</v>
      </c>
      <c r="AR345" s="12" t="str">
        <f t="shared" ca="1" si="99"/>
        <v>NA</v>
      </c>
      <c r="AS345" s="6" t="s">
        <v>1989</v>
      </c>
      <c r="AT345" s="6"/>
      <c r="AU345" s="11">
        <v>37461</v>
      </c>
      <c r="AV345" s="12">
        <f t="shared" ca="1" si="100"/>
        <v>2002</v>
      </c>
      <c r="AW345" s="12">
        <f t="shared" ca="1" si="101"/>
        <v>7</v>
      </c>
      <c r="AX345" s="12">
        <f t="shared" ca="1" si="102"/>
        <v>24</v>
      </c>
      <c r="AY345" s="8" t="s">
        <v>1990</v>
      </c>
      <c r="AZ345" s="8"/>
      <c r="BA345" s="8"/>
      <c r="BB345" s="12" t="str">
        <f t="shared" ca="1" si="103"/>
        <v>NA</v>
      </c>
      <c r="BC345" s="12" t="str">
        <f t="shared" ca="1" si="104"/>
        <v>NA</v>
      </c>
      <c r="BD345" s="12" t="str">
        <f t="shared" ca="1" si="105"/>
        <v>NA</v>
      </c>
      <c r="BE345" s="5"/>
      <c r="BF345" s="5"/>
      <c r="BG345" s="5"/>
      <c r="BH345" s="12" t="str">
        <f t="shared" ca="1" si="106"/>
        <v>NA</v>
      </c>
      <c r="BI345" s="12" t="str">
        <f t="shared" ca="1" si="107"/>
        <v>NA</v>
      </c>
      <c r="BJ345" s="12" t="str">
        <f t="shared" ca="1" si="108"/>
        <v>NA</v>
      </c>
      <c r="BK345" s="5"/>
      <c r="BL345" s="5"/>
      <c r="BM345" s="12" t="str">
        <f t="shared" ca="1" si="109"/>
        <v>NA</v>
      </c>
      <c r="BN345" s="12" t="str">
        <f t="shared" ca="1" si="110"/>
        <v>NA</v>
      </c>
      <c r="BO345" s="12" t="str">
        <f t="shared" ca="1" si="111"/>
        <v>NA</v>
      </c>
      <c r="BP345" s="5"/>
      <c r="BQ345" s="5"/>
      <c r="BR345" s="5"/>
      <c r="BS345" s="12" t="str">
        <f t="shared" ca="1" si="112"/>
        <v>NA</v>
      </c>
      <c r="BT345" s="12" t="str">
        <f t="shared" ca="1" si="113"/>
        <v>NA</v>
      </c>
      <c r="BU345" s="12" t="str">
        <f t="shared" ca="1" si="114"/>
        <v>NA</v>
      </c>
      <c r="BV345" s="5"/>
      <c r="BW345" s="5"/>
      <c r="BX345" s="12" t="str">
        <f t="shared" ca="1" si="115"/>
        <v>NA</v>
      </c>
      <c r="BY345" s="12" t="str">
        <f t="shared" ca="1" si="116"/>
        <v>NA</v>
      </c>
      <c r="BZ345" s="12" t="str">
        <f t="shared" ca="1" si="117"/>
        <v>NA</v>
      </c>
      <c r="CA345" s="5"/>
    </row>
    <row r="346" spans="1:79" ht="12.75" customHeight="1" x14ac:dyDescent="0.15">
      <c r="A346" s="4">
        <v>1022</v>
      </c>
      <c r="B346" s="5" t="s">
        <v>79</v>
      </c>
      <c r="C346" s="5" t="s">
        <v>79</v>
      </c>
      <c r="D346" s="6" t="s">
        <v>1991</v>
      </c>
      <c r="E346" s="7">
        <v>9420</v>
      </c>
      <c r="F346" s="6" t="s">
        <v>1992</v>
      </c>
      <c r="G346" s="8"/>
      <c r="H346" s="8"/>
      <c r="I346" s="8"/>
      <c r="J346" s="8"/>
      <c r="K346" s="8"/>
      <c r="L346" s="8" t="s">
        <v>1594</v>
      </c>
      <c r="M346" s="6" t="s">
        <v>1993</v>
      </c>
      <c r="N346" s="6" t="s">
        <v>1994</v>
      </c>
      <c r="O346" s="23">
        <v>31048</v>
      </c>
      <c r="P346" s="10">
        <f t="shared" ca="1" si="84"/>
        <v>15.275</v>
      </c>
      <c r="Q346" s="5">
        <f t="shared" ca="1" si="85"/>
        <v>183</v>
      </c>
      <c r="R346" s="5">
        <f t="shared" ca="1" si="86"/>
        <v>5578</v>
      </c>
      <c r="S346" s="7">
        <f t="shared" ca="1" si="87"/>
        <v>1985</v>
      </c>
      <c r="T346" s="7">
        <f t="shared" ca="1" si="88"/>
        <v>1</v>
      </c>
      <c r="U346" s="7">
        <f t="shared" ca="1" si="89"/>
        <v>1</v>
      </c>
      <c r="V346" s="8" t="s">
        <v>1640</v>
      </c>
      <c r="W346" s="8" t="s">
        <v>84</v>
      </c>
      <c r="X346" s="8" t="s">
        <v>1641</v>
      </c>
      <c r="Y346" s="5">
        <f t="shared" ca="1" si="121"/>
        <v>3</v>
      </c>
      <c r="Z346" s="8" t="s">
        <v>1995</v>
      </c>
      <c r="AA346" s="12" t="str">
        <f t="shared" ca="1" si="91"/>
        <v>NA</v>
      </c>
      <c r="AB346" s="12" t="str">
        <f t="shared" ca="1" si="92"/>
        <v>NA</v>
      </c>
      <c r="AC346" s="12" t="str">
        <f t="shared" ca="1" si="93"/>
        <v>NA</v>
      </c>
      <c r="AD346" s="8" t="s">
        <v>1640</v>
      </c>
      <c r="AE346" s="5"/>
      <c r="AF346" s="8" t="s">
        <v>1641</v>
      </c>
      <c r="AG346" s="11">
        <v>36626</v>
      </c>
      <c r="AH346" s="12">
        <f t="shared" ca="1" si="94"/>
        <v>2000</v>
      </c>
      <c r="AI346" s="12">
        <f t="shared" ca="1" si="95"/>
        <v>4</v>
      </c>
      <c r="AJ346" s="12">
        <f t="shared" ca="1" si="96"/>
        <v>10</v>
      </c>
      <c r="AK346" s="8" t="s">
        <v>1996</v>
      </c>
      <c r="AL346" s="8"/>
      <c r="AM346" s="5"/>
      <c r="AN346" s="5"/>
      <c r="AO346" s="11">
        <v>31503</v>
      </c>
      <c r="AP346" s="12">
        <f t="shared" ca="1" si="97"/>
        <v>1986</v>
      </c>
      <c r="AQ346" s="12">
        <f t="shared" ca="1" si="98"/>
        <v>4</v>
      </c>
      <c r="AR346" s="12">
        <f t="shared" ca="1" si="99"/>
        <v>1</v>
      </c>
      <c r="AS346" s="8" t="s">
        <v>1997</v>
      </c>
      <c r="AT346" s="8"/>
      <c r="AU346" s="11">
        <v>31872</v>
      </c>
      <c r="AV346" s="12">
        <f t="shared" ca="1" si="100"/>
        <v>1987</v>
      </c>
      <c r="AW346" s="12">
        <f t="shared" ca="1" si="101"/>
        <v>4</v>
      </c>
      <c r="AX346" s="12">
        <f t="shared" ca="1" si="102"/>
        <v>5</v>
      </c>
      <c r="AY346" s="8" t="s">
        <v>1998</v>
      </c>
      <c r="AZ346" s="8"/>
      <c r="BA346" s="11">
        <v>35969</v>
      </c>
      <c r="BB346" s="12">
        <f t="shared" ca="1" si="103"/>
        <v>1998</v>
      </c>
      <c r="BC346" s="12">
        <f t="shared" ca="1" si="104"/>
        <v>6</v>
      </c>
      <c r="BD346" s="12">
        <f t="shared" ca="1" si="105"/>
        <v>23</v>
      </c>
      <c r="BE346" s="8" t="s">
        <v>1999</v>
      </c>
      <c r="BF346" s="8"/>
      <c r="BG346" s="5"/>
      <c r="BH346" s="12" t="str">
        <f t="shared" ca="1" si="106"/>
        <v>NA</v>
      </c>
      <c r="BI346" s="12" t="str">
        <f t="shared" ca="1" si="107"/>
        <v>NA</v>
      </c>
      <c r="BJ346" s="12" t="str">
        <f t="shared" ca="1" si="108"/>
        <v>NA</v>
      </c>
      <c r="BK346" s="5"/>
      <c r="BL346" s="5"/>
      <c r="BM346" s="12" t="str">
        <f t="shared" ca="1" si="109"/>
        <v>NA</v>
      </c>
      <c r="BN346" s="12" t="str">
        <f t="shared" ca="1" si="110"/>
        <v>NA</v>
      </c>
      <c r="BO346" s="12" t="str">
        <f t="shared" ca="1" si="111"/>
        <v>NA</v>
      </c>
      <c r="BP346" s="5"/>
      <c r="BQ346" s="5"/>
      <c r="BR346" s="5"/>
      <c r="BS346" s="12" t="str">
        <f t="shared" ca="1" si="112"/>
        <v>NA</v>
      </c>
      <c r="BT346" s="12" t="str">
        <f t="shared" ca="1" si="113"/>
        <v>NA</v>
      </c>
      <c r="BU346" s="12" t="str">
        <f t="shared" ca="1" si="114"/>
        <v>NA</v>
      </c>
      <c r="BV346" s="5"/>
      <c r="BW346" s="5"/>
      <c r="BX346" s="12" t="str">
        <f t="shared" ca="1" si="115"/>
        <v>NA</v>
      </c>
      <c r="BY346" s="12" t="str">
        <f t="shared" ca="1" si="116"/>
        <v>NA</v>
      </c>
      <c r="BZ346" s="12" t="str">
        <f t="shared" ca="1" si="117"/>
        <v>NA</v>
      </c>
      <c r="CA346" s="5"/>
    </row>
    <row r="347" spans="1:79" ht="12.75" customHeight="1" x14ac:dyDescent="0.15">
      <c r="A347" s="4">
        <v>1126</v>
      </c>
      <c r="B347" s="5" t="s">
        <v>79</v>
      </c>
      <c r="C347" s="5" t="s">
        <v>79</v>
      </c>
      <c r="D347" s="8" t="s">
        <v>2000</v>
      </c>
      <c r="E347" s="28">
        <v>10055</v>
      </c>
      <c r="F347" s="8" t="s">
        <v>2001</v>
      </c>
      <c r="G347" s="8"/>
      <c r="H347" s="8"/>
      <c r="I347" s="8"/>
      <c r="J347" s="8"/>
      <c r="K347" s="8"/>
      <c r="L347" s="8" t="s">
        <v>1594</v>
      </c>
      <c r="M347" s="8" t="s">
        <v>2002</v>
      </c>
      <c r="N347" s="8" t="s">
        <v>2003</v>
      </c>
      <c r="O347" s="9" t="s">
        <v>2004</v>
      </c>
      <c r="P347" s="10" t="str">
        <f t="shared" ca="1" si="84"/>
        <v>NA</v>
      </c>
      <c r="Q347" s="5" t="str">
        <f t="shared" ca="1" si="85"/>
        <v>NA</v>
      </c>
      <c r="R347" s="5" t="str">
        <f t="shared" ca="1" si="86"/>
        <v>NA</v>
      </c>
      <c r="S347" s="7" t="str">
        <f t="shared" ca="1" si="87"/>
        <v>NA</v>
      </c>
      <c r="T347" s="7" t="str">
        <f t="shared" ca="1" si="88"/>
        <v>NA</v>
      </c>
      <c r="U347" s="7" t="str">
        <f t="shared" ca="1" si="89"/>
        <v>NA</v>
      </c>
      <c r="V347" s="8" t="s">
        <v>1640</v>
      </c>
      <c r="W347" s="14" t="s">
        <v>96</v>
      </c>
      <c r="X347" s="8" t="s">
        <v>1641</v>
      </c>
      <c r="Y347" s="5">
        <f t="shared" ca="1" si="121"/>
        <v>2</v>
      </c>
      <c r="Z347" s="8" t="s">
        <v>2005</v>
      </c>
      <c r="AA347" s="12" t="str">
        <f t="shared" ca="1" si="91"/>
        <v>NA</v>
      </c>
      <c r="AB347" s="12" t="str">
        <f t="shared" ca="1" si="92"/>
        <v>NA</v>
      </c>
      <c r="AC347" s="12" t="str">
        <f t="shared" ca="1" si="93"/>
        <v>NA</v>
      </c>
      <c r="AD347" s="8" t="s">
        <v>1640</v>
      </c>
      <c r="AE347" s="5"/>
      <c r="AF347" s="8" t="s">
        <v>1641</v>
      </c>
      <c r="AG347" s="11">
        <v>38302</v>
      </c>
      <c r="AH347" s="12">
        <f t="shared" ca="1" si="94"/>
        <v>2004</v>
      </c>
      <c r="AI347" s="12">
        <f t="shared" ca="1" si="95"/>
        <v>11</v>
      </c>
      <c r="AJ347" s="12">
        <f t="shared" ca="1" si="96"/>
        <v>11</v>
      </c>
      <c r="AK347" s="8" t="s">
        <v>2006</v>
      </c>
      <c r="AL347" s="8"/>
      <c r="AM347" s="5"/>
      <c r="AN347" s="5"/>
      <c r="AO347" s="8" t="s">
        <v>2007</v>
      </c>
      <c r="AP347" s="12" t="str">
        <f t="shared" ca="1" si="97"/>
        <v>NA</v>
      </c>
      <c r="AQ347" s="12" t="str">
        <f t="shared" ca="1" si="98"/>
        <v>NA</v>
      </c>
      <c r="AR347" s="12" t="str">
        <f t="shared" ca="1" si="99"/>
        <v>NA</v>
      </c>
      <c r="AS347" s="8" t="s">
        <v>2008</v>
      </c>
      <c r="AT347" s="8"/>
      <c r="AU347" s="11">
        <v>35630</v>
      </c>
      <c r="AV347" s="12">
        <f t="shared" ca="1" si="100"/>
        <v>1997</v>
      </c>
      <c r="AW347" s="12">
        <f t="shared" ca="1" si="101"/>
        <v>7</v>
      </c>
      <c r="AX347" s="12">
        <f t="shared" ca="1" si="102"/>
        <v>19</v>
      </c>
      <c r="AY347" s="8" t="s">
        <v>2009</v>
      </c>
      <c r="AZ347" s="8"/>
      <c r="BA347" s="11">
        <v>36789</v>
      </c>
      <c r="BB347" s="12">
        <f t="shared" ca="1" si="103"/>
        <v>2000</v>
      </c>
      <c r="BC347" s="12">
        <f t="shared" ca="1" si="104"/>
        <v>9</v>
      </c>
      <c r="BD347" s="12">
        <f t="shared" ca="1" si="105"/>
        <v>20</v>
      </c>
      <c r="BE347" s="8" t="s">
        <v>2010</v>
      </c>
      <c r="BF347" s="8"/>
      <c r="BG347" s="5"/>
      <c r="BH347" s="12" t="str">
        <f t="shared" ca="1" si="106"/>
        <v>NA</v>
      </c>
      <c r="BI347" s="12" t="str">
        <f t="shared" ca="1" si="107"/>
        <v>NA</v>
      </c>
      <c r="BJ347" s="12" t="str">
        <f t="shared" ca="1" si="108"/>
        <v>NA</v>
      </c>
      <c r="BK347" s="5"/>
      <c r="BL347" s="5"/>
      <c r="BM347" s="12" t="str">
        <f t="shared" ca="1" si="109"/>
        <v>NA</v>
      </c>
      <c r="BN347" s="12" t="str">
        <f t="shared" ca="1" si="110"/>
        <v>NA</v>
      </c>
      <c r="BO347" s="12" t="str">
        <f t="shared" ca="1" si="111"/>
        <v>NA</v>
      </c>
      <c r="BP347" s="5"/>
      <c r="BQ347" s="5"/>
      <c r="BR347" s="5"/>
      <c r="BS347" s="12" t="str">
        <f t="shared" ca="1" si="112"/>
        <v>NA</v>
      </c>
      <c r="BT347" s="12" t="str">
        <f t="shared" ca="1" si="113"/>
        <v>NA</v>
      </c>
      <c r="BU347" s="12" t="str">
        <f t="shared" ca="1" si="114"/>
        <v>NA</v>
      </c>
      <c r="BV347" s="5"/>
      <c r="BW347" s="5"/>
      <c r="BX347" s="12" t="str">
        <f t="shared" ca="1" si="115"/>
        <v>NA</v>
      </c>
      <c r="BY347" s="12" t="str">
        <f t="shared" ca="1" si="116"/>
        <v>NA</v>
      </c>
      <c r="BZ347" s="12" t="str">
        <f t="shared" ca="1" si="117"/>
        <v>NA</v>
      </c>
      <c r="CA347" s="5"/>
    </row>
    <row r="348" spans="1:79" ht="12.75" customHeight="1" x14ac:dyDescent="0.15">
      <c r="A348" s="4">
        <v>2336</v>
      </c>
      <c r="B348" s="5" t="s">
        <v>79</v>
      </c>
      <c r="C348" s="5" t="s">
        <v>79</v>
      </c>
      <c r="D348" s="8" t="s">
        <v>2011</v>
      </c>
      <c r="E348" s="8" t="s">
        <v>2012</v>
      </c>
      <c r="F348" s="8" t="s">
        <v>2013</v>
      </c>
      <c r="G348" s="8"/>
      <c r="H348" s="8"/>
      <c r="I348" s="8"/>
      <c r="J348" s="8"/>
      <c r="K348" s="8"/>
      <c r="L348" s="8" t="s">
        <v>1594</v>
      </c>
      <c r="M348" s="8" t="s">
        <v>2014</v>
      </c>
      <c r="N348" s="8" t="s">
        <v>2015</v>
      </c>
      <c r="O348" s="9" t="s">
        <v>2016</v>
      </c>
      <c r="P348" s="10" t="str">
        <f t="shared" ca="1" si="84"/>
        <v>NA</v>
      </c>
      <c r="Q348" s="5" t="str">
        <f t="shared" ca="1" si="85"/>
        <v>NA</v>
      </c>
      <c r="R348" s="5" t="str">
        <f t="shared" ca="1" si="86"/>
        <v>NA</v>
      </c>
      <c r="S348" s="7" t="str">
        <f t="shared" ca="1" si="87"/>
        <v>NA</v>
      </c>
      <c r="T348" s="7" t="str">
        <f t="shared" ca="1" si="88"/>
        <v>NA</v>
      </c>
      <c r="U348" s="7" t="str">
        <f t="shared" ca="1" si="89"/>
        <v>NA</v>
      </c>
      <c r="V348" s="8" t="s">
        <v>2017</v>
      </c>
      <c r="W348" s="14" t="s">
        <v>96</v>
      </c>
      <c r="X348" s="8"/>
      <c r="Y348" s="5">
        <f t="shared" ca="1" si="121"/>
        <v>5</v>
      </c>
      <c r="Z348" s="8" t="s">
        <v>2018</v>
      </c>
      <c r="AA348" s="12" t="str">
        <f t="shared" ca="1" si="91"/>
        <v>NA</v>
      </c>
      <c r="AB348" s="12" t="str">
        <f t="shared" ca="1" si="92"/>
        <v>NA</v>
      </c>
      <c r="AC348" s="12" t="str">
        <f t="shared" ca="1" si="93"/>
        <v>NA</v>
      </c>
      <c r="AD348" s="8" t="s">
        <v>2019</v>
      </c>
      <c r="AE348" s="5"/>
      <c r="AF348" s="8"/>
      <c r="AG348" s="11">
        <v>41343</v>
      </c>
      <c r="AH348" s="12">
        <f t="shared" ca="1" si="94"/>
        <v>2013</v>
      </c>
      <c r="AI348" s="12">
        <f t="shared" ca="1" si="95"/>
        <v>3</v>
      </c>
      <c r="AJ348" s="12">
        <f t="shared" ca="1" si="96"/>
        <v>10</v>
      </c>
      <c r="AK348" s="8" t="s">
        <v>2020</v>
      </c>
      <c r="AL348" s="8"/>
      <c r="AM348" s="5"/>
      <c r="AN348" s="5"/>
      <c r="AO348" s="11">
        <v>37105</v>
      </c>
      <c r="AP348" s="12">
        <f t="shared" ca="1" si="97"/>
        <v>2001</v>
      </c>
      <c r="AQ348" s="12">
        <f t="shared" ca="1" si="98"/>
        <v>8</v>
      </c>
      <c r="AR348" s="12">
        <f t="shared" ca="1" si="99"/>
        <v>2</v>
      </c>
      <c r="AS348" s="8" t="s">
        <v>2021</v>
      </c>
      <c r="AT348" s="8"/>
      <c r="AU348" s="11">
        <v>37217</v>
      </c>
      <c r="AV348" s="12">
        <f t="shared" ca="1" si="100"/>
        <v>2001</v>
      </c>
      <c r="AW348" s="12">
        <f t="shared" ca="1" si="101"/>
        <v>11</v>
      </c>
      <c r="AX348" s="12">
        <f t="shared" ca="1" si="102"/>
        <v>22</v>
      </c>
      <c r="AY348" s="8" t="s">
        <v>2022</v>
      </c>
      <c r="AZ348" s="8"/>
      <c r="BA348" s="11">
        <v>38275</v>
      </c>
      <c r="BB348" s="12">
        <f t="shared" ca="1" si="103"/>
        <v>2004</v>
      </c>
      <c r="BC348" s="12">
        <f t="shared" ca="1" si="104"/>
        <v>10</v>
      </c>
      <c r="BD348" s="12">
        <f t="shared" ca="1" si="105"/>
        <v>15</v>
      </c>
      <c r="BE348" s="8" t="s">
        <v>2023</v>
      </c>
      <c r="BF348" s="8"/>
      <c r="BG348" s="11">
        <v>39966</v>
      </c>
      <c r="BH348" s="12">
        <f t="shared" ca="1" si="106"/>
        <v>2009</v>
      </c>
      <c r="BI348" s="12">
        <f t="shared" ca="1" si="107"/>
        <v>6</v>
      </c>
      <c r="BJ348" s="12">
        <f t="shared" ca="1" si="108"/>
        <v>2</v>
      </c>
      <c r="BK348" s="8" t="s">
        <v>2024</v>
      </c>
      <c r="BL348" s="11">
        <v>41141</v>
      </c>
      <c r="BM348" s="12">
        <f t="shared" ca="1" si="109"/>
        <v>2012</v>
      </c>
      <c r="BN348" s="12">
        <f t="shared" ca="1" si="110"/>
        <v>8</v>
      </c>
      <c r="BO348" s="12">
        <f t="shared" ca="1" si="111"/>
        <v>20</v>
      </c>
      <c r="BP348" s="8" t="s">
        <v>2025</v>
      </c>
      <c r="BQ348" s="8"/>
      <c r="BR348" s="5"/>
      <c r="BS348" s="12" t="str">
        <f t="shared" ca="1" si="112"/>
        <v>NA</v>
      </c>
      <c r="BT348" s="12" t="str">
        <f t="shared" ca="1" si="113"/>
        <v>NA</v>
      </c>
      <c r="BU348" s="12" t="str">
        <f t="shared" ca="1" si="114"/>
        <v>NA</v>
      </c>
      <c r="BV348" s="5"/>
      <c r="BW348" s="5"/>
      <c r="BX348" s="12" t="str">
        <f t="shared" ca="1" si="115"/>
        <v>NA</v>
      </c>
      <c r="BY348" s="12" t="str">
        <f t="shared" ca="1" si="116"/>
        <v>NA</v>
      </c>
      <c r="BZ348" s="12" t="str">
        <f t="shared" ca="1" si="117"/>
        <v>NA</v>
      </c>
      <c r="CA348" s="5"/>
    </row>
    <row r="349" spans="1:79" ht="12.75" customHeight="1" x14ac:dyDescent="0.15">
      <c r="A349" s="4">
        <v>1039</v>
      </c>
      <c r="B349" s="5" t="s">
        <v>79</v>
      </c>
      <c r="C349" s="5" t="s">
        <v>79</v>
      </c>
      <c r="D349" s="8" t="s">
        <v>2026</v>
      </c>
      <c r="E349" s="28">
        <v>102183</v>
      </c>
      <c r="F349" s="8" t="s">
        <v>2027</v>
      </c>
      <c r="G349" s="8"/>
      <c r="H349" s="8"/>
      <c r="I349" s="8"/>
      <c r="J349" s="8"/>
      <c r="K349" s="8"/>
      <c r="L349" s="8" t="s">
        <v>1594</v>
      </c>
      <c r="M349" s="8" t="s">
        <v>2028</v>
      </c>
      <c r="N349" s="8" t="s">
        <v>2029</v>
      </c>
      <c r="O349" s="9" t="s">
        <v>2030</v>
      </c>
      <c r="P349" s="10" t="str">
        <f t="shared" ca="1" si="84"/>
        <v>NA</v>
      </c>
      <c r="Q349" s="5" t="str">
        <f t="shared" ca="1" si="85"/>
        <v>NA</v>
      </c>
      <c r="R349" s="5" t="str">
        <f t="shared" ca="1" si="86"/>
        <v>NA</v>
      </c>
      <c r="S349" s="7" t="str">
        <f t="shared" ca="1" si="87"/>
        <v>NA</v>
      </c>
      <c r="T349" s="7" t="str">
        <f t="shared" ca="1" si="88"/>
        <v>NA</v>
      </c>
      <c r="U349" s="7" t="str">
        <f t="shared" ca="1" si="89"/>
        <v>NA</v>
      </c>
      <c r="V349" s="8" t="s">
        <v>2031</v>
      </c>
      <c r="W349" s="14" t="s">
        <v>96</v>
      </c>
      <c r="X349" s="8"/>
      <c r="Y349" s="5">
        <f t="shared" ca="1" si="121"/>
        <v>2</v>
      </c>
      <c r="Z349" s="8" t="s">
        <v>2032</v>
      </c>
      <c r="AA349" s="12" t="str">
        <f t="shared" ca="1" si="91"/>
        <v>NA</v>
      </c>
      <c r="AB349" s="12" t="str">
        <f t="shared" ca="1" si="92"/>
        <v>NA</v>
      </c>
      <c r="AC349" s="12" t="str">
        <f t="shared" ca="1" si="93"/>
        <v>NA</v>
      </c>
      <c r="AD349" s="8" t="s">
        <v>2033</v>
      </c>
      <c r="AE349" s="5"/>
      <c r="AF349" s="8"/>
      <c r="AG349" s="11">
        <v>35568</v>
      </c>
      <c r="AH349" s="12">
        <f t="shared" ca="1" si="94"/>
        <v>1997</v>
      </c>
      <c r="AI349" s="12">
        <f t="shared" ca="1" si="95"/>
        <v>5</v>
      </c>
      <c r="AJ349" s="12">
        <f t="shared" ca="1" si="96"/>
        <v>18</v>
      </c>
      <c r="AK349" s="8" t="s">
        <v>2034</v>
      </c>
      <c r="AL349" s="8"/>
      <c r="AM349" s="5"/>
      <c r="AN349" s="5"/>
      <c r="AO349" s="8" t="s">
        <v>2035</v>
      </c>
      <c r="AP349" s="12" t="str">
        <f t="shared" ca="1" si="97"/>
        <v>NA</v>
      </c>
      <c r="AQ349" s="12" t="str">
        <f t="shared" ca="1" si="98"/>
        <v>NA</v>
      </c>
      <c r="AR349" s="12" t="str">
        <f t="shared" ca="1" si="99"/>
        <v>NA</v>
      </c>
      <c r="AS349" s="8" t="s">
        <v>2036</v>
      </c>
      <c r="AT349" s="8"/>
      <c r="AU349" s="11">
        <v>32065</v>
      </c>
      <c r="AV349" s="12">
        <f t="shared" ca="1" si="100"/>
        <v>1987</v>
      </c>
      <c r="AW349" s="12">
        <f t="shared" ca="1" si="101"/>
        <v>10</v>
      </c>
      <c r="AX349" s="12">
        <f t="shared" ca="1" si="102"/>
        <v>15</v>
      </c>
      <c r="AY349" s="8" t="s">
        <v>2037</v>
      </c>
      <c r="AZ349" s="8"/>
      <c r="BA349" s="11">
        <v>33205</v>
      </c>
      <c r="BB349" s="12">
        <f t="shared" ca="1" si="103"/>
        <v>1990</v>
      </c>
      <c r="BC349" s="12">
        <f t="shared" ca="1" si="104"/>
        <v>11</v>
      </c>
      <c r="BD349" s="12">
        <f t="shared" ca="1" si="105"/>
        <v>28</v>
      </c>
      <c r="BE349" s="8" t="s">
        <v>2038</v>
      </c>
      <c r="BF349" s="8"/>
      <c r="BG349" s="5"/>
      <c r="BH349" s="12" t="str">
        <f t="shared" ca="1" si="106"/>
        <v>NA</v>
      </c>
      <c r="BI349" s="12" t="str">
        <f t="shared" ca="1" si="107"/>
        <v>NA</v>
      </c>
      <c r="BJ349" s="12" t="str">
        <f t="shared" ca="1" si="108"/>
        <v>NA</v>
      </c>
      <c r="BK349" s="5"/>
      <c r="BL349" s="5"/>
      <c r="BM349" s="12" t="str">
        <f t="shared" ca="1" si="109"/>
        <v>NA</v>
      </c>
      <c r="BN349" s="12" t="str">
        <f t="shared" ca="1" si="110"/>
        <v>NA</v>
      </c>
      <c r="BO349" s="12" t="str">
        <f t="shared" ca="1" si="111"/>
        <v>NA</v>
      </c>
      <c r="BP349" s="5"/>
      <c r="BQ349" s="5"/>
      <c r="BR349" s="5"/>
      <c r="BS349" s="12" t="str">
        <f t="shared" ca="1" si="112"/>
        <v>NA</v>
      </c>
      <c r="BT349" s="12" t="str">
        <f t="shared" ca="1" si="113"/>
        <v>NA</v>
      </c>
      <c r="BU349" s="12" t="str">
        <f t="shared" ca="1" si="114"/>
        <v>NA</v>
      </c>
      <c r="BV349" s="5"/>
      <c r="BW349" s="5"/>
      <c r="BX349" s="12" t="str">
        <f t="shared" ca="1" si="115"/>
        <v>NA</v>
      </c>
      <c r="BY349" s="12" t="str">
        <f t="shared" ca="1" si="116"/>
        <v>NA</v>
      </c>
      <c r="BZ349" s="12" t="str">
        <f t="shared" ca="1" si="117"/>
        <v>NA</v>
      </c>
      <c r="CA349" s="5"/>
    </row>
    <row r="350" spans="1:79" ht="12.75" customHeight="1" x14ac:dyDescent="0.15">
      <c r="A350" s="4">
        <v>1124</v>
      </c>
      <c r="B350" s="5" t="s">
        <v>79</v>
      </c>
      <c r="C350" s="5" t="s">
        <v>79</v>
      </c>
      <c r="D350" s="8" t="s">
        <v>2039</v>
      </c>
      <c r="E350" s="28">
        <v>970010</v>
      </c>
      <c r="F350" s="8" t="s">
        <v>2040</v>
      </c>
      <c r="G350" s="8"/>
      <c r="H350" s="8"/>
      <c r="I350" s="8"/>
      <c r="J350" s="8"/>
      <c r="K350" s="8"/>
      <c r="L350" s="8" t="s">
        <v>1594</v>
      </c>
      <c r="M350" s="8" t="s">
        <v>2041</v>
      </c>
      <c r="N350" s="8" t="s">
        <v>2042</v>
      </c>
      <c r="O350" s="9" t="s">
        <v>2043</v>
      </c>
      <c r="P350" s="10" t="str">
        <f t="shared" ca="1" si="84"/>
        <v>NA</v>
      </c>
      <c r="Q350" s="5" t="str">
        <f t="shared" ca="1" si="85"/>
        <v>NA</v>
      </c>
      <c r="R350" s="5" t="str">
        <f t="shared" ca="1" si="86"/>
        <v>NA</v>
      </c>
      <c r="S350" s="7" t="str">
        <f t="shared" ca="1" si="87"/>
        <v>NA</v>
      </c>
      <c r="T350" s="7" t="str">
        <f t="shared" ca="1" si="88"/>
        <v>NA</v>
      </c>
      <c r="U350" s="7" t="str">
        <f t="shared" ca="1" si="89"/>
        <v>NA</v>
      </c>
      <c r="V350" s="8" t="s">
        <v>1640</v>
      </c>
      <c r="W350" s="14" t="s">
        <v>96</v>
      </c>
      <c r="X350" s="8" t="s">
        <v>1641</v>
      </c>
      <c r="Y350" s="5">
        <f t="shared" ca="1" si="121"/>
        <v>1</v>
      </c>
      <c r="Z350" s="8" t="s">
        <v>2044</v>
      </c>
      <c r="AA350" s="12" t="str">
        <f t="shared" ca="1" si="91"/>
        <v>NA</v>
      </c>
      <c r="AB350" s="12" t="str">
        <f t="shared" ca="1" si="92"/>
        <v>NA</v>
      </c>
      <c r="AC350" s="12" t="str">
        <f t="shared" ca="1" si="93"/>
        <v>NA</v>
      </c>
      <c r="AD350" s="8" t="s">
        <v>1640</v>
      </c>
      <c r="AE350" s="5"/>
      <c r="AF350" s="8" t="s">
        <v>1641</v>
      </c>
      <c r="AG350" s="11">
        <v>41506</v>
      </c>
      <c r="AH350" s="12">
        <f t="shared" ca="1" si="94"/>
        <v>2013</v>
      </c>
      <c r="AI350" s="12">
        <f t="shared" ca="1" si="95"/>
        <v>8</v>
      </c>
      <c r="AJ350" s="12">
        <f t="shared" ca="1" si="96"/>
        <v>20</v>
      </c>
      <c r="AK350" s="8" t="s">
        <v>2045</v>
      </c>
      <c r="AL350" s="8"/>
      <c r="AM350" s="5"/>
      <c r="AN350" s="5"/>
      <c r="AO350" s="8" t="s">
        <v>2046</v>
      </c>
      <c r="AP350" s="12" t="str">
        <f t="shared" ca="1" si="97"/>
        <v>NA</v>
      </c>
      <c r="AQ350" s="12" t="str">
        <f t="shared" ca="1" si="98"/>
        <v>NA</v>
      </c>
      <c r="AR350" s="12" t="str">
        <f t="shared" ca="1" si="99"/>
        <v>NA</v>
      </c>
      <c r="AS350" s="8" t="s">
        <v>2047</v>
      </c>
      <c r="AT350" s="8"/>
      <c r="AU350" s="11">
        <v>35517</v>
      </c>
      <c r="AV350" s="12">
        <f t="shared" ca="1" si="100"/>
        <v>1997</v>
      </c>
      <c r="AW350" s="12">
        <f t="shared" ca="1" si="101"/>
        <v>3</v>
      </c>
      <c r="AX350" s="12">
        <f t="shared" ca="1" si="102"/>
        <v>28</v>
      </c>
      <c r="AY350" s="8" t="s">
        <v>2048</v>
      </c>
      <c r="AZ350" s="8"/>
      <c r="BA350" s="8"/>
      <c r="BB350" s="12" t="str">
        <f t="shared" ca="1" si="103"/>
        <v>NA</v>
      </c>
      <c r="BC350" s="12" t="str">
        <f t="shared" ca="1" si="104"/>
        <v>NA</v>
      </c>
      <c r="BD350" s="12" t="str">
        <f t="shared" ca="1" si="105"/>
        <v>NA</v>
      </c>
      <c r="BE350" s="5"/>
      <c r="BF350" s="5"/>
      <c r="BG350" s="5"/>
      <c r="BH350" s="12" t="str">
        <f t="shared" ca="1" si="106"/>
        <v>NA</v>
      </c>
      <c r="BI350" s="12" t="str">
        <f t="shared" ca="1" si="107"/>
        <v>NA</v>
      </c>
      <c r="BJ350" s="12" t="str">
        <f t="shared" ca="1" si="108"/>
        <v>NA</v>
      </c>
      <c r="BK350" s="5"/>
      <c r="BL350" s="5"/>
      <c r="BM350" s="12" t="str">
        <f t="shared" ca="1" si="109"/>
        <v>NA</v>
      </c>
      <c r="BN350" s="12" t="str">
        <f t="shared" ca="1" si="110"/>
        <v>NA</v>
      </c>
      <c r="BO350" s="12" t="str">
        <f t="shared" ca="1" si="111"/>
        <v>NA</v>
      </c>
      <c r="BP350" s="5"/>
      <c r="BQ350" s="5"/>
      <c r="BR350" s="5"/>
      <c r="BS350" s="12" t="str">
        <f t="shared" ca="1" si="112"/>
        <v>NA</v>
      </c>
      <c r="BT350" s="12" t="str">
        <f t="shared" ca="1" si="113"/>
        <v>NA</v>
      </c>
      <c r="BU350" s="12" t="str">
        <f t="shared" ca="1" si="114"/>
        <v>NA</v>
      </c>
      <c r="BV350" s="5"/>
      <c r="BW350" s="5"/>
      <c r="BX350" s="12" t="str">
        <f t="shared" ca="1" si="115"/>
        <v>NA</v>
      </c>
      <c r="BY350" s="12" t="str">
        <f t="shared" ca="1" si="116"/>
        <v>NA</v>
      </c>
      <c r="BZ350" s="12" t="str">
        <f t="shared" ca="1" si="117"/>
        <v>NA</v>
      </c>
      <c r="CA350" s="5"/>
    </row>
    <row r="351" spans="1:79" ht="12.75" customHeight="1" x14ac:dyDescent="0.15">
      <c r="A351" s="4">
        <v>1125</v>
      </c>
      <c r="B351" s="5" t="s">
        <v>79</v>
      </c>
      <c r="C351" s="5" t="s">
        <v>79</v>
      </c>
      <c r="D351" s="8" t="s">
        <v>2049</v>
      </c>
      <c r="E351" s="28">
        <v>97001</v>
      </c>
      <c r="F351" s="8" t="s">
        <v>2050</v>
      </c>
      <c r="G351" s="8"/>
      <c r="H351" s="8"/>
      <c r="I351" s="8"/>
      <c r="J351" s="8"/>
      <c r="K351" s="8"/>
      <c r="L351" s="8" t="s">
        <v>1594</v>
      </c>
      <c r="M351" s="8" t="s">
        <v>2051</v>
      </c>
      <c r="N351" s="8" t="s">
        <v>2052</v>
      </c>
      <c r="O351" s="9" t="s">
        <v>2053</v>
      </c>
      <c r="P351" s="10" t="str">
        <f t="shared" ca="1" si="84"/>
        <v>NA</v>
      </c>
      <c r="Q351" s="5" t="str">
        <f t="shared" ca="1" si="85"/>
        <v>NA</v>
      </c>
      <c r="R351" s="5" t="str">
        <f t="shared" ca="1" si="86"/>
        <v>NA</v>
      </c>
      <c r="S351" s="7" t="str">
        <f t="shared" ca="1" si="87"/>
        <v>NA</v>
      </c>
      <c r="T351" s="7" t="str">
        <f t="shared" ca="1" si="88"/>
        <v>NA</v>
      </c>
      <c r="U351" s="7" t="str">
        <f t="shared" ca="1" si="89"/>
        <v>NA</v>
      </c>
      <c r="V351" s="8" t="s">
        <v>1640</v>
      </c>
      <c r="W351" s="14" t="s">
        <v>96</v>
      </c>
      <c r="X351" s="8" t="s">
        <v>1641</v>
      </c>
      <c r="Y351" s="5">
        <f t="shared" ca="1" si="121"/>
        <v>1</v>
      </c>
      <c r="Z351" s="8" t="s">
        <v>2054</v>
      </c>
      <c r="AA351" s="12" t="str">
        <f t="shared" ca="1" si="91"/>
        <v>NA</v>
      </c>
      <c r="AB351" s="12" t="str">
        <f t="shared" ca="1" si="92"/>
        <v>NA</v>
      </c>
      <c r="AC351" s="12" t="str">
        <f t="shared" ca="1" si="93"/>
        <v>NA</v>
      </c>
      <c r="AD351" s="8" t="s">
        <v>1640</v>
      </c>
      <c r="AE351" s="5"/>
      <c r="AF351" s="8" t="s">
        <v>1641</v>
      </c>
      <c r="AG351" s="11">
        <v>41163</v>
      </c>
      <c r="AH351" s="12">
        <f t="shared" ca="1" si="94"/>
        <v>2012</v>
      </c>
      <c r="AI351" s="12">
        <f t="shared" ca="1" si="95"/>
        <v>9</v>
      </c>
      <c r="AJ351" s="12">
        <f t="shared" ca="1" si="96"/>
        <v>11</v>
      </c>
      <c r="AK351" s="8" t="s">
        <v>2055</v>
      </c>
      <c r="AL351" s="8"/>
      <c r="AM351" s="5"/>
      <c r="AN351" s="5"/>
      <c r="AO351" s="8" t="s">
        <v>2056</v>
      </c>
      <c r="AP351" s="12" t="str">
        <f t="shared" ca="1" si="97"/>
        <v>NA</v>
      </c>
      <c r="AQ351" s="12" t="str">
        <f t="shared" ca="1" si="98"/>
        <v>NA</v>
      </c>
      <c r="AR351" s="12" t="str">
        <f t="shared" ca="1" si="99"/>
        <v>NA</v>
      </c>
      <c r="AS351" s="8" t="s">
        <v>2057</v>
      </c>
      <c r="AT351" s="8"/>
      <c r="AU351" s="11">
        <v>35517</v>
      </c>
      <c r="AV351" s="12">
        <f t="shared" ca="1" si="100"/>
        <v>1997</v>
      </c>
      <c r="AW351" s="12">
        <f t="shared" ca="1" si="101"/>
        <v>3</v>
      </c>
      <c r="AX351" s="12">
        <f t="shared" ca="1" si="102"/>
        <v>28</v>
      </c>
      <c r="AY351" s="8" t="s">
        <v>2058</v>
      </c>
      <c r="AZ351" s="8"/>
      <c r="BA351" s="8"/>
      <c r="BB351" s="12" t="str">
        <f t="shared" ca="1" si="103"/>
        <v>NA</v>
      </c>
      <c r="BC351" s="12" t="str">
        <f t="shared" ca="1" si="104"/>
        <v>NA</v>
      </c>
      <c r="BD351" s="12" t="str">
        <f t="shared" ca="1" si="105"/>
        <v>NA</v>
      </c>
      <c r="BE351" s="5"/>
      <c r="BF351" s="5"/>
      <c r="BG351" s="5"/>
      <c r="BH351" s="12" t="str">
        <f t="shared" ca="1" si="106"/>
        <v>NA</v>
      </c>
      <c r="BI351" s="12" t="str">
        <f t="shared" ca="1" si="107"/>
        <v>NA</v>
      </c>
      <c r="BJ351" s="12" t="str">
        <f t="shared" ca="1" si="108"/>
        <v>NA</v>
      </c>
      <c r="BK351" s="5"/>
      <c r="BL351" s="5"/>
      <c r="BM351" s="12" t="str">
        <f t="shared" ca="1" si="109"/>
        <v>NA</v>
      </c>
      <c r="BN351" s="12" t="str">
        <f t="shared" ca="1" si="110"/>
        <v>NA</v>
      </c>
      <c r="BO351" s="12" t="str">
        <f t="shared" ca="1" si="111"/>
        <v>NA</v>
      </c>
      <c r="BP351" s="5"/>
      <c r="BQ351" s="5"/>
      <c r="BR351" s="5"/>
      <c r="BS351" s="12" t="str">
        <f t="shared" ca="1" si="112"/>
        <v>NA</v>
      </c>
      <c r="BT351" s="12" t="str">
        <f t="shared" ca="1" si="113"/>
        <v>NA</v>
      </c>
      <c r="BU351" s="12" t="str">
        <f t="shared" ca="1" si="114"/>
        <v>NA</v>
      </c>
      <c r="BV351" s="5"/>
      <c r="BW351" s="5"/>
      <c r="BX351" s="12" t="str">
        <f t="shared" ca="1" si="115"/>
        <v>NA</v>
      </c>
      <c r="BY351" s="12" t="str">
        <f t="shared" ca="1" si="116"/>
        <v>NA</v>
      </c>
      <c r="BZ351" s="12" t="str">
        <f t="shared" ca="1" si="117"/>
        <v>NA</v>
      </c>
      <c r="CA351" s="5"/>
    </row>
    <row r="352" spans="1:79" ht="12.75" customHeight="1" x14ac:dyDescent="0.15">
      <c r="A352" s="4">
        <v>1016</v>
      </c>
      <c r="B352" s="5" t="s">
        <v>79</v>
      </c>
      <c r="C352" s="5" t="s">
        <v>79</v>
      </c>
      <c r="D352" s="8" t="s">
        <v>2059</v>
      </c>
      <c r="E352" s="28">
        <v>587075</v>
      </c>
      <c r="F352" s="8" t="s">
        <v>2060</v>
      </c>
      <c r="G352" s="8"/>
      <c r="H352" s="8"/>
      <c r="I352" s="8"/>
      <c r="J352" s="8"/>
      <c r="K352" s="8"/>
      <c r="L352" s="8" t="s">
        <v>1594</v>
      </c>
      <c r="M352" s="8" t="s">
        <v>2061</v>
      </c>
      <c r="N352" s="8" t="s">
        <v>2062</v>
      </c>
      <c r="O352" s="9" t="s">
        <v>2063</v>
      </c>
      <c r="P352" s="10" t="str">
        <f t="shared" ca="1" si="84"/>
        <v>NA</v>
      </c>
      <c r="Q352" s="5" t="str">
        <f t="shared" ca="1" si="85"/>
        <v>NA</v>
      </c>
      <c r="R352" s="5" t="str">
        <f t="shared" ca="1" si="86"/>
        <v>NA</v>
      </c>
      <c r="S352" s="7" t="str">
        <f t="shared" ca="1" si="87"/>
        <v>NA</v>
      </c>
      <c r="T352" s="7" t="str">
        <f t="shared" ca="1" si="88"/>
        <v>NA</v>
      </c>
      <c r="U352" s="7" t="str">
        <f t="shared" ca="1" si="89"/>
        <v>NA</v>
      </c>
      <c r="V352" s="8" t="s">
        <v>2064</v>
      </c>
      <c r="W352" s="14" t="s">
        <v>96</v>
      </c>
      <c r="X352" s="8"/>
      <c r="Y352" s="5">
        <f t="shared" ca="1" si="121"/>
        <v>2</v>
      </c>
      <c r="Z352" s="16">
        <v>31048</v>
      </c>
      <c r="AA352" s="12">
        <f t="shared" ca="1" si="91"/>
        <v>1985</v>
      </c>
      <c r="AB352" s="12">
        <f t="shared" ca="1" si="92"/>
        <v>1</v>
      </c>
      <c r="AC352" s="12">
        <f t="shared" ca="1" si="93"/>
        <v>1</v>
      </c>
      <c r="AD352" s="6" t="s">
        <v>2065</v>
      </c>
      <c r="AE352" s="21" t="s">
        <v>84</v>
      </c>
      <c r="AF352" s="6"/>
      <c r="AG352" s="11">
        <v>34081</v>
      </c>
      <c r="AH352" s="12">
        <f t="shared" ca="1" si="94"/>
        <v>1993</v>
      </c>
      <c r="AI352" s="12">
        <f t="shared" ca="1" si="95"/>
        <v>4</v>
      </c>
      <c r="AJ352" s="12">
        <f t="shared" ca="1" si="96"/>
        <v>22</v>
      </c>
      <c r="AK352" s="8" t="s">
        <v>2066</v>
      </c>
      <c r="AL352" s="8"/>
      <c r="AM352" s="5"/>
      <c r="AN352" s="5"/>
      <c r="AO352" s="16">
        <v>31472</v>
      </c>
      <c r="AP352" s="12">
        <f t="shared" ca="1" si="97"/>
        <v>1986</v>
      </c>
      <c r="AQ352" s="12">
        <f t="shared" ca="1" si="98"/>
        <v>3</v>
      </c>
      <c r="AR352" s="12">
        <f t="shared" ca="1" si="99"/>
        <v>1</v>
      </c>
      <c r="AS352" s="6" t="s">
        <v>2067</v>
      </c>
      <c r="AT352" s="20" t="s">
        <v>258</v>
      </c>
      <c r="AU352" s="11">
        <v>31872</v>
      </c>
      <c r="AV352" s="12">
        <f t="shared" ca="1" si="100"/>
        <v>1987</v>
      </c>
      <c r="AW352" s="12">
        <f t="shared" ca="1" si="101"/>
        <v>4</v>
      </c>
      <c r="AX352" s="12">
        <f t="shared" ca="1" si="102"/>
        <v>5</v>
      </c>
      <c r="AY352" s="8" t="s">
        <v>2068</v>
      </c>
      <c r="AZ352" s="8"/>
      <c r="BA352" s="8"/>
      <c r="BB352" s="12" t="str">
        <f t="shared" ca="1" si="103"/>
        <v>NA</v>
      </c>
      <c r="BC352" s="12" t="str">
        <f t="shared" ca="1" si="104"/>
        <v>NA</v>
      </c>
      <c r="BD352" s="12" t="str">
        <f t="shared" ca="1" si="105"/>
        <v>NA</v>
      </c>
      <c r="BE352" s="5"/>
      <c r="BF352" s="5"/>
      <c r="BG352" s="5"/>
      <c r="BH352" s="12" t="str">
        <f t="shared" ca="1" si="106"/>
        <v>NA</v>
      </c>
      <c r="BI352" s="12" t="str">
        <f t="shared" ca="1" si="107"/>
        <v>NA</v>
      </c>
      <c r="BJ352" s="12" t="str">
        <f t="shared" ca="1" si="108"/>
        <v>NA</v>
      </c>
      <c r="BK352" s="5"/>
      <c r="BL352" s="5"/>
      <c r="BM352" s="12" t="str">
        <f t="shared" ca="1" si="109"/>
        <v>NA</v>
      </c>
      <c r="BN352" s="12" t="str">
        <f t="shared" ca="1" si="110"/>
        <v>NA</v>
      </c>
      <c r="BO352" s="12" t="str">
        <f t="shared" ca="1" si="111"/>
        <v>NA</v>
      </c>
      <c r="BP352" s="5"/>
      <c r="BQ352" s="5"/>
      <c r="BR352" s="5"/>
      <c r="BS352" s="12" t="str">
        <f t="shared" ca="1" si="112"/>
        <v>NA</v>
      </c>
      <c r="BT352" s="12" t="str">
        <f t="shared" ca="1" si="113"/>
        <v>NA</v>
      </c>
      <c r="BU352" s="12" t="str">
        <f t="shared" ca="1" si="114"/>
        <v>NA</v>
      </c>
      <c r="BV352" s="5"/>
      <c r="BW352" s="5"/>
      <c r="BX352" s="12" t="str">
        <f t="shared" ca="1" si="115"/>
        <v>NA</v>
      </c>
      <c r="BY352" s="12" t="str">
        <f t="shared" ca="1" si="116"/>
        <v>NA</v>
      </c>
      <c r="BZ352" s="12" t="str">
        <f t="shared" ca="1" si="117"/>
        <v>NA</v>
      </c>
      <c r="CA352" s="5"/>
    </row>
    <row r="353" spans="1:79" ht="12.75" customHeight="1" x14ac:dyDescent="0.15">
      <c r="A353" s="4">
        <v>1017</v>
      </c>
      <c r="B353" s="5" t="s">
        <v>79</v>
      </c>
      <c r="C353" s="5" t="s">
        <v>79</v>
      </c>
      <c r="D353" s="6" t="s">
        <v>2069</v>
      </c>
      <c r="E353" s="7">
        <v>587076</v>
      </c>
      <c r="F353" s="6" t="s">
        <v>2070</v>
      </c>
      <c r="G353" s="8"/>
      <c r="H353" s="8"/>
      <c r="I353" s="8"/>
      <c r="J353" s="8"/>
      <c r="K353" s="8"/>
      <c r="L353" s="8" t="s">
        <v>1594</v>
      </c>
      <c r="M353" s="6" t="s">
        <v>2071</v>
      </c>
      <c r="N353" s="6" t="s">
        <v>2072</v>
      </c>
      <c r="O353" s="9">
        <v>31107</v>
      </c>
      <c r="P353" s="10">
        <f t="shared" ca="1" si="84"/>
        <v>11.877777777777778</v>
      </c>
      <c r="Q353" s="5">
        <f t="shared" ca="1" si="85"/>
        <v>142</v>
      </c>
      <c r="R353" s="5">
        <f t="shared" ca="1" si="86"/>
        <v>4340</v>
      </c>
      <c r="S353" s="7">
        <f t="shared" ca="1" si="87"/>
        <v>1985</v>
      </c>
      <c r="T353" s="7">
        <f t="shared" ca="1" si="88"/>
        <v>3</v>
      </c>
      <c r="U353" s="7">
        <f t="shared" ca="1" si="89"/>
        <v>1</v>
      </c>
      <c r="V353" s="6" t="s">
        <v>2073</v>
      </c>
      <c r="W353" s="8" t="s">
        <v>84</v>
      </c>
      <c r="X353" s="8"/>
      <c r="Y353" s="5">
        <f t="shared" ca="1" si="121"/>
        <v>2</v>
      </c>
      <c r="Z353" s="8" t="s">
        <v>2074</v>
      </c>
      <c r="AA353" s="12" t="str">
        <f t="shared" ca="1" si="91"/>
        <v>NA</v>
      </c>
      <c r="AB353" s="12" t="str">
        <f t="shared" ca="1" si="92"/>
        <v>NA</v>
      </c>
      <c r="AC353" s="12" t="str">
        <f t="shared" ca="1" si="93"/>
        <v>NA</v>
      </c>
      <c r="AD353" s="8" t="s">
        <v>2075</v>
      </c>
      <c r="AE353" s="5"/>
      <c r="AF353" s="8"/>
      <c r="AG353" s="11">
        <v>35447</v>
      </c>
      <c r="AH353" s="12">
        <f t="shared" ca="1" si="94"/>
        <v>1997</v>
      </c>
      <c r="AI353" s="12">
        <f t="shared" ca="1" si="95"/>
        <v>1</v>
      </c>
      <c r="AJ353" s="12">
        <f t="shared" ca="1" si="96"/>
        <v>17</v>
      </c>
      <c r="AK353" s="8" t="s">
        <v>2076</v>
      </c>
      <c r="AL353" s="8"/>
      <c r="AM353" s="5"/>
      <c r="AN353" s="5"/>
      <c r="AO353" s="16">
        <v>31472</v>
      </c>
      <c r="AP353" s="12">
        <f t="shared" ca="1" si="97"/>
        <v>1986</v>
      </c>
      <c r="AQ353" s="12">
        <f t="shared" ca="1" si="98"/>
        <v>3</v>
      </c>
      <c r="AR353" s="12">
        <f t="shared" ca="1" si="99"/>
        <v>1</v>
      </c>
      <c r="AS353" s="6" t="s">
        <v>2077</v>
      </c>
      <c r="AT353" s="20" t="s">
        <v>258</v>
      </c>
      <c r="AU353" s="11">
        <v>31872</v>
      </c>
      <c r="AV353" s="12">
        <f t="shared" ca="1" si="100"/>
        <v>1987</v>
      </c>
      <c r="AW353" s="12">
        <f t="shared" ca="1" si="101"/>
        <v>4</v>
      </c>
      <c r="AX353" s="12">
        <f t="shared" ca="1" si="102"/>
        <v>5</v>
      </c>
      <c r="AY353" s="8" t="s">
        <v>2078</v>
      </c>
      <c r="AZ353" s="8"/>
      <c r="BA353" s="6"/>
      <c r="BB353" s="12" t="str">
        <f t="shared" ca="1" si="103"/>
        <v>NA</v>
      </c>
      <c r="BC353" s="12" t="str">
        <f t="shared" ca="1" si="104"/>
        <v>NA</v>
      </c>
      <c r="BD353" s="12" t="str">
        <f t="shared" ca="1" si="105"/>
        <v>NA</v>
      </c>
      <c r="BE353" s="5"/>
      <c r="BF353" s="5"/>
      <c r="BG353" s="5"/>
      <c r="BH353" s="12" t="str">
        <f t="shared" ca="1" si="106"/>
        <v>NA</v>
      </c>
      <c r="BI353" s="12" t="str">
        <f t="shared" ca="1" si="107"/>
        <v>NA</v>
      </c>
      <c r="BJ353" s="12" t="str">
        <f t="shared" ca="1" si="108"/>
        <v>NA</v>
      </c>
      <c r="BK353" s="5"/>
      <c r="BL353" s="5"/>
      <c r="BM353" s="12" t="str">
        <f t="shared" ca="1" si="109"/>
        <v>NA</v>
      </c>
      <c r="BN353" s="12" t="str">
        <f t="shared" ca="1" si="110"/>
        <v>NA</v>
      </c>
      <c r="BO353" s="12" t="str">
        <f t="shared" ca="1" si="111"/>
        <v>NA</v>
      </c>
      <c r="BP353" s="5"/>
      <c r="BQ353" s="5"/>
      <c r="BR353" s="5"/>
      <c r="BS353" s="12" t="str">
        <f t="shared" ca="1" si="112"/>
        <v>NA</v>
      </c>
      <c r="BT353" s="12" t="str">
        <f t="shared" ca="1" si="113"/>
        <v>NA</v>
      </c>
      <c r="BU353" s="12" t="str">
        <f t="shared" ca="1" si="114"/>
        <v>NA</v>
      </c>
      <c r="BV353" s="5"/>
      <c r="BW353" s="5"/>
      <c r="BX353" s="12" t="str">
        <f t="shared" ca="1" si="115"/>
        <v>NA</v>
      </c>
      <c r="BY353" s="12" t="str">
        <f t="shared" ca="1" si="116"/>
        <v>NA</v>
      </c>
      <c r="BZ353" s="12" t="str">
        <f t="shared" ca="1" si="117"/>
        <v>NA</v>
      </c>
      <c r="CA353" s="5"/>
    </row>
    <row r="354" spans="1:79" ht="12.75" customHeight="1" x14ac:dyDescent="0.15">
      <c r="A354" s="4">
        <v>1018</v>
      </c>
      <c r="B354" s="5" t="s">
        <v>79</v>
      </c>
      <c r="C354" s="5" t="s">
        <v>79</v>
      </c>
      <c r="D354" s="6" t="s">
        <v>2079</v>
      </c>
      <c r="E354" s="7">
        <v>587077</v>
      </c>
      <c r="F354" s="6" t="s">
        <v>2080</v>
      </c>
      <c r="G354" s="8"/>
      <c r="H354" s="8"/>
      <c r="I354" s="8"/>
      <c r="J354" s="8"/>
      <c r="K354" s="8"/>
      <c r="L354" s="8" t="s">
        <v>1594</v>
      </c>
      <c r="M354" s="6" t="s">
        <v>2081</v>
      </c>
      <c r="N354" s="6" t="s">
        <v>2082</v>
      </c>
      <c r="O354" s="9">
        <v>31107</v>
      </c>
      <c r="P354" s="10">
        <f t="shared" ca="1" si="84"/>
        <v>8.6666666666666661</v>
      </c>
      <c r="Q354" s="5">
        <f t="shared" ca="1" si="85"/>
        <v>104</v>
      </c>
      <c r="R354" s="5">
        <f t="shared" ca="1" si="86"/>
        <v>3167</v>
      </c>
      <c r="S354" s="7">
        <f t="shared" ca="1" si="87"/>
        <v>1985</v>
      </c>
      <c r="T354" s="7">
        <f t="shared" ca="1" si="88"/>
        <v>3</v>
      </c>
      <c r="U354" s="7">
        <f t="shared" ca="1" si="89"/>
        <v>1</v>
      </c>
      <c r="V354" s="6" t="s">
        <v>2083</v>
      </c>
      <c r="W354" s="8" t="s">
        <v>84</v>
      </c>
      <c r="X354" s="8"/>
      <c r="Y354" s="5">
        <f t="shared" ca="1" si="121"/>
        <v>2</v>
      </c>
      <c r="Z354" s="8" t="s">
        <v>2084</v>
      </c>
      <c r="AA354" s="12" t="str">
        <f t="shared" ca="1" si="91"/>
        <v>NA</v>
      </c>
      <c r="AB354" s="12" t="str">
        <f t="shared" ca="1" si="92"/>
        <v>NA</v>
      </c>
      <c r="AC354" s="12" t="str">
        <f t="shared" ca="1" si="93"/>
        <v>NA</v>
      </c>
      <c r="AD354" s="8" t="s">
        <v>2085</v>
      </c>
      <c r="AE354" s="5"/>
      <c r="AF354" s="8"/>
      <c r="AG354" s="11">
        <v>34274</v>
      </c>
      <c r="AH354" s="12">
        <f t="shared" ca="1" si="94"/>
        <v>1993</v>
      </c>
      <c r="AI354" s="12">
        <f t="shared" ca="1" si="95"/>
        <v>11</v>
      </c>
      <c r="AJ354" s="12">
        <f t="shared" ca="1" si="96"/>
        <v>1</v>
      </c>
      <c r="AK354" s="8" t="s">
        <v>2086</v>
      </c>
      <c r="AL354" s="8"/>
      <c r="AM354" s="5"/>
      <c r="AN354" s="5"/>
      <c r="AO354" s="16">
        <v>31472</v>
      </c>
      <c r="AP354" s="12">
        <f t="shared" ca="1" si="97"/>
        <v>1986</v>
      </c>
      <c r="AQ354" s="12">
        <f t="shared" ca="1" si="98"/>
        <v>3</v>
      </c>
      <c r="AR354" s="12">
        <f t="shared" ca="1" si="99"/>
        <v>1</v>
      </c>
      <c r="AS354" s="6" t="s">
        <v>2087</v>
      </c>
      <c r="AT354" s="20" t="s">
        <v>258</v>
      </c>
      <c r="AU354" s="11">
        <v>31872</v>
      </c>
      <c r="AV354" s="12">
        <f t="shared" ca="1" si="100"/>
        <v>1987</v>
      </c>
      <c r="AW354" s="12">
        <f t="shared" ca="1" si="101"/>
        <v>4</v>
      </c>
      <c r="AX354" s="12">
        <f t="shared" ca="1" si="102"/>
        <v>5</v>
      </c>
      <c r="AY354" s="8" t="s">
        <v>2088</v>
      </c>
      <c r="AZ354" s="8"/>
      <c r="BA354" s="6"/>
      <c r="BB354" s="12" t="str">
        <f t="shared" ca="1" si="103"/>
        <v>NA</v>
      </c>
      <c r="BC354" s="12" t="str">
        <f t="shared" ca="1" si="104"/>
        <v>NA</v>
      </c>
      <c r="BD354" s="12" t="str">
        <f t="shared" ca="1" si="105"/>
        <v>NA</v>
      </c>
      <c r="BE354" s="5"/>
      <c r="BF354" s="5"/>
      <c r="BG354" s="5"/>
      <c r="BH354" s="12" t="str">
        <f t="shared" ca="1" si="106"/>
        <v>NA</v>
      </c>
      <c r="BI354" s="12" t="str">
        <f t="shared" ca="1" si="107"/>
        <v>NA</v>
      </c>
      <c r="BJ354" s="12" t="str">
        <f t="shared" ca="1" si="108"/>
        <v>NA</v>
      </c>
      <c r="BK354" s="5"/>
      <c r="BL354" s="5"/>
      <c r="BM354" s="12" t="str">
        <f t="shared" ca="1" si="109"/>
        <v>NA</v>
      </c>
      <c r="BN354" s="12" t="str">
        <f t="shared" ca="1" si="110"/>
        <v>NA</v>
      </c>
      <c r="BO354" s="12" t="str">
        <f t="shared" ca="1" si="111"/>
        <v>NA</v>
      </c>
      <c r="BP354" s="5"/>
      <c r="BQ354" s="5"/>
      <c r="BR354" s="5"/>
      <c r="BS354" s="12" t="str">
        <f t="shared" ca="1" si="112"/>
        <v>NA</v>
      </c>
      <c r="BT354" s="12" t="str">
        <f t="shared" ca="1" si="113"/>
        <v>NA</v>
      </c>
      <c r="BU354" s="12" t="str">
        <f t="shared" ca="1" si="114"/>
        <v>NA</v>
      </c>
      <c r="BV354" s="5"/>
      <c r="BW354" s="5"/>
      <c r="BX354" s="12" t="str">
        <f t="shared" ca="1" si="115"/>
        <v>NA</v>
      </c>
      <c r="BY354" s="12" t="str">
        <f t="shared" ca="1" si="116"/>
        <v>NA</v>
      </c>
      <c r="BZ354" s="12" t="str">
        <f t="shared" ca="1" si="117"/>
        <v>NA</v>
      </c>
      <c r="CA354" s="5"/>
    </row>
    <row r="355" spans="1:79" ht="12.75" customHeight="1" x14ac:dyDescent="0.15">
      <c r="A355" s="4">
        <v>1019</v>
      </c>
      <c r="B355" s="5" t="s">
        <v>79</v>
      </c>
      <c r="C355" s="5" t="s">
        <v>79</v>
      </c>
      <c r="D355" s="8" t="s">
        <v>2089</v>
      </c>
      <c r="E355" s="28">
        <v>587078</v>
      </c>
      <c r="F355" s="8" t="s">
        <v>2090</v>
      </c>
      <c r="G355" s="8"/>
      <c r="H355" s="8"/>
      <c r="I355" s="8"/>
      <c r="J355" s="8"/>
      <c r="K355" s="8"/>
      <c r="L355" s="8" t="s">
        <v>1594</v>
      </c>
      <c r="M355" s="8" t="s">
        <v>2091</v>
      </c>
      <c r="N355" s="8" t="s">
        <v>2092</v>
      </c>
      <c r="O355" s="9" t="s">
        <v>2093</v>
      </c>
      <c r="P355" s="10" t="str">
        <f t="shared" ca="1" si="84"/>
        <v>NA</v>
      </c>
      <c r="Q355" s="5" t="str">
        <f t="shared" ca="1" si="85"/>
        <v>NA</v>
      </c>
      <c r="R355" s="5" t="str">
        <f t="shared" ca="1" si="86"/>
        <v>NA</v>
      </c>
      <c r="S355" s="7" t="str">
        <f t="shared" ca="1" si="87"/>
        <v>NA</v>
      </c>
      <c r="T355" s="7" t="str">
        <f t="shared" ca="1" si="88"/>
        <v>NA</v>
      </c>
      <c r="U355" s="7" t="str">
        <f t="shared" ca="1" si="89"/>
        <v>NA</v>
      </c>
      <c r="V355" s="8" t="s">
        <v>2094</v>
      </c>
      <c r="W355" s="14" t="s">
        <v>96</v>
      </c>
      <c r="X355" s="8"/>
      <c r="Y355" s="5">
        <f t="shared" ca="1" si="121"/>
        <v>2</v>
      </c>
      <c r="Z355" s="8" t="s">
        <v>2095</v>
      </c>
      <c r="AA355" s="12" t="str">
        <f t="shared" ca="1" si="91"/>
        <v>NA</v>
      </c>
      <c r="AB355" s="12" t="str">
        <f t="shared" ca="1" si="92"/>
        <v>NA</v>
      </c>
      <c r="AC355" s="12" t="str">
        <f t="shared" ca="1" si="93"/>
        <v>NA</v>
      </c>
      <c r="AD355" s="8" t="s">
        <v>2096</v>
      </c>
      <c r="AE355" s="5"/>
      <c r="AF355" s="8"/>
      <c r="AG355" s="11">
        <v>34760</v>
      </c>
      <c r="AH355" s="12">
        <f t="shared" ca="1" si="94"/>
        <v>1995</v>
      </c>
      <c r="AI355" s="12">
        <f t="shared" ca="1" si="95"/>
        <v>3</v>
      </c>
      <c r="AJ355" s="12">
        <f t="shared" ca="1" si="96"/>
        <v>2</v>
      </c>
      <c r="AK355" s="8" t="s">
        <v>2097</v>
      </c>
      <c r="AL355" s="8"/>
      <c r="AM355" s="5"/>
      <c r="AN355" s="5"/>
      <c r="AO355" s="16">
        <v>31472</v>
      </c>
      <c r="AP355" s="12">
        <f t="shared" ca="1" si="97"/>
        <v>1986</v>
      </c>
      <c r="AQ355" s="12">
        <f t="shared" ca="1" si="98"/>
        <v>3</v>
      </c>
      <c r="AR355" s="12">
        <f t="shared" ca="1" si="99"/>
        <v>1</v>
      </c>
      <c r="AS355" s="6" t="s">
        <v>2098</v>
      </c>
      <c r="AT355" s="20" t="s">
        <v>258</v>
      </c>
      <c r="AU355" s="11">
        <v>31872</v>
      </c>
      <c r="AV355" s="12">
        <f t="shared" ca="1" si="100"/>
        <v>1987</v>
      </c>
      <c r="AW355" s="12">
        <f t="shared" ca="1" si="101"/>
        <v>4</v>
      </c>
      <c r="AX355" s="12">
        <f t="shared" ca="1" si="102"/>
        <v>5</v>
      </c>
      <c r="AY355" s="8" t="s">
        <v>2099</v>
      </c>
      <c r="AZ355" s="8"/>
      <c r="BA355" s="8"/>
      <c r="BB355" s="12" t="str">
        <f t="shared" ca="1" si="103"/>
        <v>NA</v>
      </c>
      <c r="BC355" s="12" t="str">
        <f t="shared" ca="1" si="104"/>
        <v>NA</v>
      </c>
      <c r="BD355" s="12" t="str">
        <f t="shared" ca="1" si="105"/>
        <v>NA</v>
      </c>
      <c r="BE355" s="5"/>
      <c r="BF355" s="5"/>
      <c r="BG355" s="5"/>
      <c r="BH355" s="12" t="str">
        <f t="shared" ca="1" si="106"/>
        <v>NA</v>
      </c>
      <c r="BI355" s="12" t="str">
        <f t="shared" ca="1" si="107"/>
        <v>NA</v>
      </c>
      <c r="BJ355" s="12" t="str">
        <f t="shared" ca="1" si="108"/>
        <v>NA</v>
      </c>
      <c r="BK355" s="5"/>
      <c r="BL355" s="5"/>
      <c r="BM355" s="12" t="str">
        <f t="shared" ca="1" si="109"/>
        <v>NA</v>
      </c>
      <c r="BN355" s="12" t="str">
        <f t="shared" ca="1" si="110"/>
        <v>NA</v>
      </c>
      <c r="BO355" s="12" t="str">
        <f t="shared" ca="1" si="111"/>
        <v>NA</v>
      </c>
      <c r="BP355" s="5"/>
      <c r="BQ355" s="5"/>
      <c r="BR355" s="5"/>
      <c r="BS355" s="12" t="str">
        <f t="shared" ca="1" si="112"/>
        <v>NA</v>
      </c>
      <c r="BT355" s="12" t="str">
        <f t="shared" ca="1" si="113"/>
        <v>NA</v>
      </c>
      <c r="BU355" s="12" t="str">
        <f t="shared" ca="1" si="114"/>
        <v>NA</v>
      </c>
      <c r="BV355" s="5"/>
      <c r="BW355" s="5"/>
      <c r="BX355" s="12" t="str">
        <f t="shared" ca="1" si="115"/>
        <v>NA</v>
      </c>
      <c r="BY355" s="12" t="str">
        <f t="shared" ca="1" si="116"/>
        <v>NA</v>
      </c>
      <c r="BZ355" s="12" t="str">
        <f t="shared" ca="1" si="117"/>
        <v>NA</v>
      </c>
      <c r="CA355" s="5"/>
    </row>
    <row r="356" spans="1:79" ht="12.75" customHeight="1" x14ac:dyDescent="0.15">
      <c r="A356" s="4">
        <v>1020</v>
      </c>
      <c r="B356" s="5" t="s">
        <v>79</v>
      </c>
      <c r="C356" s="5" t="s">
        <v>79</v>
      </c>
      <c r="D356" s="8" t="s">
        <v>2100</v>
      </c>
      <c r="E356" s="28">
        <v>587079</v>
      </c>
      <c r="F356" s="8" t="s">
        <v>2101</v>
      </c>
      <c r="G356" s="8"/>
      <c r="H356" s="8"/>
      <c r="I356" s="8"/>
      <c r="J356" s="8"/>
      <c r="K356" s="8"/>
      <c r="L356" s="8" t="s">
        <v>1594</v>
      </c>
      <c r="M356" s="8" t="s">
        <v>2102</v>
      </c>
      <c r="N356" s="8" t="s">
        <v>2103</v>
      </c>
      <c r="O356" s="9" t="s">
        <v>2104</v>
      </c>
      <c r="P356" s="10" t="str">
        <f t="shared" ca="1" si="84"/>
        <v>NA</v>
      </c>
      <c r="Q356" s="5" t="str">
        <f t="shared" ca="1" si="85"/>
        <v>NA</v>
      </c>
      <c r="R356" s="5" t="str">
        <f t="shared" ca="1" si="86"/>
        <v>NA</v>
      </c>
      <c r="S356" s="7" t="str">
        <f t="shared" ca="1" si="87"/>
        <v>NA</v>
      </c>
      <c r="T356" s="7" t="str">
        <f t="shared" ca="1" si="88"/>
        <v>NA</v>
      </c>
      <c r="U356" s="7" t="str">
        <f t="shared" ca="1" si="89"/>
        <v>NA</v>
      </c>
      <c r="V356" s="8" t="s">
        <v>2105</v>
      </c>
      <c r="W356" s="14" t="s">
        <v>96</v>
      </c>
      <c r="X356" s="8"/>
      <c r="Y356" s="5">
        <f t="shared" ca="1" si="121"/>
        <v>2</v>
      </c>
      <c r="Z356" s="8" t="s">
        <v>2106</v>
      </c>
      <c r="AA356" s="12" t="str">
        <f t="shared" ca="1" si="91"/>
        <v>NA</v>
      </c>
      <c r="AB356" s="12" t="str">
        <f t="shared" ca="1" si="92"/>
        <v>NA</v>
      </c>
      <c r="AC356" s="12" t="str">
        <f t="shared" ca="1" si="93"/>
        <v>NA</v>
      </c>
      <c r="AD356" s="8" t="s">
        <v>2107</v>
      </c>
      <c r="AE356" s="5"/>
      <c r="AF356" s="8"/>
      <c r="AG356" s="11">
        <v>33212</v>
      </c>
      <c r="AH356" s="12">
        <f t="shared" ca="1" si="94"/>
        <v>1990</v>
      </c>
      <c r="AI356" s="12">
        <f t="shared" ca="1" si="95"/>
        <v>12</v>
      </c>
      <c r="AJ356" s="12">
        <f t="shared" ca="1" si="96"/>
        <v>5</v>
      </c>
      <c r="AK356" s="8" t="s">
        <v>2108</v>
      </c>
      <c r="AL356" s="8"/>
      <c r="AM356" s="5"/>
      <c r="AN356" s="5"/>
      <c r="AO356" s="16">
        <v>31472</v>
      </c>
      <c r="AP356" s="12">
        <f t="shared" ca="1" si="97"/>
        <v>1986</v>
      </c>
      <c r="AQ356" s="12">
        <f t="shared" ca="1" si="98"/>
        <v>3</v>
      </c>
      <c r="AR356" s="12">
        <f t="shared" ca="1" si="99"/>
        <v>1</v>
      </c>
      <c r="AS356" s="6" t="s">
        <v>2109</v>
      </c>
      <c r="AT356" s="20" t="s">
        <v>258</v>
      </c>
      <c r="AU356" s="11">
        <v>31872</v>
      </c>
      <c r="AV356" s="12">
        <f t="shared" ca="1" si="100"/>
        <v>1987</v>
      </c>
      <c r="AW356" s="12">
        <f t="shared" ca="1" si="101"/>
        <v>4</v>
      </c>
      <c r="AX356" s="12">
        <f t="shared" ca="1" si="102"/>
        <v>5</v>
      </c>
      <c r="AY356" s="8" t="s">
        <v>2110</v>
      </c>
      <c r="AZ356" s="8"/>
      <c r="BA356" s="8"/>
      <c r="BB356" s="12" t="str">
        <f t="shared" ca="1" si="103"/>
        <v>NA</v>
      </c>
      <c r="BC356" s="12" t="str">
        <f t="shared" ca="1" si="104"/>
        <v>NA</v>
      </c>
      <c r="BD356" s="12" t="str">
        <f t="shared" ca="1" si="105"/>
        <v>NA</v>
      </c>
      <c r="BE356" s="5"/>
      <c r="BF356" s="5"/>
      <c r="BG356" s="5"/>
      <c r="BH356" s="12" t="str">
        <f t="shared" ca="1" si="106"/>
        <v>NA</v>
      </c>
      <c r="BI356" s="12" t="str">
        <f t="shared" ca="1" si="107"/>
        <v>NA</v>
      </c>
      <c r="BJ356" s="12" t="str">
        <f t="shared" ca="1" si="108"/>
        <v>NA</v>
      </c>
      <c r="BK356" s="5"/>
      <c r="BL356" s="5"/>
      <c r="BM356" s="12" t="str">
        <f t="shared" ca="1" si="109"/>
        <v>NA</v>
      </c>
      <c r="BN356" s="12" t="str">
        <f t="shared" ca="1" si="110"/>
        <v>NA</v>
      </c>
      <c r="BO356" s="12" t="str">
        <f t="shared" ca="1" si="111"/>
        <v>NA</v>
      </c>
      <c r="BP356" s="5"/>
      <c r="BQ356" s="5"/>
      <c r="BR356" s="5"/>
      <c r="BS356" s="12" t="str">
        <f t="shared" ca="1" si="112"/>
        <v>NA</v>
      </c>
      <c r="BT356" s="12" t="str">
        <f t="shared" ca="1" si="113"/>
        <v>NA</v>
      </c>
      <c r="BU356" s="12" t="str">
        <f t="shared" ca="1" si="114"/>
        <v>NA</v>
      </c>
      <c r="BV356" s="5"/>
      <c r="BW356" s="5"/>
      <c r="BX356" s="12" t="str">
        <f t="shared" ca="1" si="115"/>
        <v>NA</v>
      </c>
      <c r="BY356" s="12" t="str">
        <f t="shared" ca="1" si="116"/>
        <v>NA</v>
      </c>
      <c r="BZ356" s="12" t="str">
        <f t="shared" ca="1" si="117"/>
        <v>NA</v>
      </c>
      <c r="CA356" s="5"/>
    </row>
    <row r="357" spans="1:79" ht="12.75" customHeight="1" x14ac:dyDescent="0.15">
      <c r="A357" s="4">
        <v>1021</v>
      </c>
      <c r="B357" s="5" t="s">
        <v>79</v>
      </c>
      <c r="C357" s="5" t="s">
        <v>79</v>
      </c>
      <c r="D357" s="8" t="s">
        <v>2111</v>
      </c>
      <c r="E357" s="28">
        <v>587080</v>
      </c>
      <c r="F357" s="8" t="s">
        <v>2112</v>
      </c>
      <c r="G357" s="8"/>
      <c r="H357" s="8"/>
      <c r="I357" s="8"/>
      <c r="J357" s="8"/>
      <c r="K357" s="8"/>
      <c r="L357" s="8" t="s">
        <v>1594</v>
      </c>
      <c r="M357" s="8" t="s">
        <v>2113</v>
      </c>
      <c r="N357" s="8" t="s">
        <v>2114</v>
      </c>
      <c r="O357" s="9" t="s">
        <v>2115</v>
      </c>
      <c r="P357" s="10" t="str">
        <f t="shared" ca="1" si="84"/>
        <v>NA</v>
      </c>
      <c r="Q357" s="5" t="str">
        <f t="shared" ca="1" si="85"/>
        <v>NA</v>
      </c>
      <c r="R357" s="5" t="str">
        <f t="shared" ca="1" si="86"/>
        <v>NA</v>
      </c>
      <c r="S357" s="7" t="str">
        <f t="shared" ca="1" si="87"/>
        <v>NA</v>
      </c>
      <c r="T357" s="7" t="str">
        <f t="shared" ca="1" si="88"/>
        <v>NA</v>
      </c>
      <c r="U357" s="7" t="str">
        <f t="shared" ca="1" si="89"/>
        <v>NA</v>
      </c>
      <c r="V357" s="8" t="s">
        <v>2116</v>
      </c>
      <c r="W357" s="14" t="s">
        <v>96</v>
      </c>
      <c r="X357" s="8"/>
      <c r="Y357" s="5">
        <f t="shared" ca="1" si="121"/>
        <v>2</v>
      </c>
      <c r="Z357" s="8" t="s">
        <v>2117</v>
      </c>
      <c r="AA357" s="12" t="str">
        <f t="shared" ca="1" si="91"/>
        <v>NA</v>
      </c>
      <c r="AB357" s="12" t="str">
        <f t="shared" ca="1" si="92"/>
        <v>NA</v>
      </c>
      <c r="AC357" s="12" t="str">
        <f t="shared" ca="1" si="93"/>
        <v>NA</v>
      </c>
      <c r="AD357" s="8" t="s">
        <v>2118</v>
      </c>
      <c r="AE357" s="5"/>
      <c r="AF357" s="8"/>
      <c r="AG357" s="11">
        <v>36349</v>
      </c>
      <c r="AH357" s="12">
        <f t="shared" ca="1" si="94"/>
        <v>1999</v>
      </c>
      <c r="AI357" s="12">
        <f t="shared" ca="1" si="95"/>
        <v>7</v>
      </c>
      <c r="AJ357" s="12">
        <f t="shared" ca="1" si="96"/>
        <v>8</v>
      </c>
      <c r="AK357" s="8" t="s">
        <v>2119</v>
      </c>
      <c r="AL357" s="8"/>
      <c r="AM357" s="5"/>
      <c r="AN357" s="5"/>
      <c r="AO357" s="16">
        <v>31472</v>
      </c>
      <c r="AP357" s="12">
        <f t="shared" ca="1" si="97"/>
        <v>1986</v>
      </c>
      <c r="AQ357" s="12">
        <f t="shared" ca="1" si="98"/>
        <v>3</v>
      </c>
      <c r="AR357" s="12">
        <f t="shared" ca="1" si="99"/>
        <v>1</v>
      </c>
      <c r="AS357" s="6" t="s">
        <v>2120</v>
      </c>
      <c r="AT357" s="20" t="s">
        <v>258</v>
      </c>
      <c r="AU357" s="11">
        <v>31872</v>
      </c>
      <c r="AV357" s="12">
        <f t="shared" ca="1" si="100"/>
        <v>1987</v>
      </c>
      <c r="AW357" s="12">
        <f t="shared" ca="1" si="101"/>
        <v>4</v>
      </c>
      <c r="AX357" s="12">
        <f t="shared" ca="1" si="102"/>
        <v>5</v>
      </c>
      <c r="AY357" s="8" t="s">
        <v>2121</v>
      </c>
      <c r="AZ357" s="8"/>
      <c r="BA357" s="8"/>
      <c r="BB357" s="12" t="str">
        <f t="shared" ca="1" si="103"/>
        <v>NA</v>
      </c>
      <c r="BC357" s="12" t="str">
        <f t="shared" ca="1" si="104"/>
        <v>NA</v>
      </c>
      <c r="BD357" s="12" t="str">
        <f t="shared" ca="1" si="105"/>
        <v>NA</v>
      </c>
      <c r="BE357" s="5"/>
      <c r="BF357" s="5"/>
      <c r="BG357" s="5"/>
      <c r="BH357" s="12" t="str">
        <f t="shared" ca="1" si="106"/>
        <v>NA</v>
      </c>
      <c r="BI357" s="12" t="str">
        <f t="shared" ca="1" si="107"/>
        <v>NA</v>
      </c>
      <c r="BJ357" s="12" t="str">
        <f t="shared" ca="1" si="108"/>
        <v>NA</v>
      </c>
      <c r="BK357" s="5"/>
      <c r="BL357" s="5"/>
      <c r="BM357" s="12" t="str">
        <f t="shared" ca="1" si="109"/>
        <v>NA</v>
      </c>
      <c r="BN357" s="12" t="str">
        <f t="shared" ca="1" si="110"/>
        <v>NA</v>
      </c>
      <c r="BO357" s="12" t="str">
        <f t="shared" ca="1" si="111"/>
        <v>NA</v>
      </c>
      <c r="BP357" s="5"/>
      <c r="BQ357" s="5"/>
      <c r="BR357" s="5"/>
      <c r="BS357" s="12" t="str">
        <f t="shared" ca="1" si="112"/>
        <v>NA</v>
      </c>
      <c r="BT357" s="12" t="str">
        <f t="shared" ca="1" si="113"/>
        <v>NA</v>
      </c>
      <c r="BU357" s="12" t="str">
        <f t="shared" ca="1" si="114"/>
        <v>NA</v>
      </c>
      <c r="BV357" s="5"/>
      <c r="BW357" s="5"/>
      <c r="BX357" s="12" t="str">
        <f t="shared" ca="1" si="115"/>
        <v>NA</v>
      </c>
      <c r="BY357" s="12" t="str">
        <f t="shared" ca="1" si="116"/>
        <v>NA</v>
      </c>
      <c r="BZ357" s="12" t="str">
        <f t="shared" ca="1" si="117"/>
        <v>NA</v>
      </c>
      <c r="CA357" s="5"/>
    </row>
    <row r="358" spans="1:79" ht="12.75" customHeight="1" x14ac:dyDescent="0.15">
      <c r="A358" s="4">
        <v>1089</v>
      </c>
      <c r="B358" s="5" t="s">
        <v>79</v>
      </c>
      <c r="C358" s="5" t="s">
        <v>79</v>
      </c>
      <c r="D358" s="8" t="s">
        <v>2122</v>
      </c>
      <c r="E358" s="28">
        <v>594333</v>
      </c>
      <c r="F358" s="8" t="s">
        <v>2123</v>
      </c>
      <c r="G358" s="8"/>
      <c r="H358" s="8"/>
      <c r="I358" s="8"/>
      <c r="J358" s="8"/>
      <c r="K358" s="8"/>
      <c r="L358" s="8" t="s">
        <v>1594</v>
      </c>
      <c r="M358" s="8" t="s">
        <v>2124</v>
      </c>
      <c r="N358" s="8" t="s">
        <v>2125</v>
      </c>
      <c r="O358" s="9" t="s">
        <v>2126</v>
      </c>
      <c r="P358" s="10" t="str">
        <f t="shared" ca="1" si="84"/>
        <v>NA</v>
      </c>
      <c r="Q358" s="5" t="str">
        <f t="shared" ca="1" si="85"/>
        <v>NA</v>
      </c>
      <c r="R358" s="5" t="str">
        <f t="shared" ca="1" si="86"/>
        <v>NA</v>
      </c>
      <c r="S358" s="7" t="str">
        <f t="shared" ca="1" si="87"/>
        <v>NA</v>
      </c>
      <c r="T358" s="7" t="str">
        <f t="shared" ca="1" si="88"/>
        <v>NA</v>
      </c>
      <c r="U358" s="7" t="str">
        <f t="shared" ca="1" si="89"/>
        <v>NA</v>
      </c>
      <c r="V358" s="8" t="s">
        <v>1640</v>
      </c>
      <c r="W358" s="14" t="s">
        <v>96</v>
      </c>
      <c r="X358" s="8" t="s">
        <v>1641</v>
      </c>
      <c r="Y358" s="5">
        <f t="shared" ca="1" si="121"/>
        <v>2</v>
      </c>
      <c r="Z358" s="8" t="s">
        <v>2127</v>
      </c>
      <c r="AA358" s="12" t="str">
        <f t="shared" ca="1" si="91"/>
        <v>NA</v>
      </c>
      <c r="AB358" s="12" t="str">
        <f t="shared" ca="1" si="92"/>
        <v>NA</v>
      </c>
      <c r="AC358" s="12" t="str">
        <f t="shared" ca="1" si="93"/>
        <v>NA</v>
      </c>
      <c r="AD358" s="8" t="s">
        <v>1640</v>
      </c>
      <c r="AE358" s="5"/>
      <c r="AF358" s="8" t="s">
        <v>1641</v>
      </c>
      <c r="AG358" s="11">
        <v>39871</v>
      </c>
      <c r="AH358" s="12">
        <f t="shared" ca="1" si="94"/>
        <v>2009</v>
      </c>
      <c r="AI358" s="12">
        <f t="shared" ca="1" si="95"/>
        <v>2</v>
      </c>
      <c r="AJ358" s="12">
        <f t="shared" ca="1" si="96"/>
        <v>27</v>
      </c>
      <c r="AK358" s="8" t="s">
        <v>2128</v>
      </c>
      <c r="AL358" s="8"/>
      <c r="AM358" s="5"/>
      <c r="AN358" s="5"/>
      <c r="AO358" s="8" t="s">
        <v>2129</v>
      </c>
      <c r="AP358" s="12" t="str">
        <f t="shared" ca="1" si="97"/>
        <v>NA</v>
      </c>
      <c r="AQ358" s="12" t="str">
        <f t="shared" ca="1" si="98"/>
        <v>NA</v>
      </c>
      <c r="AR358" s="12" t="str">
        <f t="shared" ca="1" si="99"/>
        <v>NA</v>
      </c>
      <c r="AS358" s="8" t="s">
        <v>2130</v>
      </c>
      <c r="AT358" s="8"/>
      <c r="AU358" s="11">
        <v>34062</v>
      </c>
      <c r="AV358" s="12">
        <f t="shared" ca="1" si="100"/>
        <v>1993</v>
      </c>
      <c r="AW358" s="12">
        <f t="shared" ca="1" si="101"/>
        <v>4</v>
      </c>
      <c r="AX358" s="12">
        <f t="shared" ca="1" si="102"/>
        <v>3</v>
      </c>
      <c r="AY358" s="8" t="s">
        <v>2131</v>
      </c>
      <c r="AZ358" s="8"/>
      <c r="BA358" s="11">
        <v>34523</v>
      </c>
      <c r="BB358" s="12">
        <f t="shared" ca="1" si="103"/>
        <v>1994</v>
      </c>
      <c r="BC358" s="12">
        <f t="shared" ca="1" si="104"/>
        <v>7</v>
      </c>
      <c r="BD358" s="12">
        <f t="shared" ca="1" si="105"/>
        <v>8</v>
      </c>
      <c r="BE358" s="8" t="s">
        <v>2132</v>
      </c>
      <c r="BF358" s="8"/>
      <c r="BG358" s="5"/>
      <c r="BH358" s="12" t="str">
        <f t="shared" ca="1" si="106"/>
        <v>NA</v>
      </c>
      <c r="BI358" s="12" t="str">
        <f t="shared" ca="1" si="107"/>
        <v>NA</v>
      </c>
      <c r="BJ358" s="12" t="str">
        <f t="shared" ca="1" si="108"/>
        <v>NA</v>
      </c>
      <c r="BK358" s="5"/>
      <c r="BL358" s="5"/>
      <c r="BM358" s="12" t="str">
        <f t="shared" ca="1" si="109"/>
        <v>NA</v>
      </c>
      <c r="BN358" s="12" t="str">
        <f t="shared" ca="1" si="110"/>
        <v>NA</v>
      </c>
      <c r="BO358" s="12" t="str">
        <f t="shared" ca="1" si="111"/>
        <v>NA</v>
      </c>
      <c r="BP358" s="5"/>
      <c r="BQ358" s="5"/>
      <c r="BR358" s="5"/>
      <c r="BS358" s="12" t="str">
        <f t="shared" ca="1" si="112"/>
        <v>NA</v>
      </c>
      <c r="BT358" s="12" t="str">
        <f t="shared" ca="1" si="113"/>
        <v>NA</v>
      </c>
      <c r="BU358" s="12" t="str">
        <f t="shared" ca="1" si="114"/>
        <v>NA</v>
      </c>
      <c r="BV358" s="5"/>
      <c r="BW358" s="5"/>
      <c r="BX358" s="12" t="str">
        <f t="shared" ca="1" si="115"/>
        <v>NA</v>
      </c>
      <c r="BY358" s="12" t="str">
        <f t="shared" ca="1" si="116"/>
        <v>NA</v>
      </c>
      <c r="BZ358" s="12" t="str">
        <f t="shared" ca="1" si="117"/>
        <v>NA</v>
      </c>
      <c r="CA358" s="5"/>
    </row>
    <row r="359" spans="1:79" ht="12.75" customHeight="1" x14ac:dyDescent="0.15">
      <c r="A359" s="4">
        <v>1113</v>
      </c>
      <c r="B359" s="5" t="s">
        <v>79</v>
      </c>
      <c r="C359" s="5" t="s">
        <v>79</v>
      </c>
      <c r="D359" s="8" t="s">
        <v>2133</v>
      </c>
      <c r="E359" s="28">
        <v>595444</v>
      </c>
      <c r="F359" s="8" t="s">
        <v>2134</v>
      </c>
      <c r="G359" s="8"/>
      <c r="H359" s="8"/>
      <c r="I359" s="8"/>
      <c r="J359" s="8"/>
      <c r="K359" s="8"/>
      <c r="L359" s="8" t="s">
        <v>1594</v>
      </c>
      <c r="M359" s="8" t="s">
        <v>2135</v>
      </c>
      <c r="N359" s="8" t="s">
        <v>2136</v>
      </c>
      <c r="O359" s="9" t="s">
        <v>2137</v>
      </c>
      <c r="P359" s="10" t="str">
        <f t="shared" ca="1" si="84"/>
        <v>NA</v>
      </c>
      <c r="Q359" s="5" t="str">
        <f t="shared" ca="1" si="85"/>
        <v>NA</v>
      </c>
      <c r="R359" s="5" t="str">
        <f t="shared" ca="1" si="86"/>
        <v>NA</v>
      </c>
      <c r="S359" s="7" t="str">
        <f t="shared" ca="1" si="87"/>
        <v>NA</v>
      </c>
      <c r="T359" s="7" t="str">
        <f t="shared" ca="1" si="88"/>
        <v>NA</v>
      </c>
      <c r="U359" s="7" t="str">
        <f t="shared" ca="1" si="89"/>
        <v>NA</v>
      </c>
      <c r="V359" s="8" t="s">
        <v>2138</v>
      </c>
      <c r="W359" s="14" t="s">
        <v>96</v>
      </c>
      <c r="X359" s="8"/>
      <c r="Y359" s="5">
        <f t="shared" ca="1" si="121"/>
        <v>2</v>
      </c>
      <c r="Z359" s="8" t="s">
        <v>2139</v>
      </c>
      <c r="AA359" s="12" t="str">
        <f t="shared" ca="1" si="91"/>
        <v>NA</v>
      </c>
      <c r="AB359" s="12" t="str">
        <f t="shared" ca="1" si="92"/>
        <v>NA</v>
      </c>
      <c r="AC359" s="12" t="str">
        <f t="shared" ca="1" si="93"/>
        <v>NA</v>
      </c>
      <c r="AD359" s="8" t="s">
        <v>2140</v>
      </c>
      <c r="AE359" s="5"/>
      <c r="AF359" s="8"/>
      <c r="AG359" s="11">
        <v>40604</v>
      </c>
      <c r="AH359" s="12">
        <f t="shared" ca="1" si="94"/>
        <v>2011</v>
      </c>
      <c r="AI359" s="12">
        <f t="shared" ca="1" si="95"/>
        <v>3</v>
      </c>
      <c r="AJ359" s="12">
        <f t="shared" ca="1" si="96"/>
        <v>2</v>
      </c>
      <c r="AK359" s="8" t="s">
        <v>2141</v>
      </c>
      <c r="AL359" s="8"/>
      <c r="AM359" s="5"/>
      <c r="AN359" s="5"/>
      <c r="AO359" s="8" t="s">
        <v>2142</v>
      </c>
      <c r="AP359" s="12" t="str">
        <f t="shared" ca="1" si="97"/>
        <v>NA</v>
      </c>
      <c r="AQ359" s="12" t="str">
        <f t="shared" ca="1" si="98"/>
        <v>NA</v>
      </c>
      <c r="AR359" s="12" t="str">
        <f t="shared" ca="1" si="99"/>
        <v>NA</v>
      </c>
      <c r="AS359" s="8" t="s">
        <v>2143</v>
      </c>
      <c r="AT359" s="8"/>
      <c r="AU359" s="11">
        <v>34785</v>
      </c>
      <c r="AV359" s="12">
        <f t="shared" ca="1" si="100"/>
        <v>1995</v>
      </c>
      <c r="AW359" s="12">
        <f t="shared" ca="1" si="101"/>
        <v>3</v>
      </c>
      <c r="AX359" s="12">
        <f t="shared" ca="1" si="102"/>
        <v>27</v>
      </c>
      <c r="AY359" s="8" t="s">
        <v>2144</v>
      </c>
      <c r="AZ359" s="8"/>
      <c r="BA359" s="11">
        <v>35005</v>
      </c>
      <c r="BB359" s="12">
        <f t="shared" ca="1" si="103"/>
        <v>1995</v>
      </c>
      <c r="BC359" s="12">
        <f t="shared" ca="1" si="104"/>
        <v>11</v>
      </c>
      <c r="BD359" s="12">
        <f t="shared" ca="1" si="105"/>
        <v>2</v>
      </c>
      <c r="BE359" s="8" t="s">
        <v>2145</v>
      </c>
      <c r="BF359" s="8"/>
      <c r="BG359" s="5"/>
      <c r="BH359" s="12" t="str">
        <f t="shared" ca="1" si="106"/>
        <v>NA</v>
      </c>
      <c r="BI359" s="12" t="str">
        <f t="shared" ca="1" si="107"/>
        <v>NA</v>
      </c>
      <c r="BJ359" s="12" t="str">
        <f t="shared" ca="1" si="108"/>
        <v>NA</v>
      </c>
      <c r="BK359" s="5"/>
      <c r="BL359" s="5"/>
      <c r="BM359" s="12" t="str">
        <f t="shared" ca="1" si="109"/>
        <v>NA</v>
      </c>
      <c r="BN359" s="12" t="str">
        <f t="shared" ca="1" si="110"/>
        <v>NA</v>
      </c>
      <c r="BO359" s="12" t="str">
        <f t="shared" ca="1" si="111"/>
        <v>NA</v>
      </c>
      <c r="BP359" s="5"/>
      <c r="BQ359" s="5"/>
      <c r="BR359" s="5"/>
      <c r="BS359" s="12" t="str">
        <f t="shared" ca="1" si="112"/>
        <v>NA</v>
      </c>
      <c r="BT359" s="12" t="str">
        <f t="shared" ca="1" si="113"/>
        <v>NA</v>
      </c>
      <c r="BU359" s="12" t="str">
        <f t="shared" ca="1" si="114"/>
        <v>NA</v>
      </c>
      <c r="BV359" s="5"/>
      <c r="BW359" s="5"/>
      <c r="BX359" s="12" t="str">
        <f t="shared" ca="1" si="115"/>
        <v>NA</v>
      </c>
      <c r="BY359" s="12" t="str">
        <f t="shared" ca="1" si="116"/>
        <v>NA</v>
      </c>
      <c r="BZ359" s="12" t="str">
        <f t="shared" ca="1" si="117"/>
        <v>NA</v>
      </c>
      <c r="CA359" s="5"/>
    </row>
    <row r="360" spans="1:79" ht="12.75" customHeight="1" x14ac:dyDescent="0.15">
      <c r="A360" s="4">
        <v>1031</v>
      </c>
      <c r="B360" s="5" t="s">
        <v>79</v>
      </c>
      <c r="C360" s="5" t="s">
        <v>79</v>
      </c>
      <c r="D360" s="6" t="s">
        <v>2146</v>
      </c>
      <c r="E360" s="7">
        <v>920342</v>
      </c>
      <c r="F360" s="6" t="s">
        <v>2147</v>
      </c>
      <c r="G360" s="8"/>
      <c r="H360" s="8"/>
      <c r="I360" s="8"/>
      <c r="J360" s="8"/>
      <c r="K360" s="8"/>
      <c r="L360" s="8" t="s">
        <v>1594</v>
      </c>
      <c r="M360" s="6" t="s">
        <v>2148</v>
      </c>
      <c r="N360" s="6" t="s">
        <v>2149</v>
      </c>
      <c r="O360" s="9">
        <v>30317</v>
      </c>
      <c r="P360" s="10">
        <f t="shared" ca="1" si="84"/>
        <v>21.05</v>
      </c>
      <c r="Q360" s="5">
        <f t="shared" ca="1" si="85"/>
        <v>252</v>
      </c>
      <c r="R360" s="5">
        <f t="shared" ca="1" si="86"/>
        <v>7688</v>
      </c>
      <c r="S360" s="7">
        <f t="shared" ca="1" si="87"/>
        <v>1983</v>
      </c>
      <c r="T360" s="7">
        <f t="shared" ca="1" si="88"/>
        <v>1</v>
      </c>
      <c r="U360" s="7">
        <f t="shared" ca="1" si="89"/>
        <v>1</v>
      </c>
      <c r="V360" s="8" t="s">
        <v>1640</v>
      </c>
      <c r="W360" s="8" t="s">
        <v>84</v>
      </c>
      <c r="X360" s="8" t="s">
        <v>1641</v>
      </c>
      <c r="Y360" s="5">
        <f t="shared" ca="1" si="121"/>
        <v>3</v>
      </c>
      <c r="Z360" s="8" t="s">
        <v>2150</v>
      </c>
      <c r="AA360" s="12" t="str">
        <f t="shared" ca="1" si="91"/>
        <v>NA</v>
      </c>
      <c r="AB360" s="12" t="str">
        <f t="shared" ca="1" si="92"/>
        <v>NA</v>
      </c>
      <c r="AC360" s="12" t="str">
        <f t="shared" ca="1" si="93"/>
        <v>NA</v>
      </c>
      <c r="AD360" s="8" t="s">
        <v>1640</v>
      </c>
      <c r="AE360" s="5"/>
      <c r="AF360" s="8" t="s">
        <v>1641</v>
      </c>
      <c r="AG360" s="11">
        <v>38005</v>
      </c>
      <c r="AH360" s="12">
        <f t="shared" ca="1" si="94"/>
        <v>2004</v>
      </c>
      <c r="AI360" s="12">
        <f t="shared" ca="1" si="95"/>
        <v>1</v>
      </c>
      <c r="AJ360" s="12">
        <f t="shared" ca="1" si="96"/>
        <v>19</v>
      </c>
      <c r="AK360" s="8" t="s">
        <v>2151</v>
      </c>
      <c r="AL360" s="8"/>
      <c r="AM360" s="5"/>
      <c r="AN360" s="5"/>
      <c r="AO360" s="11">
        <v>31680</v>
      </c>
      <c r="AP360" s="12">
        <f t="shared" ca="1" si="97"/>
        <v>1986</v>
      </c>
      <c r="AQ360" s="12">
        <f t="shared" ca="1" si="98"/>
        <v>9</v>
      </c>
      <c r="AR360" s="12">
        <f t="shared" ca="1" si="99"/>
        <v>25</v>
      </c>
      <c r="AS360" s="8" t="s">
        <v>2152</v>
      </c>
      <c r="AT360" s="8"/>
      <c r="AU360" s="11">
        <v>31978</v>
      </c>
      <c r="AV360" s="12">
        <f t="shared" ca="1" si="100"/>
        <v>1987</v>
      </c>
      <c r="AW360" s="12">
        <f t="shared" ca="1" si="101"/>
        <v>7</v>
      </c>
      <c r="AX360" s="12">
        <f t="shared" ca="1" si="102"/>
        <v>20</v>
      </c>
      <c r="AY360" s="8" t="s">
        <v>2153</v>
      </c>
      <c r="AZ360" s="8"/>
      <c r="BA360" s="11">
        <v>33801</v>
      </c>
      <c r="BB360" s="12">
        <f t="shared" ca="1" si="103"/>
        <v>1992</v>
      </c>
      <c r="BC360" s="12">
        <f t="shared" ca="1" si="104"/>
        <v>7</v>
      </c>
      <c r="BD360" s="12">
        <f t="shared" ca="1" si="105"/>
        <v>16</v>
      </c>
      <c r="BE360" s="8" t="s">
        <v>2154</v>
      </c>
      <c r="BF360" s="8"/>
      <c r="BG360" s="5"/>
      <c r="BH360" s="12" t="str">
        <f t="shared" ca="1" si="106"/>
        <v>NA</v>
      </c>
      <c r="BI360" s="12" t="str">
        <f t="shared" ca="1" si="107"/>
        <v>NA</v>
      </c>
      <c r="BJ360" s="12" t="str">
        <f t="shared" ca="1" si="108"/>
        <v>NA</v>
      </c>
      <c r="BK360" s="5"/>
      <c r="BL360" s="5"/>
      <c r="BM360" s="12" t="str">
        <f t="shared" ca="1" si="109"/>
        <v>NA</v>
      </c>
      <c r="BN360" s="12" t="str">
        <f t="shared" ca="1" si="110"/>
        <v>NA</v>
      </c>
      <c r="BO360" s="12" t="str">
        <f t="shared" ca="1" si="111"/>
        <v>NA</v>
      </c>
      <c r="BP360" s="5"/>
      <c r="BQ360" s="5"/>
      <c r="BR360" s="5"/>
      <c r="BS360" s="12" t="str">
        <f t="shared" ca="1" si="112"/>
        <v>NA</v>
      </c>
      <c r="BT360" s="12" t="str">
        <f t="shared" ca="1" si="113"/>
        <v>NA</v>
      </c>
      <c r="BU360" s="12" t="str">
        <f t="shared" ca="1" si="114"/>
        <v>NA</v>
      </c>
      <c r="BV360" s="5"/>
      <c r="BW360" s="5"/>
      <c r="BX360" s="12" t="str">
        <f t="shared" ca="1" si="115"/>
        <v>NA</v>
      </c>
      <c r="BY360" s="12" t="str">
        <f t="shared" ca="1" si="116"/>
        <v>NA</v>
      </c>
      <c r="BZ360" s="12" t="str">
        <f t="shared" ca="1" si="117"/>
        <v>NA</v>
      </c>
      <c r="CA360" s="5"/>
    </row>
    <row r="361" spans="1:79" ht="12.75" customHeight="1" x14ac:dyDescent="0.15">
      <c r="A361" s="4">
        <v>1043</v>
      </c>
      <c r="B361" s="5" t="s">
        <v>79</v>
      </c>
      <c r="C361" s="5" t="s">
        <v>79</v>
      </c>
      <c r="D361" s="8" t="s">
        <v>2155</v>
      </c>
      <c r="E361" s="28">
        <v>890713</v>
      </c>
      <c r="F361" s="8" t="s">
        <v>2156</v>
      </c>
      <c r="G361" s="8"/>
      <c r="H361" s="8"/>
      <c r="I361" s="8"/>
      <c r="J361" s="8"/>
      <c r="K361" s="8"/>
      <c r="L361" s="8" t="s">
        <v>1594</v>
      </c>
      <c r="M361" s="8" t="s">
        <v>2157</v>
      </c>
      <c r="N361" s="8" t="s">
        <v>2158</v>
      </c>
      <c r="O361" s="9" t="s">
        <v>2159</v>
      </c>
      <c r="P361" s="10" t="str">
        <f t="shared" ca="1" si="84"/>
        <v>NA</v>
      </c>
      <c r="Q361" s="5" t="str">
        <f t="shared" ca="1" si="85"/>
        <v>NA</v>
      </c>
      <c r="R361" s="5" t="str">
        <f t="shared" ca="1" si="86"/>
        <v>NA</v>
      </c>
      <c r="S361" s="7" t="str">
        <f t="shared" ca="1" si="87"/>
        <v>NA</v>
      </c>
      <c r="T361" s="7" t="str">
        <f t="shared" ca="1" si="88"/>
        <v>NA</v>
      </c>
      <c r="U361" s="7" t="str">
        <f t="shared" ca="1" si="89"/>
        <v>NA</v>
      </c>
      <c r="V361" s="8" t="s">
        <v>2160</v>
      </c>
      <c r="W361" s="14" t="s">
        <v>96</v>
      </c>
      <c r="X361" s="8"/>
      <c r="Y361" s="5">
        <f t="shared" ca="1" si="121"/>
        <v>1</v>
      </c>
      <c r="Z361" s="8" t="s">
        <v>2161</v>
      </c>
      <c r="AA361" s="12" t="str">
        <f t="shared" ca="1" si="91"/>
        <v>NA</v>
      </c>
      <c r="AB361" s="12" t="str">
        <f t="shared" ca="1" si="92"/>
        <v>NA</v>
      </c>
      <c r="AC361" s="12" t="str">
        <f t="shared" ca="1" si="93"/>
        <v>NA</v>
      </c>
      <c r="AD361" s="8" t="s">
        <v>2162</v>
      </c>
      <c r="AE361" s="5"/>
      <c r="AF361" s="8"/>
      <c r="AG361" s="11">
        <v>35323</v>
      </c>
      <c r="AH361" s="12">
        <f t="shared" ca="1" si="94"/>
        <v>1996</v>
      </c>
      <c r="AI361" s="12">
        <f t="shared" ca="1" si="95"/>
        <v>9</v>
      </c>
      <c r="AJ361" s="12">
        <f t="shared" ca="1" si="96"/>
        <v>15</v>
      </c>
      <c r="AK361" s="8" t="s">
        <v>2163</v>
      </c>
      <c r="AL361" s="8"/>
      <c r="AM361" s="5"/>
      <c r="AN361" s="5"/>
      <c r="AO361" s="8" t="s">
        <v>2164</v>
      </c>
      <c r="AP361" s="12" t="str">
        <f t="shared" ca="1" si="97"/>
        <v>NA</v>
      </c>
      <c r="AQ361" s="12" t="str">
        <f t="shared" ca="1" si="98"/>
        <v>NA</v>
      </c>
      <c r="AR361" s="12" t="str">
        <f t="shared" ca="1" si="99"/>
        <v>NA</v>
      </c>
      <c r="AS361" s="8" t="s">
        <v>2165</v>
      </c>
      <c r="AT361" s="8"/>
      <c r="AU361" s="11">
        <v>32740</v>
      </c>
      <c r="AV361" s="12">
        <f t="shared" ca="1" si="100"/>
        <v>1989</v>
      </c>
      <c r="AW361" s="12">
        <f t="shared" ca="1" si="101"/>
        <v>8</v>
      </c>
      <c r="AX361" s="12">
        <f t="shared" ca="1" si="102"/>
        <v>20</v>
      </c>
      <c r="AY361" s="8" t="s">
        <v>2166</v>
      </c>
      <c r="AZ361" s="8"/>
      <c r="BA361" s="8"/>
      <c r="BB361" s="12" t="str">
        <f t="shared" ca="1" si="103"/>
        <v>NA</v>
      </c>
      <c r="BC361" s="12" t="str">
        <f t="shared" ca="1" si="104"/>
        <v>NA</v>
      </c>
      <c r="BD361" s="12" t="str">
        <f t="shared" ca="1" si="105"/>
        <v>NA</v>
      </c>
      <c r="BE361" s="5"/>
      <c r="BF361" s="5"/>
      <c r="BG361" s="5"/>
      <c r="BH361" s="12" t="str">
        <f t="shared" ca="1" si="106"/>
        <v>NA</v>
      </c>
      <c r="BI361" s="12" t="str">
        <f t="shared" ca="1" si="107"/>
        <v>NA</v>
      </c>
      <c r="BJ361" s="12" t="str">
        <f t="shared" ca="1" si="108"/>
        <v>NA</v>
      </c>
      <c r="BK361" s="5"/>
      <c r="BL361" s="5"/>
      <c r="BM361" s="12" t="str">
        <f t="shared" ca="1" si="109"/>
        <v>NA</v>
      </c>
      <c r="BN361" s="12" t="str">
        <f t="shared" ca="1" si="110"/>
        <v>NA</v>
      </c>
      <c r="BO361" s="12" t="str">
        <f t="shared" ca="1" si="111"/>
        <v>NA</v>
      </c>
      <c r="BP361" s="5"/>
      <c r="BQ361" s="5"/>
      <c r="BR361" s="5"/>
      <c r="BS361" s="12" t="str">
        <f t="shared" ca="1" si="112"/>
        <v>NA</v>
      </c>
      <c r="BT361" s="12" t="str">
        <f t="shared" ca="1" si="113"/>
        <v>NA</v>
      </c>
      <c r="BU361" s="12" t="str">
        <f t="shared" ca="1" si="114"/>
        <v>NA</v>
      </c>
      <c r="BV361" s="5"/>
      <c r="BW361" s="5"/>
      <c r="BX361" s="12" t="str">
        <f t="shared" ca="1" si="115"/>
        <v>NA</v>
      </c>
      <c r="BY361" s="12" t="str">
        <f t="shared" ca="1" si="116"/>
        <v>NA</v>
      </c>
      <c r="BZ361" s="12" t="str">
        <f t="shared" ca="1" si="117"/>
        <v>NA</v>
      </c>
      <c r="CA361" s="5"/>
    </row>
    <row r="362" spans="1:79" ht="12.75" customHeight="1" x14ac:dyDescent="0.15">
      <c r="A362" s="4">
        <v>1127</v>
      </c>
      <c r="B362" s="5" t="s">
        <v>79</v>
      </c>
      <c r="C362" s="5" t="s">
        <v>79</v>
      </c>
      <c r="D362" s="8" t="s">
        <v>2167</v>
      </c>
      <c r="E362" s="28">
        <v>990229</v>
      </c>
      <c r="F362" s="8" t="s">
        <v>2168</v>
      </c>
      <c r="G362" s="8"/>
      <c r="H362" s="8"/>
      <c r="I362" s="8"/>
      <c r="J362" s="8"/>
      <c r="K362" s="8"/>
      <c r="L362" s="8" t="s">
        <v>1594</v>
      </c>
      <c r="M362" s="8" t="s">
        <v>2169</v>
      </c>
      <c r="N362" s="8" t="s">
        <v>2170</v>
      </c>
      <c r="O362" s="9" t="s">
        <v>2171</v>
      </c>
      <c r="P362" s="10" t="str">
        <f t="shared" ca="1" si="84"/>
        <v>NA</v>
      </c>
      <c r="Q362" s="5" t="str">
        <f t="shared" ca="1" si="85"/>
        <v>NA</v>
      </c>
      <c r="R362" s="5" t="str">
        <f t="shared" ca="1" si="86"/>
        <v>NA</v>
      </c>
      <c r="S362" s="7" t="str">
        <f t="shared" ca="1" si="87"/>
        <v>NA</v>
      </c>
      <c r="T362" s="7" t="str">
        <f t="shared" ca="1" si="88"/>
        <v>NA</v>
      </c>
      <c r="U362" s="7" t="str">
        <f t="shared" ca="1" si="89"/>
        <v>NA</v>
      </c>
      <c r="V362" s="8" t="s">
        <v>1640</v>
      </c>
      <c r="W362" s="14" t="s">
        <v>96</v>
      </c>
      <c r="X362" s="8" t="s">
        <v>1641</v>
      </c>
      <c r="Y362" s="5">
        <f t="shared" ca="1" si="121"/>
        <v>2</v>
      </c>
      <c r="Z362" s="8" t="s">
        <v>2172</v>
      </c>
      <c r="AA362" s="12" t="str">
        <f t="shared" ca="1" si="91"/>
        <v>NA</v>
      </c>
      <c r="AB362" s="12" t="str">
        <f t="shared" ca="1" si="92"/>
        <v>NA</v>
      </c>
      <c r="AC362" s="12" t="str">
        <f t="shared" ca="1" si="93"/>
        <v>NA</v>
      </c>
      <c r="AD362" s="8" t="s">
        <v>1640</v>
      </c>
      <c r="AE362" s="5"/>
      <c r="AF362" s="8" t="s">
        <v>1641</v>
      </c>
      <c r="AG362" s="11">
        <v>39735</v>
      </c>
      <c r="AH362" s="12">
        <f t="shared" ca="1" si="94"/>
        <v>2008</v>
      </c>
      <c r="AI362" s="12">
        <f t="shared" ca="1" si="95"/>
        <v>10</v>
      </c>
      <c r="AJ362" s="12">
        <f t="shared" ca="1" si="96"/>
        <v>14</v>
      </c>
      <c r="AK362" s="8" t="s">
        <v>2173</v>
      </c>
      <c r="AL362" s="8"/>
      <c r="AM362" s="5"/>
      <c r="AN362" s="5"/>
      <c r="AO362" s="8" t="s">
        <v>2174</v>
      </c>
      <c r="AP362" s="12" t="str">
        <f t="shared" ca="1" si="97"/>
        <v>NA</v>
      </c>
      <c r="AQ362" s="12" t="str">
        <f t="shared" ca="1" si="98"/>
        <v>NA</v>
      </c>
      <c r="AR362" s="12" t="str">
        <f t="shared" ca="1" si="99"/>
        <v>NA</v>
      </c>
      <c r="AS362" s="8" t="s">
        <v>2175</v>
      </c>
      <c r="AT362" s="8"/>
      <c r="AU362" s="11">
        <v>35630</v>
      </c>
      <c r="AV362" s="12">
        <f t="shared" ca="1" si="100"/>
        <v>1997</v>
      </c>
      <c r="AW362" s="12">
        <f t="shared" ca="1" si="101"/>
        <v>7</v>
      </c>
      <c r="AX362" s="12">
        <f t="shared" ca="1" si="102"/>
        <v>19</v>
      </c>
      <c r="AY362" s="8" t="s">
        <v>2176</v>
      </c>
      <c r="AZ362" s="8"/>
      <c r="BA362" s="11">
        <v>36447</v>
      </c>
      <c r="BB362" s="12">
        <f t="shared" ca="1" si="103"/>
        <v>1999</v>
      </c>
      <c r="BC362" s="12">
        <f t="shared" ca="1" si="104"/>
        <v>10</v>
      </c>
      <c r="BD362" s="12">
        <f t="shared" ca="1" si="105"/>
        <v>14</v>
      </c>
      <c r="BE362" s="8" t="s">
        <v>2177</v>
      </c>
      <c r="BF362" s="8"/>
      <c r="BG362" s="5"/>
      <c r="BH362" s="12" t="str">
        <f t="shared" ca="1" si="106"/>
        <v>NA</v>
      </c>
      <c r="BI362" s="12" t="str">
        <f t="shared" ca="1" si="107"/>
        <v>NA</v>
      </c>
      <c r="BJ362" s="12" t="str">
        <f t="shared" ca="1" si="108"/>
        <v>NA</v>
      </c>
      <c r="BK362" s="5"/>
      <c r="BL362" s="5"/>
      <c r="BM362" s="12" t="str">
        <f t="shared" ca="1" si="109"/>
        <v>NA</v>
      </c>
      <c r="BN362" s="12" t="str">
        <f t="shared" ca="1" si="110"/>
        <v>NA</v>
      </c>
      <c r="BO362" s="12" t="str">
        <f t="shared" ca="1" si="111"/>
        <v>NA</v>
      </c>
      <c r="BP362" s="5"/>
      <c r="BQ362" s="5"/>
      <c r="BR362" s="5"/>
      <c r="BS362" s="12" t="str">
        <f t="shared" ca="1" si="112"/>
        <v>NA</v>
      </c>
      <c r="BT362" s="12" t="str">
        <f t="shared" ca="1" si="113"/>
        <v>NA</v>
      </c>
      <c r="BU362" s="12" t="str">
        <f t="shared" ca="1" si="114"/>
        <v>NA</v>
      </c>
      <c r="BV362" s="5"/>
      <c r="BW362" s="5"/>
      <c r="BX362" s="12" t="str">
        <f t="shared" ca="1" si="115"/>
        <v>NA</v>
      </c>
      <c r="BY362" s="12" t="str">
        <f t="shared" ca="1" si="116"/>
        <v>NA</v>
      </c>
      <c r="BZ362" s="12" t="str">
        <f t="shared" ca="1" si="117"/>
        <v>NA</v>
      </c>
      <c r="CA362" s="5"/>
    </row>
    <row r="363" spans="1:79" ht="12.75" customHeight="1" x14ac:dyDescent="0.15">
      <c r="A363" s="4">
        <v>1000</v>
      </c>
      <c r="B363" s="5" t="s">
        <v>79</v>
      </c>
      <c r="C363" s="5" t="s">
        <v>79</v>
      </c>
      <c r="D363" s="8" t="s">
        <v>2178</v>
      </c>
      <c r="E363" s="8" t="s">
        <v>2179</v>
      </c>
      <c r="F363" s="8" t="s">
        <v>2180</v>
      </c>
      <c r="G363" s="8"/>
      <c r="H363" s="8"/>
      <c r="I363" s="8"/>
      <c r="J363" s="8"/>
      <c r="K363" s="8"/>
      <c r="L363" s="8" t="s">
        <v>1594</v>
      </c>
      <c r="M363" s="8" t="s">
        <v>2181</v>
      </c>
      <c r="N363" s="8" t="s">
        <v>2182</v>
      </c>
      <c r="O363" s="9" t="s">
        <v>2183</v>
      </c>
      <c r="P363" s="10" t="str">
        <f t="shared" ca="1" si="84"/>
        <v>NA</v>
      </c>
      <c r="Q363" s="5" t="str">
        <f t="shared" ca="1" si="85"/>
        <v>NA</v>
      </c>
      <c r="R363" s="5" t="str">
        <f t="shared" ca="1" si="86"/>
        <v>NA</v>
      </c>
      <c r="S363" s="7" t="str">
        <f t="shared" ca="1" si="87"/>
        <v>NA</v>
      </c>
      <c r="T363" s="7" t="str">
        <f t="shared" ca="1" si="88"/>
        <v>NA</v>
      </c>
      <c r="U363" s="7" t="str">
        <f t="shared" ca="1" si="89"/>
        <v>NA</v>
      </c>
      <c r="V363" s="8" t="s">
        <v>1640</v>
      </c>
      <c r="W363" s="14" t="s">
        <v>96</v>
      </c>
      <c r="X363" s="8" t="s">
        <v>1641</v>
      </c>
      <c r="Y363" s="5">
        <f t="shared" ca="1" si="121"/>
        <v>1</v>
      </c>
      <c r="Z363" s="8" t="s">
        <v>2184</v>
      </c>
      <c r="AA363" s="12" t="str">
        <f t="shared" ca="1" si="91"/>
        <v>NA</v>
      </c>
      <c r="AB363" s="12" t="str">
        <f t="shared" ca="1" si="92"/>
        <v>NA</v>
      </c>
      <c r="AC363" s="12" t="str">
        <f t="shared" ca="1" si="93"/>
        <v>NA</v>
      </c>
      <c r="AD363" s="8" t="s">
        <v>1640</v>
      </c>
      <c r="AE363" s="5"/>
      <c r="AF363" s="8" t="s">
        <v>1641</v>
      </c>
      <c r="AG363" s="8" t="s">
        <v>2185</v>
      </c>
      <c r="AH363" s="12" t="str">
        <f t="shared" ca="1" si="94"/>
        <v>NA</v>
      </c>
      <c r="AI363" s="12" t="str">
        <f t="shared" ca="1" si="95"/>
        <v>NA</v>
      </c>
      <c r="AJ363" s="12" t="str">
        <f t="shared" ca="1" si="96"/>
        <v>NA</v>
      </c>
      <c r="AK363" s="8" t="s">
        <v>2186</v>
      </c>
      <c r="AL363" s="8"/>
      <c r="AM363" s="8" t="s">
        <v>2187</v>
      </c>
      <c r="AN363" s="6" t="s">
        <v>2188</v>
      </c>
      <c r="AO363" s="16">
        <v>31413</v>
      </c>
      <c r="AP363" s="12">
        <f t="shared" ca="1" si="97"/>
        <v>1986</v>
      </c>
      <c r="AQ363" s="12">
        <f t="shared" ca="1" si="98"/>
        <v>1</v>
      </c>
      <c r="AR363" s="12">
        <f t="shared" ca="1" si="99"/>
        <v>1</v>
      </c>
      <c r="AS363" s="6" t="s">
        <v>2189</v>
      </c>
      <c r="AT363" s="6" t="s">
        <v>84</v>
      </c>
      <c r="AU363" s="5"/>
      <c r="AV363" s="12" t="str">
        <f t="shared" ca="1" si="100"/>
        <v>NA</v>
      </c>
      <c r="AW363" s="12" t="str">
        <f t="shared" ca="1" si="101"/>
        <v>NA</v>
      </c>
      <c r="AX363" s="12" t="str">
        <f t="shared" ca="1" si="102"/>
        <v>NA</v>
      </c>
      <c r="AY363" s="5"/>
      <c r="AZ363" s="5"/>
      <c r="BA363" s="8"/>
      <c r="BB363" s="12" t="str">
        <f t="shared" ca="1" si="103"/>
        <v>NA</v>
      </c>
      <c r="BC363" s="12" t="str">
        <f t="shared" ca="1" si="104"/>
        <v>NA</v>
      </c>
      <c r="BD363" s="12" t="str">
        <f t="shared" ca="1" si="105"/>
        <v>NA</v>
      </c>
      <c r="BE363" s="5"/>
      <c r="BF363" s="5"/>
      <c r="BG363" s="5"/>
      <c r="BH363" s="12" t="str">
        <f t="shared" ca="1" si="106"/>
        <v>NA</v>
      </c>
      <c r="BI363" s="12" t="str">
        <f t="shared" ca="1" si="107"/>
        <v>NA</v>
      </c>
      <c r="BJ363" s="12" t="str">
        <f t="shared" ca="1" si="108"/>
        <v>NA</v>
      </c>
      <c r="BK363" s="5"/>
      <c r="BL363" s="5"/>
      <c r="BM363" s="12" t="str">
        <f t="shared" ca="1" si="109"/>
        <v>NA</v>
      </c>
      <c r="BN363" s="12" t="str">
        <f t="shared" ca="1" si="110"/>
        <v>NA</v>
      </c>
      <c r="BO363" s="12" t="str">
        <f t="shared" ca="1" si="111"/>
        <v>NA</v>
      </c>
      <c r="BP363" s="5"/>
      <c r="BQ363" s="5"/>
      <c r="BR363" s="5"/>
      <c r="BS363" s="12" t="str">
        <f t="shared" ca="1" si="112"/>
        <v>NA</v>
      </c>
      <c r="BT363" s="12" t="str">
        <f t="shared" ca="1" si="113"/>
        <v>NA</v>
      </c>
      <c r="BU363" s="12" t="str">
        <f t="shared" ca="1" si="114"/>
        <v>NA</v>
      </c>
      <c r="BV363" s="5"/>
      <c r="BW363" s="5"/>
      <c r="BX363" s="12" t="str">
        <f t="shared" ca="1" si="115"/>
        <v>NA</v>
      </c>
      <c r="BY363" s="12" t="str">
        <f t="shared" ca="1" si="116"/>
        <v>NA</v>
      </c>
      <c r="BZ363" s="12" t="str">
        <f t="shared" ca="1" si="117"/>
        <v>NA</v>
      </c>
      <c r="CA363" s="5"/>
    </row>
    <row r="364" spans="1:79" ht="12.75" customHeight="1" x14ac:dyDescent="0.15">
      <c r="A364" s="4">
        <v>1001</v>
      </c>
      <c r="B364" s="5" t="s">
        <v>79</v>
      </c>
      <c r="C364" s="5" t="s">
        <v>79</v>
      </c>
      <c r="D364" s="8" t="s">
        <v>2190</v>
      </c>
      <c r="E364" s="8" t="s">
        <v>2191</v>
      </c>
      <c r="F364" s="8" t="s">
        <v>2192</v>
      </c>
      <c r="G364" s="8"/>
      <c r="H364" s="8"/>
      <c r="I364" s="8"/>
      <c r="J364" s="8"/>
      <c r="K364" s="8"/>
      <c r="L364" s="8" t="s">
        <v>1594</v>
      </c>
      <c r="M364" s="8" t="s">
        <v>2193</v>
      </c>
      <c r="N364" s="8" t="s">
        <v>2194</v>
      </c>
      <c r="O364" s="9" t="s">
        <v>2195</v>
      </c>
      <c r="P364" s="10" t="str">
        <f t="shared" ca="1" si="84"/>
        <v>NA</v>
      </c>
      <c r="Q364" s="5" t="str">
        <f t="shared" ca="1" si="85"/>
        <v>NA</v>
      </c>
      <c r="R364" s="5" t="str">
        <f t="shared" ca="1" si="86"/>
        <v>NA</v>
      </c>
      <c r="S364" s="7" t="str">
        <f t="shared" ca="1" si="87"/>
        <v>NA</v>
      </c>
      <c r="T364" s="7" t="str">
        <f t="shared" ca="1" si="88"/>
        <v>NA</v>
      </c>
      <c r="U364" s="7" t="str">
        <f t="shared" ca="1" si="89"/>
        <v>NA</v>
      </c>
      <c r="V364" s="8" t="s">
        <v>1640</v>
      </c>
      <c r="W364" s="14" t="s">
        <v>96</v>
      </c>
      <c r="X364" s="8" t="s">
        <v>1641</v>
      </c>
      <c r="Y364" s="5">
        <f t="shared" ca="1" si="121"/>
        <v>1</v>
      </c>
      <c r="Z364" s="8" t="s">
        <v>2196</v>
      </c>
      <c r="AA364" s="12" t="str">
        <f t="shared" ca="1" si="91"/>
        <v>NA</v>
      </c>
      <c r="AB364" s="12" t="str">
        <f t="shared" ca="1" si="92"/>
        <v>NA</v>
      </c>
      <c r="AC364" s="12" t="str">
        <f t="shared" ca="1" si="93"/>
        <v>NA</v>
      </c>
      <c r="AD364" s="8" t="s">
        <v>1640</v>
      </c>
      <c r="AE364" s="5"/>
      <c r="AF364" s="8" t="s">
        <v>1641</v>
      </c>
      <c r="AG364" s="8" t="s">
        <v>2197</v>
      </c>
      <c r="AH364" s="12" t="str">
        <f t="shared" ca="1" si="94"/>
        <v>NA</v>
      </c>
      <c r="AI364" s="12" t="str">
        <f t="shared" ca="1" si="95"/>
        <v>NA</v>
      </c>
      <c r="AJ364" s="12" t="str">
        <f t="shared" ca="1" si="96"/>
        <v>NA</v>
      </c>
      <c r="AK364" s="8" t="s">
        <v>2198</v>
      </c>
      <c r="AL364" s="8"/>
      <c r="AM364" s="8" t="s">
        <v>2199</v>
      </c>
      <c r="AN364" s="6" t="s">
        <v>2188</v>
      </c>
      <c r="AO364" s="16">
        <v>31048</v>
      </c>
      <c r="AP364" s="12">
        <f t="shared" ca="1" si="97"/>
        <v>1985</v>
      </c>
      <c r="AQ364" s="12">
        <f t="shared" ca="1" si="98"/>
        <v>1</v>
      </c>
      <c r="AR364" s="12">
        <f t="shared" ca="1" si="99"/>
        <v>1</v>
      </c>
      <c r="AS364" s="6" t="s">
        <v>2200</v>
      </c>
      <c r="AT364" s="6" t="s">
        <v>84</v>
      </c>
      <c r="AU364" s="5"/>
      <c r="AV364" s="12" t="str">
        <f t="shared" ca="1" si="100"/>
        <v>NA</v>
      </c>
      <c r="AW364" s="12" t="str">
        <f t="shared" ca="1" si="101"/>
        <v>NA</v>
      </c>
      <c r="AX364" s="12" t="str">
        <f t="shared" ca="1" si="102"/>
        <v>NA</v>
      </c>
      <c r="AY364" s="5"/>
      <c r="AZ364" s="5"/>
      <c r="BA364" s="8"/>
      <c r="BB364" s="12" t="str">
        <f t="shared" ca="1" si="103"/>
        <v>NA</v>
      </c>
      <c r="BC364" s="12" t="str">
        <f t="shared" ca="1" si="104"/>
        <v>NA</v>
      </c>
      <c r="BD364" s="12" t="str">
        <f t="shared" ca="1" si="105"/>
        <v>NA</v>
      </c>
      <c r="BE364" s="5"/>
      <c r="BF364" s="5"/>
      <c r="BG364" s="5"/>
      <c r="BH364" s="12" t="str">
        <f t="shared" ca="1" si="106"/>
        <v>NA</v>
      </c>
      <c r="BI364" s="12" t="str">
        <f t="shared" ca="1" si="107"/>
        <v>NA</v>
      </c>
      <c r="BJ364" s="12" t="str">
        <f t="shared" ca="1" si="108"/>
        <v>NA</v>
      </c>
      <c r="BK364" s="5"/>
      <c r="BL364" s="5"/>
      <c r="BM364" s="12" t="str">
        <f t="shared" ca="1" si="109"/>
        <v>NA</v>
      </c>
      <c r="BN364" s="12" t="str">
        <f t="shared" ca="1" si="110"/>
        <v>NA</v>
      </c>
      <c r="BO364" s="12" t="str">
        <f t="shared" ca="1" si="111"/>
        <v>NA</v>
      </c>
      <c r="BP364" s="5"/>
      <c r="BQ364" s="5"/>
      <c r="BR364" s="5"/>
      <c r="BS364" s="12" t="str">
        <f t="shared" ca="1" si="112"/>
        <v>NA</v>
      </c>
      <c r="BT364" s="12" t="str">
        <f t="shared" ca="1" si="113"/>
        <v>NA</v>
      </c>
      <c r="BU364" s="12" t="str">
        <f t="shared" ca="1" si="114"/>
        <v>NA</v>
      </c>
      <c r="BV364" s="5"/>
      <c r="BW364" s="5"/>
      <c r="BX364" s="12" t="str">
        <f t="shared" ca="1" si="115"/>
        <v>NA</v>
      </c>
      <c r="BY364" s="12" t="str">
        <f t="shared" ca="1" si="116"/>
        <v>NA</v>
      </c>
      <c r="BZ364" s="12" t="str">
        <f t="shared" ca="1" si="117"/>
        <v>NA</v>
      </c>
      <c r="CA364" s="5"/>
    </row>
    <row r="365" spans="1:79" ht="12.75" customHeight="1" x14ac:dyDescent="0.15">
      <c r="A365" s="4">
        <v>1013</v>
      </c>
      <c r="B365" s="5" t="s">
        <v>79</v>
      </c>
      <c r="C365" s="5" t="s">
        <v>79</v>
      </c>
      <c r="D365" s="8" t="s">
        <v>2201</v>
      </c>
      <c r="E365" s="8" t="s">
        <v>2202</v>
      </c>
      <c r="F365" s="8" t="s">
        <v>2203</v>
      </c>
      <c r="G365" s="8"/>
      <c r="H365" s="8"/>
      <c r="I365" s="8"/>
      <c r="J365" s="8"/>
      <c r="K365" s="8"/>
      <c r="L365" s="8" t="s">
        <v>1594</v>
      </c>
      <c r="M365" s="8" t="s">
        <v>2204</v>
      </c>
      <c r="N365" s="8" t="s">
        <v>2205</v>
      </c>
      <c r="O365" s="9" t="s">
        <v>2206</v>
      </c>
      <c r="P365" s="10" t="str">
        <f t="shared" ca="1" si="84"/>
        <v>NA</v>
      </c>
      <c r="Q365" s="5" t="str">
        <f t="shared" ca="1" si="85"/>
        <v>NA</v>
      </c>
      <c r="R365" s="5" t="str">
        <f t="shared" ca="1" si="86"/>
        <v>NA</v>
      </c>
      <c r="S365" s="7" t="str">
        <f t="shared" ca="1" si="87"/>
        <v>NA</v>
      </c>
      <c r="T365" s="7" t="str">
        <f t="shared" ca="1" si="88"/>
        <v>NA</v>
      </c>
      <c r="U365" s="7" t="str">
        <f t="shared" ca="1" si="89"/>
        <v>NA</v>
      </c>
      <c r="V365" s="8" t="s">
        <v>1640</v>
      </c>
      <c r="W365" s="14" t="s">
        <v>96</v>
      </c>
      <c r="X365" s="8" t="s">
        <v>1641</v>
      </c>
      <c r="Y365" s="5">
        <f t="shared" ca="1" si="121"/>
        <v>0</v>
      </c>
      <c r="Z365" s="8"/>
      <c r="AA365" s="12" t="str">
        <f t="shared" ca="1" si="91"/>
        <v>NA</v>
      </c>
      <c r="AB365" s="12" t="str">
        <f t="shared" ca="1" si="92"/>
        <v>NA</v>
      </c>
      <c r="AC365" s="12" t="str">
        <f t="shared" ca="1" si="93"/>
        <v>NA</v>
      </c>
      <c r="AD365" s="8"/>
      <c r="AE365" s="5"/>
      <c r="AF365" s="8"/>
      <c r="AG365" s="8" t="s">
        <v>2207</v>
      </c>
      <c r="AH365" s="12" t="str">
        <f t="shared" ca="1" si="94"/>
        <v>NA</v>
      </c>
      <c r="AI365" s="12" t="str">
        <f t="shared" ca="1" si="95"/>
        <v>NA</v>
      </c>
      <c r="AJ365" s="12" t="str">
        <f t="shared" ca="1" si="96"/>
        <v>NA</v>
      </c>
      <c r="AK365" s="8" t="s">
        <v>2208</v>
      </c>
      <c r="AL365" s="8"/>
      <c r="AM365" s="8" t="s">
        <v>2209</v>
      </c>
      <c r="AN365" s="6" t="s">
        <v>2188</v>
      </c>
      <c r="AO365" s="5"/>
      <c r="AP365" s="12" t="str">
        <f t="shared" ca="1" si="97"/>
        <v>NA</v>
      </c>
      <c r="AQ365" s="12" t="str">
        <f t="shared" ca="1" si="98"/>
        <v>NA</v>
      </c>
      <c r="AR365" s="12" t="str">
        <f t="shared" ca="1" si="99"/>
        <v>NA</v>
      </c>
      <c r="AS365" s="5"/>
      <c r="AT365" s="5"/>
      <c r="AU365" s="5"/>
      <c r="AV365" s="12" t="str">
        <f t="shared" ca="1" si="100"/>
        <v>NA</v>
      </c>
      <c r="AW365" s="12" t="str">
        <f t="shared" ca="1" si="101"/>
        <v>NA</v>
      </c>
      <c r="AX365" s="12" t="str">
        <f t="shared" ca="1" si="102"/>
        <v>NA</v>
      </c>
      <c r="AY365" s="5"/>
      <c r="AZ365" s="5"/>
      <c r="BA365" s="8"/>
      <c r="BB365" s="12" t="str">
        <f t="shared" ca="1" si="103"/>
        <v>NA</v>
      </c>
      <c r="BC365" s="12" t="str">
        <f t="shared" ca="1" si="104"/>
        <v>NA</v>
      </c>
      <c r="BD365" s="12" t="str">
        <f t="shared" ca="1" si="105"/>
        <v>NA</v>
      </c>
      <c r="BE365" s="5"/>
      <c r="BF365" s="5"/>
      <c r="BG365" s="5"/>
      <c r="BH365" s="12" t="str">
        <f t="shared" ca="1" si="106"/>
        <v>NA</v>
      </c>
      <c r="BI365" s="12" t="str">
        <f t="shared" ca="1" si="107"/>
        <v>NA</v>
      </c>
      <c r="BJ365" s="12" t="str">
        <f t="shared" ca="1" si="108"/>
        <v>NA</v>
      </c>
      <c r="BK365" s="5"/>
      <c r="BL365" s="5"/>
      <c r="BM365" s="12" t="str">
        <f t="shared" ca="1" si="109"/>
        <v>NA</v>
      </c>
      <c r="BN365" s="12" t="str">
        <f t="shared" ca="1" si="110"/>
        <v>NA</v>
      </c>
      <c r="BO365" s="12" t="str">
        <f t="shared" ca="1" si="111"/>
        <v>NA</v>
      </c>
      <c r="BP365" s="5"/>
      <c r="BQ365" s="5"/>
      <c r="BR365" s="5"/>
      <c r="BS365" s="12" t="str">
        <f t="shared" ca="1" si="112"/>
        <v>NA</v>
      </c>
      <c r="BT365" s="12" t="str">
        <f t="shared" ca="1" si="113"/>
        <v>NA</v>
      </c>
      <c r="BU365" s="12" t="str">
        <f t="shared" ca="1" si="114"/>
        <v>NA</v>
      </c>
      <c r="BV365" s="5"/>
      <c r="BW365" s="5"/>
      <c r="BX365" s="12" t="str">
        <f t="shared" ca="1" si="115"/>
        <v>NA</v>
      </c>
      <c r="BY365" s="12" t="str">
        <f t="shared" ca="1" si="116"/>
        <v>NA</v>
      </c>
      <c r="BZ365" s="12" t="str">
        <f t="shared" ca="1" si="117"/>
        <v>NA</v>
      </c>
      <c r="CA365" s="5"/>
    </row>
    <row r="366" spans="1:79" ht="12.75" customHeight="1" x14ac:dyDescent="0.15">
      <c r="A366" s="4">
        <v>1029</v>
      </c>
      <c r="B366" s="5" t="s">
        <v>79</v>
      </c>
      <c r="C366" s="5" t="s">
        <v>79</v>
      </c>
      <c r="D366" s="6" t="s">
        <v>2210</v>
      </c>
      <c r="E366" s="6" t="s">
        <v>2211</v>
      </c>
      <c r="F366" s="6" t="s">
        <v>2212</v>
      </c>
      <c r="G366" s="8"/>
      <c r="H366" s="8"/>
      <c r="I366" s="8"/>
      <c r="J366" s="8"/>
      <c r="K366" s="8"/>
      <c r="L366" s="8" t="s">
        <v>1594</v>
      </c>
      <c r="M366" s="6" t="s">
        <v>2213</v>
      </c>
      <c r="N366" s="6" t="s">
        <v>2214</v>
      </c>
      <c r="O366" s="9">
        <v>30317</v>
      </c>
      <c r="P366" s="10" t="str">
        <f t="shared" ca="1" si="84"/>
        <v>NA</v>
      </c>
      <c r="Q366" s="5" t="str">
        <f t="shared" ca="1" si="85"/>
        <v>NA</v>
      </c>
      <c r="R366" s="5" t="str">
        <f t="shared" ca="1" si="86"/>
        <v>NA</v>
      </c>
      <c r="S366" s="7">
        <f t="shared" ca="1" si="87"/>
        <v>1983</v>
      </c>
      <c r="T366" s="7">
        <f t="shared" ca="1" si="88"/>
        <v>1</v>
      </c>
      <c r="U366" s="7">
        <f t="shared" ca="1" si="89"/>
        <v>1</v>
      </c>
      <c r="V366" s="8" t="s">
        <v>1640</v>
      </c>
      <c r="W366" s="8" t="s">
        <v>84</v>
      </c>
      <c r="X366" s="8" t="s">
        <v>1641</v>
      </c>
      <c r="Y366" s="5">
        <f t="shared" ca="1" si="121"/>
        <v>1</v>
      </c>
      <c r="Z366" s="8" t="s">
        <v>2215</v>
      </c>
      <c r="AA366" s="12" t="str">
        <f t="shared" ca="1" si="91"/>
        <v>NA</v>
      </c>
      <c r="AB366" s="12" t="str">
        <f t="shared" ca="1" si="92"/>
        <v>NA</v>
      </c>
      <c r="AC366" s="12" t="str">
        <f t="shared" ca="1" si="93"/>
        <v>NA</v>
      </c>
      <c r="AD366" s="8" t="s">
        <v>1640</v>
      </c>
      <c r="AE366" s="5"/>
      <c r="AF366" s="8" t="s">
        <v>1641</v>
      </c>
      <c r="AG366" s="8" t="s">
        <v>2216</v>
      </c>
      <c r="AH366" s="12" t="str">
        <f t="shared" ca="1" si="94"/>
        <v>NA</v>
      </c>
      <c r="AI366" s="12" t="str">
        <f t="shared" ca="1" si="95"/>
        <v>NA</v>
      </c>
      <c r="AJ366" s="12" t="str">
        <f t="shared" ca="1" si="96"/>
        <v>NA</v>
      </c>
      <c r="AK366" s="8" t="s">
        <v>2217</v>
      </c>
      <c r="AL366" s="8"/>
      <c r="AM366" s="8" t="s">
        <v>2218</v>
      </c>
      <c r="AN366" s="6" t="s">
        <v>2188</v>
      </c>
      <c r="AO366" s="16">
        <v>31048</v>
      </c>
      <c r="AP366" s="12">
        <f t="shared" ca="1" si="97"/>
        <v>1985</v>
      </c>
      <c r="AQ366" s="12">
        <f t="shared" ca="1" si="98"/>
        <v>1</v>
      </c>
      <c r="AR366" s="12">
        <f t="shared" ca="1" si="99"/>
        <v>1</v>
      </c>
      <c r="AS366" s="6" t="s">
        <v>2219</v>
      </c>
      <c r="AT366" s="20" t="s">
        <v>84</v>
      </c>
      <c r="AU366" s="5"/>
      <c r="AV366" s="12" t="str">
        <f t="shared" ca="1" si="100"/>
        <v>NA</v>
      </c>
      <c r="AW366" s="12" t="str">
        <f t="shared" ca="1" si="101"/>
        <v>NA</v>
      </c>
      <c r="AX366" s="12" t="str">
        <f t="shared" ca="1" si="102"/>
        <v>NA</v>
      </c>
      <c r="AY366" s="5"/>
      <c r="AZ366" s="5"/>
      <c r="BA366" s="6"/>
      <c r="BB366" s="12" t="str">
        <f t="shared" ca="1" si="103"/>
        <v>NA</v>
      </c>
      <c r="BC366" s="12" t="str">
        <f t="shared" ca="1" si="104"/>
        <v>NA</v>
      </c>
      <c r="BD366" s="12" t="str">
        <f t="shared" ca="1" si="105"/>
        <v>NA</v>
      </c>
      <c r="BE366" s="5"/>
      <c r="BF366" s="5"/>
      <c r="BG366" s="5"/>
      <c r="BH366" s="12" t="str">
        <f t="shared" ca="1" si="106"/>
        <v>NA</v>
      </c>
      <c r="BI366" s="12" t="str">
        <f t="shared" ca="1" si="107"/>
        <v>NA</v>
      </c>
      <c r="BJ366" s="12" t="str">
        <f t="shared" ca="1" si="108"/>
        <v>NA</v>
      </c>
      <c r="BK366" s="5"/>
      <c r="BL366" s="5"/>
      <c r="BM366" s="12" t="str">
        <f t="shared" ca="1" si="109"/>
        <v>NA</v>
      </c>
      <c r="BN366" s="12" t="str">
        <f t="shared" ca="1" si="110"/>
        <v>NA</v>
      </c>
      <c r="BO366" s="12" t="str">
        <f t="shared" ca="1" si="111"/>
        <v>NA</v>
      </c>
      <c r="BP366" s="5"/>
      <c r="BQ366" s="5"/>
      <c r="BR366" s="5"/>
      <c r="BS366" s="12" t="str">
        <f t="shared" ca="1" si="112"/>
        <v>NA</v>
      </c>
      <c r="BT366" s="12" t="str">
        <f t="shared" ca="1" si="113"/>
        <v>NA</v>
      </c>
      <c r="BU366" s="12" t="str">
        <f t="shared" ca="1" si="114"/>
        <v>NA</v>
      </c>
      <c r="BV366" s="5"/>
      <c r="BW366" s="5"/>
      <c r="BX366" s="12" t="str">
        <f t="shared" ca="1" si="115"/>
        <v>NA</v>
      </c>
      <c r="BY366" s="12" t="str">
        <f t="shared" ca="1" si="116"/>
        <v>NA</v>
      </c>
      <c r="BZ366" s="12" t="str">
        <f t="shared" ca="1" si="117"/>
        <v>NA</v>
      </c>
      <c r="CA366" s="5"/>
    </row>
    <row r="367" spans="1:79" ht="12.75" customHeight="1" x14ac:dyDescent="0.15">
      <c r="A367" s="4">
        <v>1004</v>
      </c>
      <c r="B367" s="5" t="s">
        <v>79</v>
      </c>
      <c r="C367" s="5" t="s">
        <v>79</v>
      </c>
      <c r="D367" s="8" t="s">
        <v>2220</v>
      </c>
      <c r="E367" s="8" t="s">
        <v>2221</v>
      </c>
      <c r="F367" s="8" t="s">
        <v>2222</v>
      </c>
      <c r="G367" s="8"/>
      <c r="H367" s="8"/>
      <c r="I367" s="8"/>
      <c r="J367" s="8"/>
      <c r="K367" s="8"/>
      <c r="L367" s="8" t="s">
        <v>1594</v>
      </c>
      <c r="M367" s="8" t="s">
        <v>2223</v>
      </c>
      <c r="N367" s="8" t="s">
        <v>2224</v>
      </c>
      <c r="O367" s="9" t="s">
        <v>2225</v>
      </c>
      <c r="P367" s="10" t="str">
        <f t="shared" ca="1" si="84"/>
        <v>NA</v>
      </c>
      <c r="Q367" s="5" t="str">
        <f t="shared" ca="1" si="85"/>
        <v>NA</v>
      </c>
      <c r="R367" s="5" t="str">
        <f t="shared" ca="1" si="86"/>
        <v>NA</v>
      </c>
      <c r="S367" s="7" t="str">
        <f t="shared" ca="1" si="87"/>
        <v>NA</v>
      </c>
      <c r="T367" s="7" t="str">
        <f t="shared" ca="1" si="88"/>
        <v>NA</v>
      </c>
      <c r="U367" s="7" t="str">
        <f t="shared" ca="1" si="89"/>
        <v>NA</v>
      </c>
      <c r="V367" s="8" t="s">
        <v>1640</v>
      </c>
      <c r="W367" s="14" t="s">
        <v>96</v>
      </c>
      <c r="X367" s="8" t="s">
        <v>1641</v>
      </c>
      <c r="Y367" s="5">
        <f t="shared" ca="1" si="121"/>
        <v>1</v>
      </c>
      <c r="Z367" s="8" t="s">
        <v>2226</v>
      </c>
      <c r="AA367" s="12" t="str">
        <f t="shared" ca="1" si="91"/>
        <v>NA</v>
      </c>
      <c r="AB367" s="12" t="str">
        <f t="shared" ca="1" si="92"/>
        <v>NA</v>
      </c>
      <c r="AC367" s="12" t="str">
        <f t="shared" ca="1" si="93"/>
        <v>NA</v>
      </c>
      <c r="AD367" s="8" t="s">
        <v>1640</v>
      </c>
      <c r="AE367" s="5"/>
      <c r="AF367" s="8" t="s">
        <v>1641</v>
      </c>
      <c r="AG367" s="8" t="s">
        <v>2227</v>
      </c>
      <c r="AH367" s="12" t="str">
        <f t="shared" ca="1" si="94"/>
        <v>NA</v>
      </c>
      <c r="AI367" s="12" t="str">
        <f t="shared" ca="1" si="95"/>
        <v>NA</v>
      </c>
      <c r="AJ367" s="12" t="str">
        <f t="shared" ca="1" si="96"/>
        <v>NA</v>
      </c>
      <c r="AK367" s="8" t="s">
        <v>2228</v>
      </c>
      <c r="AL367" s="8"/>
      <c r="AM367" s="5"/>
      <c r="AN367" s="5"/>
      <c r="AO367" s="11">
        <v>26590</v>
      </c>
      <c r="AP367" s="12">
        <f t="shared" ca="1" si="97"/>
        <v>1972</v>
      </c>
      <c r="AQ367" s="12">
        <f t="shared" ca="1" si="98"/>
        <v>10</v>
      </c>
      <c r="AR367" s="12">
        <f t="shared" ca="1" si="99"/>
        <v>18</v>
      </c>
      <c r="AS367" s="8" t="s">
        <v>2229</v>
      </c>
      <c r="AT367" s="8"/>
      <c r="AU367" s="5"/>
      <c r="AV367" s="12" t="str">
        <f t="shared" ca="1" si="100"/>
        <v>NA</v>
      </c>
      <c r="AW367" s="12" t="str">
        <f t="shared" ca="1" si="101"/>
        <v>NA</v>
      </c>
      <c r="AX367" s="12" t="str">
        <f t="shared" ca="1" si="102"/>
        <v>NA</v>
      </c>
      <c r="AY367" s="5"/>
      <c r="AZ367" s="5"/>
      <c r="BA367" s="8"/>
      <c r="BB367" s="12" t="str">
        <f t="shared" ca="1" si="103"/>
        <v>NA</v>
      </c>
      <c r="BC367" s="12" t="str">
        <f t="shared" ca="1" si="104"/>
        <v>NA</v>
      </c>
      <c r="BD367" s="12" t="str">
        <f t="shared" ca="1" si="105"/>
        <v>NA</v>
      </c>
      <c r="BE367" s="5"/>
      <c r="BF367" s="5"/>
      <c r="BG367" s="5"/>
      <c r="BH367" s="12" t="str">
        <f t="shared" ca="1" si="106"/>
        <v>NA</v>
      </c>
      <c r="BI367" s="12" t="str">
        <f t="shared" ca="1" si="107"/>
        <v>NA</v>
      </c>
      <c r="BJ367" s="12" t="str">
        <f t="shared" ca="1" si="108"/>
        <v>NA</v>
      </c>
      <c r="BK367" s="5"/>
      <c r="BL367" s="5"/>
      <c r="BM367" s="12" t="str">
        <f t="shared" ca="1" si="109"/>
        <v>NA</v>
      </c>
      <c r="BN367" s="12" t="str">
        <f t="shared" ca="1" si="110"/>
        <v>NA</v>
      </c>
      <c r="BO367" s="12" t="str">
        <f t="shared" ca="1" si="111"/>
        <v>NA</v>
      </c>
      <c r="BP367" s="5"/>
      <c r="BQ367" s="5"/>
      <c r="BR367" s="5"/>
      <c r="BS367" s="12" t="str">
        <f t="shared" ca="1" si="112"/>
        <v>NA</v>
      </c>
      <c r="BT367" s="12" t="str">
        <f t="shared" ca="1" si="113"/>
        <v>NA</v>
      </c>
      <c r="BU367" s="12" t="str">
        <f t="shared" ca="1" si="114"/>
        <v>NA</v>
      </c>
      <c r="BV367" s="5"/>
      <c r="BW367" s="5"/>
      <c r="BX367" s="12" t="str">
        <f t="shared" ca="1" si="115"/>
        <v>NA</v>
      </c>
      <c r="BY367" s="12" t="str">
        <f t="shared" ca="1" si="116"/>
        <v>NA</v>
      </c>
      <c r="BZ367" s="12" t="str">
        <f t="shared" ca="1" si="117"/>
        <v>NA</v>
      </c>
      <c r="CA367" s="5"/>
    </row>
    <row r="368" spans="1:79" ht="12.75" customHeight="1" x14ac:dyDescent="0.15">
      <c r="A368" s="4">
        <v>1005</v>
      </c>
      <c r="B368" s="5" t="s">
        <v>79</v>
      </c>
      <c r="C368" s="5" t="s">
        <v>79</v>
      </c>
      <c r="D368" s="8" t="s">
        <v>2230</v>
      </c>
      <c r="E368" s="8" t="s">
        <v>2231</v>
      </c>
      <c r="F368" s="8" t="s">
        <v>2232</v>
      </c>
      <c r="G368" s="8"/>
      <c r="H368" s="8"/>
      <c r="I368" s="8"/>
      <c r="J368" s="8"/>
      <c r="K368" s="8"/>
      <c r="L368" s="8" t="s">
        <v>1594</v>
      </c>
      <c r="M368" s="8" t="s">
        <v>2233</v>
      </c>
      <c r="N368" s="8" t="s">
        <v>2234</v>
      </c>
      <c r="O368" s="9" t="s">
        <v>2235</v>
      </c>
      <c r="P368" s="10" t="str">
        <f t="shared" ca="1" si="84"/>
        <v>NA</v>
      </c>
      <c r="Q368" s="5" t="str">
        <f t="shared" ca="1" si="85"/>
        <v>NA</v>
      </c>
      <c r="R368" s="5" t="str">
        <f t="shared" ca="1" si="86"/>
        <v>NA</v>
      </c>
      <c r="S368" s="7" t="str">
        <f t="shared" ca="1" si="87"/>
        <v>NA</v>
      </c>
      <c r="T368" s="7" t="str">
        <f t="shared" ca="1" si="88"/>
        <v>NA</v>
      </c>
      <c r="U368" s="7" t="str">
        <f t="shared" ca="1" si="89"/>
        <v>NA</v>
      </c>
      <c r="V368" s="8" t="s">
        <v>1640</v>
      </c>
      <c r="W368" s="14" t="s">
        <v>96</v>
      </c>
      <c r="X368" s="8" t="s">
        <v>1641</v>
      </c>
      <c r="Y368" s="5">
        <f t="shared" ca="1" si="121"/>
        <v>1</v>
      </c>
      <c r="Z368" s="8" t="s">
        <v>2236</v>
      </c>
      <c r="AA368" s="12" t="str">
        <f t="shared" ca="1" si="91"/>
        <v>NA</v>
      </c>
      <c r="AB368" s="12" t="str">
        <f t="shared" ca="1" si="92"/>
        <v>NA</v>
      </c>
      <c r="AC368" s="12" t="str">
        <f t="shared" ca="1" si="93"/>
        <v>NA</v>
      </c>
      <c r="AD368" s="8" t="s">
        <v>1640</v>
      </c>
      <c r="AE368" s="5"/>
      <c r="AF368" s="8" t="s">
        <v>1641</v>
      </c>
      <c r="AG368" s="8" t="s">
        <v>2237</v>
      </c>
      <c r="AH368" s="12" t="str">
        <f t="shared" ca="1" si="94"/>
        <v>NA</v>
      </c>
      <c r="AI368" s="12" t="str">
        <f t="shared" ca="1" si="95"/>
        <v>NA</v>
      </c>
      <c r="AJ368" s="12" t="str">
        <f t="shared" ca="1" si="96"/>
        <v>NA</v>
      </c>
      <c r="AK368" s="8" t="s">
        <v>2238</v>
      </c>
      <c r="AL368" s="8"/>
      <c r="AM368" s="5"/>
      <c r="AN368" s="5"/>
      <c r="AO368" s="11">
        <v>26590</v>
      </c>
      <c r="AP368" s="12">
        <f t="shared" ca="1" si="97"/>
        <v>1972</v>
      </c>
      <c r="AQ368" s="12">
        <f t="shared" ca="1" si="98"/>
        <v>10</v>
      </c>
      <c r="AR368" s="12">
        <f t="shared" ca="1" si="99"/>
        <v>18</v>
      </c>
      <c r="AS368" s="8" t="s">
        <v>2239</v>
      </c>
      <c r="AT368" s="8"/>
      <c r="AU368" s="5"/>
      <c r="AV368" s="12" t="str">
        <f t="shared" ca="1" si="100"/>
        <v>NA</v>
      </c>
      <c r="AW368" s="12" t="str">
        <f t="shared" ca="1" si="101"/>
        <v>NA</v>
      </c>
      <c r="AX368" s="12" t="str">
        <f t="shared" ca="1" si="102"/>
        <v>NA</v>
      </c>
      <c r="AY368" s="5"/>
      <c r="AZ368" s="5"/>
      <c r="BA368" s="8"/>
      <c r="BB368" s="12" t="str">
        <f t="shared" ca="1" si="103"/>
        <v>NA</v>
      </c>
      <c r="BC368" s="12" t="str">
        <f t="shared" ca="1" si="104"/>
        <v>NA</v>
      </c>
      <c r="BD368" s="12" t="str">
        <f t="shared" ca="1" si="105"/>
        <v>NA</v>
      </c>
      <c r="BE368" s="5"/>
      <c r="BF368" s="5"/>
      <c r="BG368" s="5"/>
      <c r="BH368" s="12" t="str">
        <f t="shared" ca="1" si="106"/>
        <v>NA</v>
      </c>
      <c r="BI368" s="12" t="str">
        <f t="shared" ca="1" si="107"/>
        <v>NA</v>
      </c>
      <c r="BJ368" s="12" t="str">
        <f t="shared" ca="1" si="108"/>
        <v>NA</v>
      </c>
      <c r="BK368" s="5"/>
      <c r="BL368" s="5"/>
      <c r="BM368" s="12" t="str">
        <f t="shared" ca="1" si="109"/>
        <v>NA</v>
      </c>
      <c r="BN368" s="12" t="str">
        <f t="shared" ca="1" si="110"/>
        <v>NA</v>
      </c>
      <c r="BO368" s="12" t="str">
        <f t="shared" ca="1" si="111"/>
        <v>NA</v>
      </c>
      <c r="BP368" s="5"/>
      <c r="BQ368" s="5"/>
      <c r="BR368" s="5"/>
      <c r="BS368" s="12" t="str">
        <f t="shared" ca="1" si="112"/>
        <v>NA</v>
      </c>
      <c r="BT368" s="12" t="str">
        <f t="shared" ca="1" si="113"/>
        <v>NA</v>
      </c>
      <c r="BU368" s="12" t="str">
        <f t="shared" ca="1" si="114"/>
        <v>NA</v>
      </c>
      <c r="BV368" s="5"/>
      <c r="BW368" s="5"/>
      <c r="BX368" s="12" t="str">
        <f t="shared" ca="1" si="115"/>
        <v>NA</v>
      </c>
      <c r="BY368" s="12" t="str">
        <f t="shared" ca="1" si="116"/>
        <v>NA</v>
      </c>
      <c r="BZ368" s="12" t="str">
        <f t="shared" ca="1" si="117"/>
        <v>NA</v>
      </c>
      <c r="CA368" s="5"/>
    </row>
    <row r="369" spans="1:79" ht="12.75" customHeight="1" x14ac:dyDescent="0.15">
      <c r="A369" s="4">
        <v>2006</v>
      </c>
      <c r="B369" s="5" t="s">
        <v>79</v>
      </c>
      <c r="C369" s="5" t="s">
        <v>79</v>
      </c>
      <c r="D369" s="8" t="s">
        <v>2240</v>
      </c>
      <c r="E369" s="29"/>
      <c r="F369" s="8" t="s">
        <v>2241</v>
      </c>
      <c r="G369" s="8"/>
      <c r="H369" s="8"/>
      <c r="I369" s="8"/>
      <c r="J369" s="8"/>
      <c r="K369" s="8"/>
      <c r="L369" s="8" t="s">
        <v>1594</v>
      </c>
      <c r="M369" s="8" t="s">
        <v>2242</v>
      </c>
      <c r="N369" s="8" t="s">
        <v>2243</v>
      </c>
      <c r="O369" s="9" t="s">
        <v>2244</v>
      </c>
      <c r="P369" s="10" t="str">
        <f t="shared" ca="1" si="84"/>
        <v>NA</v>
      </c>
      <c r="Q369" s="5" t="str">
        <f t="shared" ca="1" si="85"/>
        <v>NA</v>
      </c>
      <c r="R369" s="5" t="str">
        <f t="shared" ca="1" si="86"/>
        <v>NA</v>
      </c>
      <c r="S369" s="7" t="str">
        <f t="shared" ca="1" si="87"/>
        <v>NA</v>
      </c>
      <c r="T369" s="7" t="str">
        <f t="shared" ca="1" si="88"/>
        <v>NA</v>
      </c>
      <c r="U369" s="7" t="str">
        <f t="shared" ca="1" si="89"/>
        <v>NA</v>
      </c>
      <c r="V369" s="8" t="s">
        <v>2245</v>
      </c>
      <c r="W369" s="14" t="s">
        <v>96</v>
      </c>
      <c r="X369" s="8"/>
      <c r="Y369" s="5">
        <f t="shared" ca="1" si="121"/>
        <v>2</v>
      </c>
      <c r="Z369" s="8" t="s">
        <v>2246</v>
      </c>
      <c r="AA369" s="12" t="str">
        <f t="shared" ca="1" si="91"/>
        <v>NA</v>
      </c>
      <c r="AB369" s="12" t="str">
        <f t="shared" ca="1" si="92"/>
        <v>NA</v>
      </c>
      <c r="AC369" s="12" t="str">
        <f t="shared" ca="1" si="93"/>
        <v>NA</v>
      </c>
      <c r="AD369" s="8" t="s">
        <v>2247</v>
      </c>
      <c r="AE369" s="5"/>
      <c r="AF369" s="8"/>
      <c r="AG369" s="11">
        <v>33201</v>
      </c>
      <c r="AH369" s="12">
        <f t="shared" ca="1" si="94"/>
        <v>1990</v>
      </c>
      <c r="AI369" s="12">
        <f t="shared" ca="1" si="95"/>
        <v>11</v>
      </c>
      <c r="AJ369" s="12">
        <f t="shared" ca="1" si="96"/>
        <v>24</v>
      </c>
      <c r="AK369" s="8" t="s">
        <v>2248</v>
      </c>
      <c r="AL369" s="8"/>
      <c r="AM369" s="5"/>
      <c r="AN369" s="5"/>
      <c r="AO369" s="8" t="s">
        <v>2249</v>
      </c>
      <c r="AP369" s="12" t="str">
        <f t="shared" ca="1" si="97"/>
        <v>NA</v>
      </c>
      <c r="AQ369" s="12" t="str">
        <f t="shared" ca="1" si="98"/>
        <v>NA</v>
      </c>
      <c r="AR369" s="12" t="str">
        <f t="shared" ca="1" si="99"/>
        <v>NA</v>
      </c>
      <c r="AS369" s="8" t="s">
        <v>2250</v>
      </c>
      <c r="AT369" s="8"/>
      <c r="AU369" s="11">
        <v>31708</v>
      </c>
      <c r="AV369" s="12">
        <f t="shared" ca="1" si="100"/>
        <v>1986</v>
      </c>
      <c r="AW369" s="12">
        <f t="shared" ca="1" si="101"/>
        <v>10</v>
      </c>
      <c r="AX369" s="12">
        <f t="shared" ca="1" si="102"/>
        <v>23</v>
      </c>
      <c r="AY369" s="8" t="s">
        <v>2251</v>
      </c>
      <c r="AZ369" s="8"/>
      <c r="BA369" s="11">
        <v>33013</v>
      </c>
      <c r="BB369" s="12">
        <f t="shared" ca="1" si="103"/>
        <v>1990</v>
      </c>
      <c r="BC369" s="12">
        <f t="shared" ca="1" si="104"/>
        <v>5</v>
      </c>
      <c r="BD369" s="12">
        <f t="shared" ca="1" si="105"/>
        <v>20</v>
      </c>
      <c r="BE369" s="8" t="s">
        <v>2252</v>
      </c>
      <c r="BF369" s="8"/>
      <c r="BG369" s="5"/>
      <c r="BH369" s="12" t="str">
        <f t="shared" ca="1" si="106"/>
        <v>NA</v>
      </c>
      <c r="BI369" s="12" t="str">
        <f t="shared" ca="1" si="107"/>
        <v>NA</v>
      </c>
      <c r="BJ369" s="12" t="str">
        <f t="shared" ca="1" si="108"/>
        <v>NA</v>
      </c>
      <c r="BK369" s="5"/>
      <c r="BL369" s="5"/>
      <c r="BM369" s="12" t="str">
        <f t="shared" ca="1" si="109"/>
        <v>NA</v>
      </c>
      <c r="BN369" s="12" t="str">
        <f t="shared" ca="1" si="110"/>
        <v>NA</v>
      </c>
      <c r="BO369" s="12" t="str">
        <f t="shared" ca="1" si="111"/>
        <v>NA</v>
      </c>
      <c r="BP369" s="5"/>
      <c r="BQ369" s="5"/>
      <c r="BR369" s="5"/>
      <c r="BS369" s="12" t="str">
        <f t="shared" ca="1" si="112"/>
        <v>NA</v>
      </c>
      <c r="BT369" s="12" t="str">
        <f t="shared" ca="1" si="113"/>
        <v>NA</v>
      </c>
      <c r="BU369" s="12" t="str">
        <f t="shared" ca="1" si="114"/>
        <v>NA</v>
      </c>
      <c r="BV369" s="5"/>
      <c r="BW369" s="5"/>
      <c r="BX369" s="12" t="str">
        <f t="shared" ca="1" si="115"/>
        <v>NA</v>
      </c>
      <c r="BY369" s="12" t="str">
        <f t="shared" ca="1" si="116"/>
        <v>NA</v>
      </c>
      <c r="BZ369" s="12" t="str">
        <f t="shared" ca="1" si="117"/>
        <v>NA</v>
      </c>
      <c r="CA369" s="5"/>
    </row>
    <row r="370" spans="1:79" ht="12.75" customHeight="1" x14ac:dyDescent="0.15">
      <c r="O370" s="30"/>
      <c r="P370" s="31"/>
      <c r="S370" s="32"/>
      <c r="T370" s="32"/>
      <c r="U370" s="32"/>
    </row>
    <row r="371" spans="1:79" ht="12.75" customHeight="1" x14ac:dyDescent="0.15">
      <c r="O371" s="30"/>
      <c r="P371" s="31"/>
      <c r="S371" s="32"/>
      <c r="T371" s="32"/>
      <c r="U371" s="32"/>
    </row>
    <row r="372" spans="1:79" ht="12.75" customHeight="1" x14ac:dyDescent="0.15">
      <c r="O372" s="30"/>
      <c r="P372" s="31"/>
      <c r="S372" s="32"/>
      <c r="T372" s="32"/>
      <c r="U372" s="32"/>
    </row>
    <row r="373" spans="1:79" ht="12.75" customHeight="1" x14ac:dyDescent="0.15">
      <c r="O373" s="30"/>
      <c r="P373" s="31"/>
      <c r="S373" s="32"/>
      <c r="T373" s="32"/>
      <c r="U373" s="32"/>
    </row>
    <row r="374" spans="1:79" ht="12.75" customHeight="1" x14ac:dyDescent="0.15">
      <c r="O374" s="30"/>
      <c r="P374" s="31"/>
      <c r="S374" s="32"/>
      <c r="T374" s="32"/>
      <c r="U374" s="32"/>
    </row>
    <row r="375" spans="1:79" ht="12.75" customHeight="1" x14ac:dyDescent="0.15">
      <c r="O375" s="30"/>
      <c r="P375" s="31"/>
      <c r="S375" s="32"/>
      <c r="T375" s="32"/>
      <c r="U375" s="32"/>
    </row>
    <row r="376" spans="1:79" ht="12.75" customHeight="1" x14ac:dyDescent="0.15">
      <c r="O376" s="30"/>
      <c r="P376" s="31"/>
      <c r="S376" s="32"/>
      <c r="T376" s="32"/>
      <c r="U376" s="32"/>
    </row>
    <row r="377" spans="1:79" ht="12.75" customHeight="1" x14ac:dyDescent="0.15">
      <c r="O377" s="30"/>
      <c r="P377" s="31"/>
      <c r="S377" s="32"/>
      <c r="T377" s="32"/>
      <c r="U377" s="32"/>
    </row>
    <row r="378" spans="1:79" ht="12.75" customHeight="1" x14ac:dyDescent="0.15">
      <c r="O378" s="30"/>
      <c r="P378" s="31"/>
      <c r="S378" s="32"/>
      <c r="T378" s="32"/>
      <c r="U378" s="32"/>
    </row>
    <row r="379" spans="1:79" ht="12.75" customHeight="1" x14ac:dyDescent="0.15">
      <c r="O379" s="30"/>
      <c r="P379" s="31"/>
      <c r="S379" s="32"/>
      <c r="T379" s="32"/>
      <c r="U379" s="32"/>
    </row>
    <row r="380" spans="1:79" ht="12.75" customHeight="1" x14ac:dyDescent="0.15">
      <c r="O380" s="30"/>
      <c r="P380" s="31"/>
      <c r="S380" s="32"/>
      <c r="T380" s="32"/>
      <c r="U380" s="32"/>
    </row>
    <row r="381" spans="1:79" ht="12.75" customHeight="1" x14ac:dyDescent="0.15">
      <c r="O381" s="30"/>
      <c r="P381" s="31"/>
      <c r="S381" s="32"/>
      <c r="T381" s="32"/>
      <c r="U381" s="32"/>
    </row>
    <row r="382" spans="1:79" ht="12.75" customHeight="1" x14ac:dyDescent="0.15">
      <c r="O382" s="30"/>
      <c r="P382" s="31"/>
      <c r="S382" s="32"/>
      <c r="T382" s="32"/>
      <c r="U382" s="32"/>
    </row>
    <row r="383" spans="1:79" ht="12.75" customHeight="1" x14ac:dyDescent="0.15">
      <c r="O383" s="30"/>
      <c r="P383" s="31"/>
      <c r="S383" s="32"/>
      <c r="T383" s="32"/>
      <c r="U383" s="32"/>
    </row>
    <row r="384" spans="1:79" ht="12.75" customHeight="1" x14ac:dyDescent="0.15">
      <c r="O384" s="30"/>
      <c r="P384" s="31"/>
      <c r="S384" s="32"/>
      <c r="T384" s="32"/>
      <c r="U384" s="32"/>
    </row>
    <row r="385" spans="15:21" ht="12.75" customHeight="1" x14ac:dyDescent="0.15">
      <c r="O385" s="30"/>
      <c r="P385" s="31"/>
      <c r="S385" s="32"/>
      <c r="T385" s="32"/>
      <c r="U385" s="32"/>
    </row>
    <row r="386" spans="15:21" ht="12.75" customHeight="1" x14ac:dyDescent="0.15">
      <c r="O386" s="30"/>
      <c r="P386" s="31"/>
      <c r="S386" s="32"/>
      <c r="T386" s="32"/>
      <c r="U386" s="32"/>
    </row>
    <row r="387" spans="15:21" ht="12.75" customHeight="1" x14ac:dyDescent="0.15">
      <c r="O387" s="30"/>
      <c r="P387" s="31"/>
      <c r="S387" s="32"/>
      <c r="T387" s="32"/>
      <c r="U387" s="32"/>
    </row>
    <row r="388" spans="15:21" ht="12.75" customHeight="1" x14ac:dyDescent="0.15">
      <c r="O388" s="30"/>
      <c r="P388" s="31"/>
      <c r="S388" s="32"/>
      <c r="T388" s="32"/>
      <c r="U388" s="32"/>
    </row>
    <row r="389" spans="15:21" ht="12.75" customHeight="1" x14ac:dyDescent="0.15">
      <c r="O389" s="30"/>
      <c r="P389" s="31"/>
      <c r="S389" s="32"/>
      <c r="T389" s="32"/>
      <c r="U389" s="32"/>
    </row>
    <row r="390" spans="15:21" ht="12.75" customHeight="1" x14ac:dyDescent="0.15">
      <c r="O390" s="30"/>
      <c r="P390" s="31"/>
      <c r="S390" s="32"/>
      <c r="T390" s="32"/>
      <c r="U390" s="32"/>
    </row>
    <row r="391" spans="15:21" ht="12.75" customHeight="1" x14ac:dyDescent="0.15">
      <c r="O391" s="30"/>
      <c r="P391" s="31"/>
      <c r="S391" s="32"/>
      <c r="T391" s="32"/>
      <c r="U391" s="32"/>
    </row>
    <row r="392" spans="15:21" ht="12.75" customHeight="1" x14ac:dyDescent="0.15">
      <c r="O392" s="30"/>
      <c r="P392" s="31"/>
      <c r="S392" s="32"/>
      <c r="T392" s="32"/>
      <c r="U392" s="32"/>
    </row>
    <row r="393" spans="15:21" ht="12.75" customHeight="1" x14ac:dyDescent="0.15">
      <c r="O393" s="30"/>
      <c r="P393" s="31"/>
      <c r="S393" s="32"/>
      <c r="T393" s="32"/>
      <c r="U393" s="32"/>
    </row>
    <row r="394" spans="15:21" ht="12.75" customHeight="1" x14ac:dyDescent="0.15">
      <c r="O394" s="30"/>
      <c r="P394" s="31"/>
      <c r="S394" s="32"/>
      <c r="T394" s="32"/>
      <c r="U394" s="32"/>
    </row>
    <row r="395" spans="15:21" ht="12.75" customHeight="1" x14ac:dyDescent="0.15">
      <c r="O395" s="30"/>
      <c r="P395" s="31"/>
      <c r="S395" s="32"/>
      <c r="T395" s="32"/>
      <c r="U395" s="32"/>
    </row>
    <row r="396" spans="15:21" ht="12.75" customHeight="1" x14ac:dyDescent="0.15">
      <c r="O396" s="30"/>
      <c r="P396" s="31"/>
      <c r="S396" s="32"/>
      <c r="T396" s="32"/>
      <c r="U396" s="32"/>
    </row>
    <row r="397" spans="15:21" ht="12.75" customHeight="1" x14ac:dyDescent="0.15">
      <c r="O397" s="30"/>
      <c r="P397" s="31"/>
      <c r="S397" s="32"/>
      <c r="T397" s="32"/>
      <c r="U397" s="32"/>
    </row>
    <row r="398" spans="15:21" ht="12.75" customHeight="1" x14ac:dyDescent="0.15">
      <c r="O398" s="30"/>
      <c r="P398" s="31"/>
      <c r="S398" s="32"/>
      <c r="T398" s="32"/>
      <c r="U398" s="32"/>
    </row>
    <row r="399" spans="15:21" ht="12.75" customHeight="1" x14ac:dyDescent="0.15">
      <c r="O399" s="30"/>
      <c r="P399" s="31"/>
      <c r="S399" s="32"/>
      <c r="T399" s="32"/>
      <c r="U399" s="32"/>
    </row>
    <row r="400" spans="15:21" ht="12.75" customHeight="1" x14ac:dyDescent="0.15">
      <c r="O400" s="30"/>
      <c r="P400" s="31"/>
      <c r="S400" s="32"/>
      <c r="T400" s="32"/>
      <c r="U400" s="32"/>
    </row>
    <row r="401" spans="15:21" ht="12.75" customHeight="1" x14ac:dyDescent="0.15">
      <c r="O401" s="30"/>
      <c r="P401" s="31"/>
      <c r="S401" s="32"/>
      <c r="T401" s="32"/>
      <c r="U401" s="32"/>
    </row>
    <row r="402" spans="15:21" ht="12.75" customHeight="1" x14ac:dyDescent="0.15">
      <c r="O402" s="30"/>
      <c r="P402" s="31"/>
      <c r="S402" s="32"/>
      <c r="T402" s="32"/>
      <c r="U402" s="32"/>
    </row>
    <row r="403" spans="15:21" ht="12.75" customHeight="1" x14ac:dyDescent="0.15">
      <c r="O403" s="30"/>
      <c r="P403" s="31"/>
      <c r="S403" s="32"/>
      <c r="T403" s="32"/>
      <c r="U403" s="32"/>
    </row>
    <row r="404" spans="15:21" ht="12.75" customHeight="1" x14ac:dyDescent="0.15">
      <c r="O404" s="30"/>
      <c r="P404" s="31"/>
      <c r="S404" s="32"/>
      <c r="T404" s="32"/>
      <c r="U404" s="32"/>
    </row>
    <row r="405" spans="15:21" ht="12.75" customHeight="1" x14ac:dyDescent="0.15">
      <c r="O405" s="30"/>
      <c r="P405" s="31"/>
      <c r="S405" s="32"/>
      <c r="T405" s="32"/>
      <c r="U405" s="32"/>
    </row>
    <row r="406" spans="15:21" ht="12.75" customHeight="1" x14ac:dyDescent="0.15">
      <c r="O406" s="30"/>
      <c r="P406" s="31"/>
      <c r="S406" s="32"/>
      <c r="T406" s="32"/>
      <c r="U406" s="32"/>
    </row>
    <row r="407" spans="15:21" ht="12.75" customHeight="1" x14ac:dyDescent="0.15">
      <c r="O407" s="30"/>
      <c r="P407" s="31"/>
      <c r="S407" s="32"/>
      <c r="T407" s="32"/>
      <c r="U407" s="32"/>
    </row>
    <row r="408" spans="15:21" ht="12.75" customHeight="1" x14ac:dyDescent="0.15">
      <c r="O408" s="30"/>
      <c r="P408" s="31"/>
      <c r="S408" s="32"/>
      <c r="T408" s="32"/>
      <c r="U408" s="32"/>
    </row>
    <row r="409" spans="15:21" ht="12.75" customHeight="1" x14ac:dyDescent="0.15">
      <c r="O409" s="30"/>
      <c r="P409" s="31"/>
      <c r="S409" s="32"/>
      <c r="T409" s="32"/>
      <c r="U409" s="32"/>
    </row>
    <row r="410" spans="15:21" ht="12.75" customHeight="1" x14ac:dyDescent="0.15">
      <c r="O410" s="30"/>
      <c r="P410" s="31"/>
      <c r="S410" s="32"/>
      <c r="T410" s="32"/>
      <c r="U410" s="32"/>
    </row>
    <row r="411" spans="15:21" ht="12.75" customHeight="1" x14ac:dyDescent="0.15">
      <c r="O411" s="30"/>
      <c r="P411" s="31"/>
      <c r="S411" s="32"/>
      <c r="T411" s="32"/>
      <c r="U411" s="32"/>
    </row>
    <row r="412" spans="15:21" ht="12.75" customHeight="1" x14ac:dyDescent="0.15">
      <c r="O412" s="30"/>
      <c r="P412" s="31"/>
      <c r="S412" s="32"/>
      <c r="T412" s="32"/>
      <c r="U412" s="32"/>
    </row>
    <row r="413" spans="15:21" ht="12.75" customHeight="1" x14ac:dyDescent="0.15">
      <c r="O413" s="30"/>
      <c r="P413" s="31"/>
      <c r="S413" s="32"/>
      <c r="T413" s="32"/>
      <c r="U413" s="32"/>
    </row>
    <row r="414" spans="15:21" ht="12.75" customHeight="1" x14ac:dyDescent="0.15">
      <c r="O414" s="30"/>
      <c r="P414" s="31"/>
      <c r="S414" s="32"/>
      <c r="T414" s="32"/>
      <c r="U414" s="32"/>
    </row>
    <row r="415" spans="15:21" ht="12.75" customHeight="1" x14ac:dyDescent="0.15">
      <c r="O415" s="30"/>
      <c r="P415" s="31"/>
      <c r="S415" s="32"/>
      <c r="T415" s="32"/>
      <c r="U415" s="32"/>
    </row>
    <row r="416" spans="15:21" ht="12.75" customHeight="1" x14ac:dyDescent="0.15">
      <c r="O416" s="30"/>
      <c r="P416" s="31"/>
      <c r="S416" s="32"/>
      <c r="T416" s="32"/>
      <c r="U416" s="32"/>
    </row>
    <row r="417" spans="15:21" ht="12.75" customHeight="1" x14ac:dyDescent="0.15">
      <c r="O417" s="30"/>
      <c r="P417" s="31"/>
      <c r="S417" s="32"/>
      <c r="T417" s="32"/>
      <c r="U417" s="32"/>
    </row>
    <row r="418" spans="15:21" ht="12.75" customHeight="1" x14ac:dyDescent="0.15">
      <c r="O418" s="30"/>
      <c r="P418" s="31"/>
      <c r="S418" s="32"/>
      <c r="T418" s="32"/>
      <c r="U418" s="32"/>
    </row>
    <row r="419" spans="15:21" ht="12.75" customHeight="1" x14ac:dyDescent="0.15">
      <c r="O419" s="30"/>
      <c r="P419" s="31"/>
      <c r="S419" s="32"/>
      <c r="T419" s="32"/>
      <c r="U419" s="32"/>
    </row>
    <row r="420" spans="15:21" ht="12.75" customHeight="1" x14ac:dyDescent="0.15">
      <c r="O420" s="30"/>
      <c r="P420" s="31"/>
      <c r="S420" s="32"/>
      <c r="T420" s="32"/>
      <c r="U420" s="32"/>
    </row>
    <row r="421" spans="15:21" ht="12.75" customHeight="1" x14ac:dyDescent="0.15">
      <c r="O421" s="30"/>
      <c r="P421" s="31"/>
      <c r="S421" s="32"/>
      <c r="T421" s="32"/>
      <c r="U421" s="32"/>
    </row>
    <row r="422" spans="15:21" ht="12.75" customHeight="1" x14ac:dyDescent="0.15">
      <c r="O422" s="30"/>
      <c r="P422" s="31"/>
      <c r="S422" s="32"/>
      <c r="T422" s="32"/>
      <c r="U422" s="32"/>
    </row>
    <row r="423" spans="15:21" ht="12.75" customHeight="1" x14ac:dyDescent="0.15">
      <c r="O423" s="30"/>
      <c r="P423" s="31"/>
      <c r="S423" s="32"/>
      <c r="T423" s="32"/>
      <c r="U423" s="32"/>
    </row>
    <row r="424" spans="15:21" ht="12.75" customHeight="1" x14ac:dyDescent="0.15">
      <c r="O424" s="30"/>
      <c r="P424" s="31"/>
      <c r="S424" s="32"/>
      <c r="T424" s="32"/>
      <c r="U424" s="32"/>
    </row>
    <row r="425" spans="15:21" ht="12.75" customHeight="1" x14ac:dyDescent="0.15">
      <c r="O425" s="30"/>
      <c r="P425" s="31"/>
      <c r="S425" s="32"/>
      <c r="T425" s="32"/>
      <c r="U425" s="32"/>
    </row>
    <row r="426" spans="15:21" ht="12.75" customHeight="1" x14ac:dyDescent="0.15">
      <c r="O426" s="30"/>
      <c r="P426" s="31"/>
      <c r="S426" s="32"/>
      <c r="T426" s="32"/>
      <c r="U426" s="32"/>
    </row>
    <row r="427" spans="15:21" ht="12.75" customHeight="1" x14ac:dyDescent="0.15">
      <c r="O427" s="30"/>
      <c r="P427" s="31"/>
      <c r="S427" s="32"/>
      <c r="T427" s="32"/>
      <c r="U427" s="32"/>
    </row>
    <row r="428" spans="15:21" ht="12.75" customHeight="1" x14ac:dyDescent="0.15">
      <c r="O428" s="30"/>
      <c r="P428" s="31"/>
      <c r="S428" s="32"/>
      <c r="T428" s="32"/>
      <c r="U428" s="32"/>
    </row>
    <row r="429" spans="15:21" ht="12.75" customHeight="1" x14ac:dyDescent="0.15">
      <c r="O429" s="30"/>
      <c r="P429" s="31"/>
      <c r="S429" s="32"/>
      <c r="T429" s="32"/>
      <c r="U429" s="32"/>
    </row>
    <row r="430" spans="15:21" ht="12.75" customHeight="1" x14ac:dyDescent="0.15">
      <c r="O430" s="30"/>
      <c r="P430" s="31"/>
      <c r="S430" s="32"/>
      <c r="T430" s="32"/>
      <c r="U430" s="32"/>
    </row>
    <row r="431" spans="15:21" ht="12.75" customHeight="1" x14ac:dyDescent="0.15">
      <c r="O431" s="30"/>
      <c r="P431" s="31"/>
      <c r="S431" s="32"/>
      <c r="T431" s="32"/>
      <c r="U431" s="32"/>
    </row>
    <row r="432" spans="15:21" ht="12.75" customHeight="1" x14ac:dyDescent="0.15">
      <c r="O432" s="30"/>
      <c r="P432" s="31"/>
      <c r="S432" s="32"/>
      <c r="T432" s="32"/>
      <c r="U432" s="32"/>
    </row>
    <row r="433" spans="15:21" ht="12.75" customHeight="1" x14ac:dyDescent="0.15">
      <c r="O433" s="30"/>
      <c r="P433" s="31"/>
      <c r="S433" s="32"/>
      <c r="T433" s="32"/>
      <c r="U433" s="32"/>
    </row>
    <row r="434" spans="15:21" ht="12.75" customHeight="1" x14ac:dyDescent="0.15">
      <c r="O434" s="30"/>
      <c r="P434" s="31"/>
      <c r="S434" s="32"/>
      <c r="T434" s="32"/>
      <c r="U434" s="32"/>
    </row>
    <row r="435" spans="15:21" ht="12.75" customHeight="1" x14ac:dyDescent="0.15">
      <c r="O435" s="30"/>
      <c r="P435" s="31"/>
      <c r="S435" s="32"/>
      <c r="T435" s="32"/>
      <c r="U435" s="32"/>
    </row>
    <row r="436" spans="15:21" ht="12.75" customHeight="1" x14ac:dyDescent="0.15">
      <c r="O436" s="30"/>
      <c r="P436" s="31"/>
      <c r="S436" s="32"/>
      <c r="T436" s="32"/>
      <c r="U436" s="32"/>
    </row>
    <row r="437" spans="15:21" ht="12.75" customHeight="1" x14ac:dyDescent="0.15">
      <c r="O437" s="30"/>
      <c r="P437" s="31"/>
      <c r="S437" s="32"/>
      <c r="T437" s="32"/>
      <c r="U437" s="32"/>
    </row>
    <row r="438" spans="15:21" ht="12.75" customHeight="1" x14ac:dyDescent="0.15">
      <c r="O438" s="30"/>
      <c r="P438" s="31"/>
      <c r="S438" s="32"/>
      <c r="T438" s="32"/>
      <c r="U438" s="32"/>
    </row>
    <row r="439" spans="15:21" ht="12.75" customHeight="1" x14ac:dyDescent="0.15">
      <c r="O439" s="30"/>
      <c r="P439" s="31"/>
      <c r="S439" s="32"/>
      <c r="T439" s="32"/>
      <c r="U439" s="32"/>
    </row>
    <row r="440" spans="15:21" ht="12.75" customHeight="1" x14ac:dyDescent="0.15">
      <c r="O440" s="30"/>
      <c r="P440" s="31"/>
      <c r="S440" s="32"/>
      <c r="T440" s="32"/>
      <c r="U440" s="32"/>
    </row>
    <row r="441" spans="15:21" ht="12.75" customHeight="1" x14ac:dyDescent="0.15">
      <c r="O441" s="30"/>
      <c r="P441" s="31"/>
      <c r="S441" s="32"/>
      <c r="T441" s="32"/>
      <c r="U441" s="32"/>
    </row>
    <row r="442" spans="15:21" ht="12.75" customHeight="1" x14ac:dyDescent="0.15">
      <c r="O442" s="30"/>
      <c r="P442" s="31"/>
      <c r="S442" s="32"/>
      <c r="T442" s="32"/>
      <c r="U442" s="32"/>
    </row>
    <row r="443" spans="15:21" ht="12.75" customHeight="1" x14ac:dyDescent="0.15">
      <c r="O443" s="30"/>
      <c r="P443" s="31"/>
      <c r="S443" s="32"/>
      <c r="T443" s="32"/>
      <c r="U443" s="32"/>
    </row>
    <row r="444" spans="15:21" ht="12.75" customHeight="1" x14ac:dyDescent="0.15">
      <c r="O444" s="30"/>
      <c r="P444" s="31"/>
      <c r="S444" s="32"/>
      <c r="T444" s="32"/>
      <c r="U444" s="32"/>
    </row>
    <row r="445" spans="15:21" ht="12.75" customHeight="1" x14ac:dyDescent="0.15">
      <c r="O445" s="30"/>
      <c r="P445" s="31"/>
      <c r="S445" s="32"/>
      <c r="T445" s="32"/>
      <c r="U445" s="32"/>
    </row>
    <row r="446" spans="15:21" ht="12.75" customHeight="1" x14ac:dyDescent="0.15">
      <c r="O446" s="30"/>
      <c r="P446" s="31"/>
      <c r="S446" s="32"/>
      <c r="T446" s="32"/>
      <c r="U446" s="32"/>
    </row>
    <row r="447" spans="15:21" ht="12.75" customHeight="1" x14ac:dyDescent="0.15">
      <c r="O447" s="30"/>
      <c r="P447" s="31"/>
      <c r="S447" s="32"/>
      <c r="T447" s="32"/>
      <c r="U447" s="32"/>
    </row>
    <row r="448" spans="15:21" ht="12.75" customHeight="1" x14ac:dyDescent="0.15">
      <c r="O448" s="30"/>
      <c r="P448" s="31"/>
      <c r="S448" s="32"/>
      <c r="T448" s="32"/>
      <c r="U448" s="32"/>
    </row>
    <row r="449" spans="15:21" ht="12.75" customHeight="1" x14ac:dyDescent="0.15">
      <c r="O449" s="30"/>
      <c r="P449" s="31"/>
      <c r="S449" s="32"/>
      <c r="T449" s="32"/>
      <c r="U449" s="32"/>
    </row>
    <row r="450" spans="15:21" ht="12.75" customHeight="1" x14ac:dyDescent="0.15">
      <c r="O450" s="30"/>
      <c r="P450" s="31"/>
      <c r="S450" s="32"/>
      <c r="T450" s="32"/>
      <c r="U450" s="32"/>
    </row>
    <row r="451" spans="15:21" ht="12.75" customHeight="1" x14ac:dyDescent="0.15">
      <c r="O451" s="30"/>
      <c r="P451" s="31"/>
      <c r="S451" s="32"/>
      <c r="T451" s="32"/>
      <c r="U451" s="32"/>
    </row>
    <row r="452" spans="15:21" ht="12.75" customHeight="1" x14ac:dyDescent="0.15">
      <c r="O452" s="30"/>
      <c r="P452" s="31"/>
      <c r="S452" s="32"/>
      <c r="T452" s="32"/>
      <c r="U452" s="32"/>
    </row>
    <row r="453" spans="15:21" ht="12.75" customHeight="1" x14ac:dyDescent="0.15">
      <c r="O453" s="30"/>
      <c r="P453" s="31"/>
      <c r="S453" s="32"/>
      <c r="T453" s="32"/>
      <c r="U453" s="32"/>
    </row>
    <row r="454" spans="15:21" ht="12.75" customHeight="1" x14ac:dyDescent="0.15">
      <c r="O454" s="30"/>
      <c r="P454" s="31"/>
      <c r="S454" s="32"/>
      <c r="T454" s="32"/>
      <c r="U454" s="32"/>
    </row>
    <row r="455" spans="15:21" ht="12.75" customHeight="1" x14ac:dyDescent="0.15">
      <c r="O455" s="30"/>
      <c r="P455" s="31"/>
      <c r="S455" s="32"/>
      <c r="T455" s="32"/>
      <c r="U455" s="32"/>
    </row>
    <row r="456" spans="15:21" ht="12.75" customHeight="1" x14ac:dyDescent="0.15">
      <c r="O456" s="30"/>
      <c r="P456" s="31"/>
      <c r="S456" s="32"/>
      <c r="T456" s="32"/>
      <c r="U456" s="32"/>
    </row>
    <row r="457" spans="15:21" ht="12.75" customHeight="1" x14ac:dyDescent="0.15">
      <c r="O457" s="30"/>
      <c r="P457" s="31"/>
      <c r="S457" s="32"/>
      <c r="T457" s="32"/>
      <c r="U457" s="32"/>
    </row>
    <row r="458" spans="15:21" ht="12.75" customHeight="1" x14ac:dyDescent="0.15">
      <c r="O458" s="30"/>
      <c r="P458" s="31"/>
      <c r="S458" s="32"/>
      <c r="T458" s="32"/>
      <c r="U458" s="32"/>
    </row>
    <row r="459" spans="15:21" ht="12.75" customHeight="1" x14ac:dyDescent="0.15">
      <c r="O459" s="30"/>
      <c r="P459" s="31"/>
      <c r="S459" s="32"/>
      <c r="T459" s="32"/>
      <c r="U459" s="32"/>
    </row>
    <row r="460" spans="15:21" ht="12.75" customHeight="1" x14ac:dyDescent="0.15">
      <c r="O460" s="30"/>
      <c r="P460" s="31"/>
      <c r="S460" s="32"/>
      <c r="T460" s="32"/>
      <c r="U460" s="32"/>
    </row>
    <row r="461" spans="15:21" ht="12.75" customHeight="1" x14ac:dyDescent="0.15">
      <c r="O461" s="30"/>
      <c r="P461" s="31"/>
      <c r="S461" s="32"/>
      <c r="T461" s="32"/>
      <c r="U461" s="32"/>
    </row>
    <row r="462" spans="15:21" ht="12.75" customHeight="1" x14ac:dyDescent="0.15">
      <c r="O462" s="30"/>
      <c r="P462" s="31"/>
      <c r="S462" s="32"/>
      <c r="T462" s="32"/>
      <c r="U462" s="32"/>
    </row>
    <row r="463" spans="15:21" ht="12.75" customHeight="1" x14ac:dyDescent="0.15">
      <c r="O463" s="30"/>
      <c r="P463" s="31"/>
      <c r="S463" s="32"/>
      <c r="T463" s="32"/>
      <c r="U463" s="32"/>
    </row>
    <row r="464" spans="15:21" ht="12.75" customHeight="1" x14ac:dyDescent="0.15">
      <c r="O464" s="30"/>
      <c r="P464" s="31"/>
      <c r="S464" s="32"/>
      <c r="T464" s="32"/>
      <c r="U464" s="32"/>
    </row>
    <row r="465" spans="15:21" ht="12.75" customHeight="1" x14ac:dyDescent="0.15">
      <c r="O465" s="30"/>
      <c r="P465" s="31"/>
      <c r="S465" s="32"/>
      <c r="T465" s="32"/>
      <c r="U465" s="32"/>
    </row>
    <row r="466" spans="15:21" ht="12.75" customHeight="1" x14ac:dyDescent="0.15">
      <c r="O466" s="30"/>
      <c r="P466" s="31"/>
      <c r="S466" s="32"/>
      <c r="T466" s="32"/>
      <c r="U466" s="32"/>
    </row>
    <row r="467" spans="15:21" ht="12.75" customHeight="1" x14ac:dyDescent="0.15">
      <c r="O467" s="30"/>
      <c r="P467" s="31"/>
      <c r="S467" s="32"/>
      <c r="T467" s="32"/>
      <c r="U467" s="32"/>
    </row>
    <row r="468" spans="15:21" ht="12.75" customHeight="1" x14ac:dyDescent="0.15">
      <c r="O468" s="30"/>
      <c r="P468" s="31"/>
      <c r="S468" s="32"/>
      <c r="T468" s="32"/>
      <c r="U468" s="32"/>
    </row>
    <row r="469" spans="15:21" ht="12.75" customHeight="1" x14ac:dyDescent="0.15">
      <c r="O469" s="30"/>
      <c r="P469" s="31"/>
      <c r="S469" s="32"/>
      <c r="T469" s="32"/>
      <c r="U469" s="32"/>
    </row>
    <row r="470" spans="15:21" ht="12.75" customHeight="1" x14ac:dyDescent="0.15">
      <c r="O470" s="30"/>
      <c r="P470" s="31"/>
      <c r="S470" s="32"/>
      <c r="T470" s="32"/>
      <c r="U470" s="32"/>
    </row>
    <row r="471" spans="15:21" ht="12.75" customHeight="1" x14ac:dyDescent="0.15">
      <c r="O471" s="30"/>
      <c r="P471" s="31"/>
      <c r="S471" s="32"/>
      <c r="T471" s="32"/>
      <c r="U471" s="32"/>
    </row>
    <row r="472" spans="15:21" ht="12.75" customHeight="1" x14ac:dyDescent="0.15">
      <c r="O472" s="30"/>
      <c r="P472" s="31"/>
      <c r="S472" s="32"/>
      <c r="T472" s="32"/>
      <c r="U472" s="32"/>
    </row>
    <row r="473" spans="15:21" ht="12.75" customHeight="1" x14ac:dyDescent="0.15">
      <c r="O473" s="30"/>
      <c r="P473" s="31"/>
      <c r="S473" s="32"/>
      <c r="T473" s="32"/>
      <c r="U473" s="32"/>
    </row>
    <row r="474" spans="15:21" ht="12.75" customHeight="1" x14ac:dyDescent="0.15">
      <c r="O474" s="30"/>
      <c r="P474" s="31"/>
      <c r="S474" s="32"/>
      <c r="T474" s="32"/>
      <c r="U474" s="32"/>
    </row>
    <row r="475" spans="15:21" ht="12.75" customHeight="1" x14ac:dyDescent="0.15">
      <c r="O475" s="30"/>
      <c r="P475" s="31"/>
      <c r="S475" s="32"/>
      <c r="T475" s="32"/>
      <c r="U475" s="32"/>
    </row>
    <row r="476" spans="15:21" ht="12.75" customHeight="1" x14ac:dyDescent="0.15">
      <c r="O476" s="30"/>
      <c r="P476" s="31"/>
      <c r="S476" s="32"/>
      <c r="T476" s="32"/>
      <c r="U476" s="32"/>
    </row>
    <row r="477" spans="15:21" ht="12.75" customHeight="1" x14ac:dyDescent="0.15">
      <c r="O477" s="30"/>
      <c r="P477" s="31"/>
      <c r="S477" s="32"/>
      <c r="T477" s="32"/>
      <c r="U477" s="32"/>
    </row>
    <row r="478" spans="15:21" ht="12.75" customHeight="1" x14ac:dyDescent="0.15">
      <c r="O478" s="30"/>
      <c r="P478" s="31"/>
      <c r="S478" s="32"/>
      <c r="T478" s="32"/>
      <c r="U478" s="32"/>
    </row>
    <row r="479" spans="15:21" ht="12.75" customHeight="1" x14ac:dyDescent="0.15">
      <c r="O479" s="30"/>
      <c r="P479" s="31"/>
      <c r="S479" s="32"/>
      <c r="T479" s="32"/>
      <c r="U479" s="32"/>
    </row>
    <row r="480" spans="15:21" ht="12.75" customHeight="1" x14ac:dyDescent="0.15">
      <c r="O480" s="30"/>
      <c r="P480" s="31"/>
      <c r="S480" s="32"/>
      <c r="T480" s="32"/>
      <c r="U480" s="32"/>
    </row>
    <row r="481" spans="15:21" ht="12.75" customHeight="1" x14ac:dyDescent="0.15">
      <c r="O481" s="30"/>
      <c r="P481" s="31"/>
      <c r="S481" s="32"/>
      <c r="T481" s="32"/>
      <c r="U481" s="32"/>
    </row>
    <row r="482" spans="15:21" ht="12.75" customHeight="1" x14ac:dyDescent="0.15">
      <c r="O482" s="30"/>
      <c r="P482" s="31"/>
      <c r="S482" s="32"/>
      <c r="T482" s="32"/>
      <c r="U482" s="32"/>
    </row>
    <row r="483" spans="15:21" ht="12.75" customHeight="1" x14ac:dyDescent="0.15">
      <c r="O483" s="30"/>
      <c r="P483" s="31"/>
      <c r="S483" s="32"/>
      <c r="T483" s="32"/>
      <c r="U483" s="32"/>
    </row>
    <row r="484" spans="15:21" ht="12.75" customHeight="1" x14ac:dyDescent="0.15">
      <c r="O484" s="30"/>
      <c r="P484" s="31"/>
      <c r="S484" s="32"/>
      <c r="T484" s="32"/>
      <c r="U484" s="32"/>
    </row>
    <row r="485" spans="15:21" ht="12.75" customHeight="1" x14ac:dyDescent="0.15">
      <c r="O485" s="30"/>
      <c r="P485" s="31"/>
      <c r="S485" s="32"/>
      <c r="T485" s="32"/>
      <c r="U485" s="32"/>
    </row>
    <row r="486" spans="15:21" ht="12.75" customHeight="1" x14ac:dyDescent="0.15">
      <c r="O486" s="30"/>
      <c r="P486" s="31"/>
      <c r="S486" s="32"/>
      <c r="T486" s="32"/>
      <c r="U486" s="32"/>
    </row>
    <row r="487" spans="15:21" ht="12.75" customHeight="1" x14ac:dyDescent="0.15">
      <c r="O487" s="30"/>
      <c r="P487" s="31"/>
      <c r="S487" s="32"/>
      <c r="T487" s="32"/>
      <c r="U487" s="32"/>
    </row>
    <row r="488" spans="15:21" ht="12.75" customHeight="1" x14ac:dyDescent="0.15">
      <c r="O488" s="30"/>
      <c r="P488" s="31"/>
      <c r="S488" s="32"/>
      <c r="T488" s="32"/>
      <c r="U488" s="32"/>
    </row>
    <row r="489" spans="15:21" ht="12.75" customHeight="1" x14ac:dyDescent="0.15">
      <c r="O489" s="30"/>
      <c r="P489" s="31"/>
      <c r="S489" s="32"/>
      <c r="T489" s="32"/>
      <c r="U489" s="32"/>
    </row>
    <row r="490" spans="15:21" ht="12.75" customHeight="1" x14ac:dyDescent="0.15">
      <c r="O490" s="30"/>
      <c r="P490" s="31"/>
      <c r="S490" s="32"/>
      <c r="T490" s="32"/>
      <c r="U490" s="32"/>
    </row>
    <row r="491" spans="15:21" ht="12.75" customHeight="1" x14ac:dyDescent="0.15">
      <c r="O491" s="30"/>
      <c r="P491" s="31"/>
      <c r="S491" s="32"/>
      <c r="T491" s="32"/>
      <c r="U491" s="32"/>
    </row>
    <row r="492" spans="15:21" ht="12.75" customHeight="1" x14ac:dyDescent="0.15">
      <c r="O492" s="30"/>
      <c r="P492" s="31"/>
      <c r="S492" s="32"/>
      <c r="T492" s="32"/>
      <c r="U492" s="32"/>
    </row>
    <row r="493" spans="15:21" ht="12.75" customHeight="1" x14ac:dyDescent="0.15">
      <c r="O493" s="30"/>
      <c r="P493" s="31"/>
      <c r="S493" s="32"/>
      <c r="T493" s="32"/>
      <c r="U493" s="32"/>
    </row>
    <row r="494" spans="15:21" ht="12.75" customHeight="1" x14ac:dyDescent="0.15">
      <c r="O494" s="30"/>
      <c r="P494" s="31"/>
      <c r="S494" s="32"/>
      <c r="T494" s="32"/>
      <c r="U494" s="32"/>
    </row>
    <row r="495" spans="15:21" ht="12.75" customHeight="1" x14ac:dyDescent="0.15">
      <c r="O495" s="30"/>
      <c r="P495" s="31"/>
      <c r="S495" s="32"/>
      <c r="T495" s="32"/>
      <c r="U495" s="32"/>
    </row>
    <row r="496" spans="15:21" ht="12.75" customHeight="1" x14ac:dyDescent="0.15">
      <c r="O496" s="30"/>
      <c r="P496" s="31"/>
      <c r="S496" s="32"/>
      <c r="T496" s="32"/>
      <c r="U496" s="32"/>
    </row>
    <row r="497" spans="15:21" ht="12.75" customHeight="1" x14ac:dyDescent="0.15">
      <c r="O497" s="30"/>
      <c r="P497" s="31"/>
      <c r="S497" s="32"/>
      <c r="T497" s="32"/>
      <c r="U497" s="32"/>
    </row>
    <row r="498" spans="15:21" ht="12.75" customHeight="1" x14ac:dyDescent="0.15">
      <c r="O498" s="30"/>
      <c r="P498" s="31"/>
      <c r="S498" s="32"/>
      <c r="T498" s="32"/>
      <c r="U498" s="32"/>
    </row>
    <row r="499" spans="15:21" ht="12.75" customHeight="1" x14ac:dyDescent="0.15">
      <c r="O499" s="30"/>
      <c r="P499" s="31"/>
      <c r="S499" s="32"/>
      <c r="T499" s="32"/>
      <c r="U499" s="32"/>
    </row>
    <row r="500" spans="15:21" ht="12.75" customHeight="1" x14ac:dyDescent="0.15">
      <c r="O500" s="30"/>
      <c r="P500" s="31"/>
      <c r="S500" s="32"/>
      <c r="T500" s="32"/>
      <c r="U500" s="32"/>
    </row>
    <row r="501" spans="15:21" ht="12.75" customHeight="1" x14ac:dyDescent="0.15">
      <c r="O501" s="30"/>
      <c r="P501" s="31"/>
      <c r="S501" s="32"/>
      <c r="T501" s="32"/>
      <c r="U501" s="32"/>
    </row>
    <row r="502" spans="15:21" ht="12.75" customHeight="1" x14ac:dyDescent="0.15">
      <c r="O502" s="30"/>
      <c r="P502" s="31"/>
      <c r="S502" s="32"/>
      <c r="T502" s="32"/>
      <c r="U502" s="32"/>
    </row>
    <row r="503" spans="15:21" ht="12.75" customHeight="1" x14ac:dyDescent="0.15">
      <c r="O503" s="30"/>
      <c r="P503" s="31"/>
      <c r="S503" s="32"/>
      <c r="T503" s="32"/>
      <c r="U503" s="32"/>
    </row>
    <row r="504" spans="15:21" ht="12.75" customHeight="1" x14ac:dyDescent="0.15">
      <c r="O504" s="30"/>
      <c r="P504" s="31"/>
      <c r="S504" s="32"/>
      <c r="T504" s="32"/>
      <c r="U504" s="32"/>
    </row>
    <row r="505" spans="15:21" ht="12.75" customHeight="1" x14ac:dyDescent="0.15">
      <c r="O505" s="30"/>
      <c r="P505" s="31"/>
      <c r="S505" s="32"/>
      <c r="T505" s="32"/>
      <c r="U505" s="32"/>
    </row>
    <row r="506" spans="15:21" ht="12.75" customHeight="1" x14ac:dyDescent="0.15">
      <c r="O506" s="30"/>
      <c r="P506" s="31"/>
      <c r="S506" s="32"/>
      <c r="T506" s="32"/>
      <c r="U506" s="32"/>
    </row>
    <row r="507" spans="15:21" ht="12.75" customHeight="1" x14ac:dyDescent="0.15">
      <c r="O507" s="30"/>
      <c r="P507" s="31"/>
      <c r="S507" s="32"/>
      <c r="T507" s="32"/>
      <c r="U507" s="32"/>
    </row>
    <row r="508" spans="15:21" ht="12.75" customHeight="1" x14ac:dyDescent="0.15">
      <c r="O508" s="30"/>
      <c r="P508" s="31"/>
      <c r="S508" s="32"/>
      <c r="T508" s="32"/>
      <c r="U508" s="32"/>
    </row>
    <row r="509" spans="15:21" ht="12.75" customHeight="1" x14ac:dyDescent="0.15">
      <c r="O509" s="30"/>
      <c r="P509" s="31"/>
      <c r="S509" s="32"/>
      <c r="T509" s="32"/>
      <c r="U509" s="32"/>
    </row>
    <row r="510" spans="15:21" ht="12.75" customHeight="1" x14ac:dyDescent="0.15">
      <c r="O510" s="30"/>
      <c r="P510" s="31"/>
      <c r="S510" s="32"/>
      <c r="T510" s="32"/>
      <c r="U510" s="32"/>
    </row>
    <row r="511" spans="15:21" ht="12.75" customHeight="1" x14ac:dyDescent="0.15">
      <c r="O511" s="30"/>
      <c r="P511" s="31"/>
      <c r="S511" s="32"/>
      <c r="T511" s="32"/>
      <c r="U511" s="32"/>
    </row>
    <row r="512" spans="15:21" ht="12.75" customHeight="1" x14ac:dyDescent="0.15">
      <c r="O512" s="30"/>
      <c r="P512" s="31"/>
      <c r="S512" s="32"/>
      <c r="T512" s="32"/>
      <c r="U512" s="32"/>
    </row>
    <row r="513" spans="15:21" ht="12.75" customHeight="1" x14ac:dyDescent="0.15">
      <c r="O513" s="30"/>
      <c r="P513" s="31"/>
      <c r="S513" s="32"/>
      <c r="T513" s="32"/>
      <c r="U513" s="32"/>
    </row>
    <row r="514" spans="15:21" ht="12.75" customHeight="1" x14ac:dyDescent="0.15">
      <c r="O514" s="30"/>
      <c r="P514" s="31"/>
      <c r="S514" s="32"/>
      <c r="T514" s="32"/>
      <c r="U514" s="32"/>
    </row>
    <row r="515" spans="15:21" ht="12.75" customHeight="1" x14ac:dyDescent="0.15">
      <c r="O515" s="30"/>
      <c r="P515" s="31"/>
      <c r="S515" s="32"/>
      <c r="T515" s="32"/>
      <c r="U515" s="32"/>
    </row>
    <row r="516" spans="15:21" ht="12.75" customHeight="1" x14ac:dyDescent="0.15">
      <c r="O516" s="30"/>
      <c r="P516" s="31"/>
      <c r="S516" s="32"/>
      <c r="T516" s="32"/>
      <c r="U516" s="32"/>
    </row>
    <row r="517" spans="15:21" ht="12.75" customHeight="1" x14ac:dyDescent="0.15">
      <c r="O517" s="30"/>
      <c r="P517" s="31"/>
      <c r="S517" s="32"/>
      <c r="T517" s="32"/>
      <c r="U517" s="32"/>
    </row>
    <row r="518" spans="15:21" ht="12.75" customHeight="1" x14ac:dyDescent="0.15">
      <c r="O518" s="30"/>
      <c r="P518" s="31"/>
      <c r="S518" s="32"/>
      <c r="T518" s="32"/>
      <c r="U518" s="32"/>
    </row>
    <row r="519" spans="15:21" ht="12.75" customHeight="1" x14ac:dyDescent="0.15">
      <c r="O519" s="30"/>
      <c r="P519" s="31"/>
      <c r="S519" s="32"/>
      <c r="T519" s="32"/>
      <c r="U519" s="32"/>
    </row>
    <row r="520" spans="15:21" ht="12.75" customHeight="1" x14ac:dyDescent="0.15">
      <c r="O520" s="30"/>
      <c r="P520" s="31"/>
      <c r="S520" s="32"/>
      <c r="T520" s="32"/>
      <c r="U520" s="32"/>
    </row>
    <row r="521" spans="15:21" ht="12.75" customHeight="1" x14ac:dyDescent="0.15">
      <c r="O521" s="30"/>
      <c r="P521" s="31"/>
      <c r="S521" s="32"/>
      <c r="T521" s="32"/>
      <c r="U521" s="32"/>
    </row>
    <row r="522" spans="15:21" ht="12.75" customHeight="1" x14ac:dyDescent="0.15">
      <c r="O522" s="30"/>
      <c r="P522" s="31"/>
      <c r="S522" s="32"/>
      <c r="T522" s="32"/>
      <c r="U522" s="32"/>
    </row>
    <row r="523" spans="15:21" ht="12.75" customHeight="1" x14ac:dyDescent="0.15">
      <c r="O523" s="30"/>
      <c r="P523" s="31"/>
      <c r="S523" s="32"/>
      <c r="T523" s="32"/>
      <c r="U523" s="32"/>
    </row>
    <row r="524" spans="15:21" ht="12.75" customHeight="1" x14ac:dyDescent="0.15">
      <c r="O524" s="30"/>
      <c r="P524" s="31"/>
      <c r="S524" s="32"/>
      <c r="T524" s="32"/>
      <c r="U524" s="32"/>
    </row>
    <row r="525" spans="15:21" ht="12.75" customHeight="1" x14ac:dyDescent="0.15">
      <c r="O525" s="30"/>
      <c r="P525" s="31"/>
      <c r="S525" s="32"/>
      <c r="T525" s="32"/>
      <c r="U525" s="32"/>
    </row>
    <row r="526" spans="15:21" ht="12.75" customHeight="1" x14ac:dyDescent="0.15">
      <c r="O526" s="30"/>
      <c r="P526" s="31"/>
      <c r="S526" s="32"/>
      <c r="T526" s="32"/>
      <c r="U526" s="32"/>
    </row>
    <row r="527" spans="15:21" ht="12.75" customHeight="1" x14ac:dyDescent="0.15">
      <c r="O527" s="30"/>
      <c r="P527" s="31"/>
      <c r="S527" s="32"/>
      <c r="T527" s="32"/>
      <c r="U527" s="32"/>
    </row>
    <row r="528" spans="15:21" ht="12.75" customHeight="1" x14ac:dyDescent="0.15">
      <c r="O528" s="30"/>
      <c r="P528" s="31"/>
      <c r="S528" s="32"/>
      <c r="T528" s="32"/>
      <c r="U528" s="32"/>
    </row>
    <row r="529" spans="15:21" ht="12.75" customHeight="1" x14ac:dyDescent="0.15">
      <c r="O529" s="30"/>
      <c r="P529" s="31"/>
      <c r="S529" s="32"/>
      <c r="T529" s="32"/>
      <c r="U529" s="32"/>
    </row>
    <row r="530" spans="15:21" ht="12.75" customHeight="1" x14ac:dyDescent="0.15">
      <c r="O530" s="30"/>
      <c r="P530" s="31"/>
      <c r="S530" s="32"/>
      <c r="T530" s="32"/>
      <c r="U530" s="32"/>
    </row>
    <row r="531" spans="15:21" ht="12.75" customHeight="1" x14ac:dyDescent="0.15">
      <c r="O531" s="30"/>
      <c r="P531" s="31"/>
      <c r="S531" s="32"/>
      <c r="T531" s="32"/>
      <c r="U531" s="32"/>
    </row>
    <row r="532" spans="15:21" ht="12.75" customHeight="1" x14ac:dyDescent="0.15">
      <c r="O532" s="30"/>
      <c r="P532" s="31"/>
      <c r="S532" s="32"/>
      <c r="T532" s="32"/>
      <c r="U532" s="32"/>
    </row>
    <row r="533" spans="15:21" ht="12.75" customHeight="1" x14ac:dyDescent="0.15">
      <c r="O533" s="30"/>
      <c r="P533" s="31"/>
      <c r="S533" s="32"/>
      <c r="T533" s="32"/>
      <c r="U533" s="32"/>
    </row>
    <row r="534" spans="15:21" ht="12.75" customHeight="1" x14ac:dyDescent="0.15">
      <c r="O534" s="30"/>
      <c r="P534" s="31"/>
      <c r="S534" s="32"/>
      <c r="T534" s="32"/>
      <c r="U534" s="32"/>
    </row>
    <row r="535" spans="15:21" ht="12.75" customHeight="1" x14ac:dyDescent="0.15">
      <c r="O535" s="30"/>
      <c r="P535" s="31"/>
      <c r="S535" s="32"/>
      <c r="T535" s="32"/>
      <c r="U535" s="32"/>
    </row>
    <row r="536" spans="15:21" ht="12.75" customHeight="1" x14ac:dyDescent="0.15">
      <c r="O536" s="30"/>
      <c r="P536" s="31"/>
      <c r="S536" s="32"/>
      <c r="T536" s="32"/>
      <c r="U536" s="32"/>
    </row>
    <row r="537" spans="15:21" ht="12.75" customHeight="1" x14ac:dyDescent="0.15">
      <c r="O537" s="30"/>
      <c r="P537" s="31"/>
      <c r="S537" s="32"/>
      <c r="T537" s="32"/>
      <c r="U537" s="32"/>
    </row>
    <row r="538" spans="15:21" ht="12.75" customHeight="1" x14ac:dyDescent="0.15">
      <c r="O538" s="30"/>
      <c r="P538" s="31"/>
      <c r="S538" s="32"/>
      <c r="T538" s="32"/>
      <c r="U538" s="32"/>
    </row>
    <row r="539" spans="15:21" ht="12.75" customHeight="1" x14ac:dyDescent="0.15">
      <c r="O539" s="30"/>
      <c r="P539" s="31"/>
      <c r="S539" s="32"/>
      <c r="T539" s="32"/>
      <c r="U539" s="32"/>
    </row>
    <row r="540" spans="15:21" ht="12.75" customHeight="1" x14ac:dyDescent="0.15">
      <c r="O540" s="30"/>
      <c r="P540" s="31"/>
      <c r="S540" s="32"/>
      <c r="T540" s="32"/>
      <c r="U540" s="32"/>
    </row>
    <row r="541" spans="15:21" ht="12.75" customHeight="1" x14ac:dyDescent="0.15">
      <c r="O541" s="30"/>
      <c r="P541" s="31"/>
      <c r="S541" s="32"/>
      <c r="T541" s="32"/>
      <c r="U541" s="32"/>
    </row>
    <row r="542" spans="15:21" ht="12.75" customHeight="1" x14ac:dyDescent="0.15">
      <c r="O542" s="30"/>
      <c r="P542" s="31"/>
      <c r="S542" s="32"/>
      <c r="T542" s="32"/>
      <c r="U542" s="32"/>
    </row>
    <row r="543" spans="15:21" ht="12.75" customHeight="1" x14ac:dyDescent="0.15">
      <c r="O543" s="30"/>
      <c r="P543" s="31"/>
      <c r="S543" s="32"/>
      <c r="T543" s="32"/>
      <c r="U543" s="32"/>
    </row>
    <row r="544" spans="15:21" ht="12.75" customHeight="1" x14ac:dyDescent="0.15">
      <c r="O544" s="30"/>
      <c r="P544" s="31"/>
      <c r="S544" s="32"/>
      <c r="T544" s="32"/>
      <c r="U544" s="32"/>
    </row>
    <row r="545" spans="15:21" ht="12.75" customHeight="1" x14ac:dyDescent="0.15">
      <c r="O545" s="30"/>
      <c r="P545" s="31"/>
      <c r="S545" s="32"/>
      <c r="T545" s="32"/>
      <c r="U545" s="32"/>
    </row>
    <row r="546" spans="15:21" ht="12.75" customHeight="1" x14ac:dyDescent="0.15">
      <c r="O546" s="30"/>
      <c r="P546" s="31"/>
      <c r="S546" s="32"/>
      <c r="T546" s="32"/>
      <c r="U546" s="32"/>
    </row>
    <row r="547" spans="15:21" ht="12.75" customHeight="1" x14ac:dyDescent="0.15">
      <c r="O547" s="30"/>
      <c r="P547" s="31"/>
      <c r="S547" s="32"/>
      <c r="T547" s="32"/>
      <c r="U547" s="32"/>
    </row>
    <row r="548" spans="15:21" ht="12.75" customHeight="1" x14ac:dyDescent="0.15">
      <c r="O548" s="30"/>
      <c r="P548" s="31"/>
      <c r="S548" s="32"/>
      <c r="T548" s="32"/>
      <c r="U548" s="32"/>
    </row>
    <row r="549" spans="15:21" ht="12.75" customHeight="1" x14ac:dyDescent="0.15">
      <c r="O549" s="30"/>
      <c r="P549" s="31"/>
      <c r="S549" s="32"/>
      <c r="T549" s="32"/>
      <c r="U549" s="32"/>
    </row>
    <row r="550" spans="15:21" ht="12.75" customHeight="1" x14ac:dyDescent="0.15">
      <c r="O550" s="30"/>
      <c r="P550" s="31"/>
      <c r="S550" s="32"/>
      <c r="T550" s="32"/>
      <c r="U550" s="32"/>
    </row>
    <row r="551" spans="15:21" ht="12.75" customHeight="1" x14ac:dyDescent="0.15">
      <c r="O551" s="30"/>
      <c r="P551" s="31"/>
      <c r="S551" s="32"/>
      <c r="T551" s="32"/>
      <c r="U551" s="32"/>
    </row>
    <row r="552" spans="15:21" ht="12.75" customHeight="1" x14ac:dyDescent="0.15">
      <c r="O552" s="30"/>
      <c r="P552" s="31"/>
      <c r="S552" s="32"/>
      <c r="T552" s="32"/>
      <c r="U552" s="32"/>
    </row>
    <row r="553" spans="15:21" ht="12.75" customHeight="1" x14ac:dyDescent="0.15">
      <c r="O553" s="30"/>
      <c r="P553" s="31"/>
      <c r="S553" s="32"/>
      <c r="T553" s="32"/>
      <c r="U553" s="32"/>
    </row>
    <row r="554" spans="15:21" ht="12.75" customHeight="1" x14ac:dyDescent="0.15">
      <c r="O554" s="30"/>
      <c r="P554" s="31"/>
      <c r="S554" s="32"/>
      <c r="T554" s="32"/>
      <c r="U554" s="32"/>
    </row>
    <row r="555" spans="15:21" ht="12.75" customHeight="1" x14ac:dyDescent="0.15">
      <c r="O555" s="30"/>
      <c r="P555" s="31"/>
      <c r="S555" s="32"/>
      <c r="T555" s="32"/>
      <c r="U555" s="32"/>
    </row>
    <row r="556" spans="15:21" ht="12.75" customHeight="1" x14ac:dyDescent="0.15">
      <c r="O556" s="30"/>
      <c r="P556" s="31"/>
      <c r="S556" s="32"/>
      <c r="T556" s="32"/>
      <c r="U556" s="32"/>
    </row>
    <row r="557" spans="15:21" ht="12.75" customHeight="1" x14ac:dyDescent="0.15">
      <c r="O557" s="30"/>
      <c r="P557" s="31"/>
      <c r="S557" s="32"/>
      <c r="T557" s="32"/>
      <c r="U557" s="32"/>
    </row>
    <row r="558" spans="15:21" ht="12.75" customHeight="1" x14ac:dyDescent="0.15">
      <c r="O558" s="30"/>
      <c r="P558" s="31"/>
      <c r="S558" s="32"/>
      <c r="T558" s="32"/>
      <c r="U558" s="32"/>
    </row>
    <row r="559" spans="15:21" ht="12.75" customHeight="1" x14ac:dyDescent="0.15">
      <c r="O559" s="30"/>
      <c r="P559" s="31"/>
      <c r="S559" s="32"/>
      <c r="T559" s="32"/>
      <c r="U559" s="32"/>
    </row>
    <row r="560" spans="15:21" ht="12.75" customHeight="1" x14ac:dyDescent="0.15">
      <c r="O560" s="30"/>
      <c r="P560" s="31"/>
      <c r="S560" s="32"/>
      <c r="T560" s="32"/>
      <c r="U560" s="32"/>
    </row>
    <row r="561" spans="15:21" ht="12.75" customHeight="1" x14ac:dyDescent="0.15">
      <c r="O561" s="30"/>
      <c r="P561" s="31"/>
      <c r="S561" s="32"/>
      <c r="T561" s="32"/>
      <c r="U561" s="32"/>
    </row>
    <row r="562" spans="15:21" ht="12.75" customHeight="1" x14ac:dyDescent="0.15">
      <c r="O562" s="30"/>
      <c r="P562" s="31"/>
      <c r="S562" s="32"/>
      <c r="T562" s="32"/>
      <c r="U562" s="32"/>
    </row>
    <row r="563" spans="15:21" ht="12.75" customHeight="1" x14ac:dyDescent="0.15">
      <c r="O563" s="30"/>
      <c r="P563" s="31"/>
      <c r="S563" s="32"/>
      <c r="T563" s="32"/>
      <c r="U563" s="32"/>
    </row>
    <row r="564" spans="15:21" ht="12.75" customHeight="1" x14ac:dyDescent="0.15">
      <c r="O564" s="30"/>
      <c r="P564" s="31"/>
      <c r="S564" s="32"/>
      <c r="T564" s="32"/>
      <c r="U564" s="32"/>
    </row>
    <row r="565" spans="15:21" ht="12.75" customHeight="1" x14ac:dyDescent="0.15">
      <c r="O565" s="30"/>
      <c r="P565" s="31"/>
      <c r="S565" s="32"/>
      <c r="T565" s="32"/>
      <c r="U565" s="32"/>
    </row>
    <row r="566" spans="15:21" ht="12.75" customHeight="1" x14ac:dyDescent="0.15">
      <c r="O566" s="30"/>
      <c r="P566" s="31"/>
      <c r="S566" s="32"/>
      <c r="T566" s="32"/>
      <c r="U566" s="32"/>
    </row>
    <row r="567" spans="15:21" ht="12.75" customHeight="1" x14ac:dyDescent="0.15">
      <c r="O567" s="30"/>
      <c r="P567" s="31"/>
      <c r="S567" s="32"/>
      <c r="T567" s="32"/>
      <c r="U567" s="32"/>
    </row>
    <row r="568" spans="15:21" ht="12.75" customHeight="1" x14ac:dyDescent="0.15">
      <c r="O568" s="30"/>
      <c r="P568" s="31"/>
      <c r="S568" s="32"/>
      <c r="T568" s="32"/>
      <c r="U568" s="32"/>
    </row>
    <row r="569" spans="15:21" ht="12.75" customHeight="1" x14ac:dyDescent="0.15">
      <c r="O569" s="30"/>
      <c r="P569" s="31"/>
      <c r="S569" s="32"/>
      <c r="T569" s="32"/>
      <c r="U569" s="32"/>
    </row>
    <row r="570" spans="15:21" ht="12.75" customHeight="1" x14ac:dyDescent="0.15">
      <c r="O570" s="30"/>
      <c r="P570" s="31"/>
      <c r="S570" s="32"/>
      <c r="T570" s="32"/>
      <c r="U570" s="32"/>
    </row>
    <row r="571" spans="15:21" ht="12.75" customHeight="1" x14ac:dyDescent="0.15">
      <c r="O571" s="30"/>
      <c r="P571" s="31"/>
      <c r="S571" s="32"/>
      <c r="T571" s="32"/>
      <c r="U571" s="32"/>
    </row>
    <row r="572" spans="15:21" ht="12.75" customHeight="1" x14ac:dyDescent="0.15">
      <c r="O572" s="30"/>
      <c r="P572" s="31"/>
      <c r="S572" s="32"/>
      <c r="T572" s="32"/>
      <c r="U572" s="32"/>
    </row>
    <row r="573" spans="15:21" ht="12.75" customHeight="1" x14ac:dyDescent="0.15">
      <c r="O573" s="30"/>
      <c r="P573" s="31"/>
      <c r="S573" s="32"/>
      <c r="T573" s="32"/>
      <c r="U573" s="32"/>
    </row>
    <row r="574" spans="15:21" ht="12.75" customHeight="1" x14ac:dyDescent="0.15">
      <c r="O574" s="30"/>
      <c r="P574" s="31"/>
      <c r="S574" s="32"/>
      <c r="T574" s="32"/>
      <c r="U574" s="32"/>
    </row>
    <row r="575" spans="15:21" ht="12.75" customHeight="1" x14ac:dyDescent="0.15">
      <c r="O575" s="30"/>
      <c r="P575" s="31"/>
      <c r="S575" s="32"/>
      <c r="T575" s="32"/>
      <c r="U575" s="32"/>
    </row>
    <row r="576" spans="15:21" ht="12.75" customHeight="1" x14ac:dyDescent="0.15">
      <c r="O576" s="30"/>
      <c r="P576" s="31"/>
      <c r="S576" s="32"/>
      <c r="T576" s="32"/>
      <c r="U576" s="32"/>
    </row>
    <row r="577" spans="15:21" ht="12.75" customHeight="1" x14ac:dyDescent="0.15">
      <c r="O577" s="30"/>
      <c r="P577" s="31"/>
      <c r="S577" s="32"/>
      <c r="T577" s="32"/>
      <c r="U577" s="32"/>
    </row>
    <row r="578" spans="15:21" ht="12.75" customHeight="1" x14ac:dyDescent="0.15">
      <c r="O578" s="30"/>
      <c r="P578" s="31"/>
      <c r="S578" s="32"/>
      <c r="T578" s="32"/>
      <c r="U578" s="32"/>
    </row>
    <row r="579" spans="15:21" ht="12.75" customHeight="1" x14ac:dyDescent="0.15">
      <c r="O579" s="30"/>
      <c r="P579" s="31"/>
      <c r="S579" s="32"/>
      <c r="T579" s="32"/>
      <c r="U579" s="32"/>
    </row>
    <row r="580" spans="15:21" ht="12.75" customHeight="1" x14ac:dyDescent="0.15">
      <c r="O580" s="30"/>
      <c r="P580" s="31"/>
      <c r="S580" s="32"/>
      <c r="T580" s="32"/>
      <c r="U580" s="32"/>
    </row>
    <row r="581" spans="15:21" ht="12.75" customHeight="1" x14ac:dyDescent="0.15">
      <c r="O581" s="30"/>
      <c r="P581" s="31"/>
      <c r="S581" s="32"/>
      <c r="T581" s="32"/>
      <c r="U581" s="32"/>
    </row>
    <row r="582" spans="15:21" ht="12.75" customHeight="1" x14ac:dyDescent="0.15">
      <c r="O582" s="30"/>
      <c r="P582" s="31"/>
      <c r="S582" s="32"/>
      <c r="T582" s="32"/>
      <c r="U582" s="32"/>
    </row>
    <row r="583" spans="15:21" ht="12.75" customHeight="1" x14ac:dyDescent="0.15">
      <c r="O583" s="30"/>
      <c r="P583" s="31"/>
      <c r="S583" s="32"/>
      <c r="T583" s="32"/>
      <c r="U583" s="32"/>
    </row>
    <row r="584" spans="15:21" ht="12.75" customHeight="1" x14ac:dyDescent="0.15">
      <c r="O584" s="30"/>
      <c r="P584" s="31"/>
      <c r="S584" s="32"/>
      <c r="T584" s="32"/>
      <c r="U584" s="32"/>
    </row>
    <row r="585" spans="15:21" ht="12.75" customHeight="1" x14ac:dyDescent="0.15">
      <c r="O585" s="30"/>
      <c r="P585" s="31"/>
      <c r="S585" s="32"/>
      <c r="T585" s="32"/>
      <c r="U585" s="32"/>
    </row>
    <row r="586" spans="15:21" ht="12.75" customHeight="1" x14ac:dyDescent="0.15">
      <c r="O586" s="30"/>
      <c r="P586" s="31"/>
      <c r="S586" s="32"/>
      <c r="T586" s="32"/>
      <c r="U586" s="32"/>
    </row>
    <row r="587" spans="15:21" ht="12.75" customHeight="1" x14ac:dyDescent="0.15">
      <c r="O587" s="30"/>
      <c r="P587" s="31"/>
      <c r="S587" s="32"/>
      <c r="T587" s="32"/>
      <c r="U587" s="32"/>
    </row>
    <row r="588" spans="15:21" ht="12.75" customHeight="1" x14ac:dyDescent="0.15">
      <c r="O588" s="30"/>
      <c r="P588" s="31"/>
      <c r="S588" s="32"/>
      <c r="T588" s="32"/>
      <c r="U588" s="32"/>
    </row>
    <row r="589" spans="15:21" ht="12.75" customHeight="1" x14ac:dyDescent="0.15">
      <c r="O589" s="30"/>
      <c r="P589" s="31"/>
      <c r="S589" s="32"/>
      <c r="T589" s="32"/>
      <c r="U589" s="32"/>
    </row>
    <row r="590" spans="15:21" ht="12.75" customHeight="1" x14ac:dyDescent="0.15">
      <c r="O590" s="30"/>
      <c r="P590" s="31"/>
      <c r="S590" s="32"/>
      <c r="T590" s="32"/>
      <c r="U590" s="32"/>
    </row>
    <row r="591" spans="15:21" ht="12.75" customHeight="1" x14ac:dyDescent="0.15">
      <c r="O591" s="30"/>
      <c r="P591" s="31"/>
      <c r="S591" s="32"/>
      <c r="T591" s="32"/>
      <c r="U591" s="32"/>
    </row>
    <row r="592" spans="15:21" ht="12.75" customHeight="1" x14ac:dyDescent="0.15">
      <c r="O592" s="30"/>
      <c r="P592" s="31"/>
      <c r="S592" s="32"/>
      <c r="T592" s="32"/>
      <c r="U592" s="32"/>
    </row>
    <row r="593" spans="15:21" ht="12.75" customHeight="1" x14ac:dyDescent="0.15">
      <c r="O593" s="30"/>
      <c r="P593" s="31"/>
      <c r="S593" s="32"/>
      <c r="T593" s="32"/>
      <c r="U593" s="32"/>
    </row>
    <row r="594" spans="15:21" ht="12.75" customHeight="1" x14ac:dyDescent="0.15">
      <c r="O594" s="30"/>
      <c r="P594" s="31"/>
      <c r="S594" s="32"/>
      <c r="T594" s="32"/>
      <c r="U594" s="32"/>
    </row>
    <row r="595" spans="15:21" ht="12.75" customHeight="1" x14ac:dyDescent="0.15">
      <c r="O595" s="30"/>
      <c r="P595" s="31"/>
      <c r="S595" s="32"/>
      <c r="T595" s="32"/>
      <c r="U595" s="32"/>
    </row>
    <row r="596" spans="15:21" ht="12.75" customHeight="1" x14ac:dyDescent="0.15">
      <c r="O596" s="30"/>
      <c r="P596" s="31"/>
      <c r="S596" s="32"/>
      <c r="T596" s="32"/>
      <c r="U596" s="32"/>
    </row>
    <row r="597" spans="15:21" ht="12.75" customHeight="1" x14ac:dyDescent="0.15">
      <c r="O597" s="30"/>
      <c r="P597" s="31"/>
      <c r="S597" s="32"/>
      <c r="T597" s="32"/>
      <c r="U597" s="32"/>
    </row>
    <row r="598" spans="15:21" ht="12.75" customHeight="1" x14ac:dyDescent="0.15">
      <c r="O598" s="30"/>
      <c r="P598" s="31"/>
      <c r="S598" s="32"/>
      <c r="T598" s="32"/>
      <c r="U598" s="32"/>
    </row>
    <row r="599" spans="15:21" ht="12.75" customHeight="1" x14ac:dyDescent="0.15">
      <c r="O599" s="30"/>
      <c r="P599" s="31"/>
      <c r="S599" s="32"/>
      <c r="T599" s="32"/>
      <c r="U599" s="32"/>
    </row>
    <row r="600" spans="15:21" ht="12.75" customHeight="1" x14ac:dyDescent="0.15">
      <c r="O600" s="30"/>
      <c r="P600" s="31"/>
      <c r="S600" s="32"/>
      <c r="T600" s="32"/>
      <c r="U600" s="32"/>
    </row>
    <row r="601" spans="15:21" ht="12.75" customHeight="1" x14ac:dyDescent="0.15">
      <c r="O601" s="30"/>
      <c r="P601" s="31"/>
      <c r="S601" s="32"/>
      <c r="T601" s="32"/>
      <c r="U601" s="32"/>
    </row>
    <row r="602" spans="15:21" ht="12.75" customHeight="1" x14ac:dyDescent="0.15">
      <c r="O602" s="30"/>
      <c r="P602" s="31"/>
      <c r="S602" s="32"/>
      <c r="T602" s="32"/>
      <c r="U602" s="32"/>
    </row>
    <row r="603" spans="15:21" ht="12.75" customHeight="1" x14ac:dyDescent="0.15">
      <c r="O603" s="30"/>
      <c r="P603" s="31"/>
      <c r="S603" s="32"/>
      <c r="T603" s="32"/>
      <c r="U603" s="32"/>
    </row>
    <row r="604" spans="15:21" ht="12.75" customHeight="1" x14ac:dyDescent="0.15">
      <c r="O604" s="30"/>
      <c r="P604" s="31"/>
      <c r="S604" s="32"/>
      <c r="T604" s="32"/>
      <c r="U604" s="32"/>
    </row>
    <row r="605" spans="15:21" ht="12.75" customHeight="1" x14ac:dyDescent="0.15">
      <c r="O605" s="30"/>
      <c r="P605" s="31"/>
      <c r="S605" s="32"/>
      <c r="T605" s="32"/>
      <c r="U605" s="32"/>
    </row>
    <row r="606" spans="15:21" ht="12.75" customHeight="1" x14ac:dyDescent="0.15">
      <c r="O606" s="30"/>
      <c r="P606" s="31"/>
      <c r="S606" s="32"/>
      <c r="T606" s="32"/>
      <c r="U606" s="32"/>
    </row>
    <row r="607" spans="15:21" ht="12.75" customHeight="1" x14ac:dyDescent="0.15">
      <c r="O607" s="30"/>
      <c r="P607" s="31"/>
      <c r="S607" s="32"/>
      <c r="T607" s="32"/>
      <c r="U607" s="32"/>
    </row>
    <row r="608" spans="15:21" ht="12.75" customHeight="1" x14ac:dyDescent="0.15">
      <c r="O608" s="30"/>
      <c r="P608" s="31"/>
      <c r="S608" s="32"/>
      <c r="T608" s="32"/>
      <c r="U608" s="32"/>
    </row>
    <row r="609" spans="15:21" ht="12.75" customHeight="1" x14ac:dyDescent="0.15">
      <c r="O609" s="30"/>
      <c r="P609" s="31"/>
      <c r="S609" s="32"/>
      <c r="T609" s="32"/>
      <c r="U609" s="32"/>
    </row>
    <row r="610" spans="15:21" ht="12.75" customHeight="1" x14ac:dyDescent="0.15">
      <c r="O610" s="30"/>
      <c r="P610" s="31"/>
      <c r="S610" s="32"/>
      <c r="T610" s="32"/>
      <c r="U610" s="32"/>
    </row>
    <row r="611" spans="15:21" ht="12.75" customHeight="1" x14ac:dyDescent="0.15">
      <c r="O611" s="30"/>
      <c r="P611" s="31"/>
      <c r="S611" s="32"/>
      <c r="T611" s="32"/>
      <c r="U611" s="32"/>
    </row>
    <row r="612" spans="15:21" ht="12.75" customHeight="1" x14ac:dyDescent="0.15">
      <c r="O612" s="30"/>
      <c r="P612" s="31"/>
      <c r="S612" s="32"/>
      <c r="T612" s="32"/>
      <c r="U612" s="32"/>
    </row>
    <row r="613" spans="15:21" ht="12.75" customHeight="1" x14ac:dyDescent="0.15">
      <c r="O613" s="30"/>
      <c r="P613" s="31"/>
      <c r="S613" s="32"/>
      <c r="T613" s="32"/>
      <c r="U613" s="32"/>
    </row>
    <row r="614" spans="15:21" ht="12.75" customHeight="1" x14ac:dyDescent="0.15">
      <c r="O614" s="30"/>
      <c r="P614" s="31"/>
      <c r="S614" s="32"/>
      <c r="T614" s="32"/>
      <c r="U614" s="32"/>
    </row>
    <row r="615" spans="15:21" ht="12.75" customHeight="1" x14ac:dyDescent="0.15">
      <c r="O615" s="30"/>
      <c r="P615" s="31"/>
      <c r="S615" s="32"/>
      <c r="T615" s="32"/>
      <c r="U615" s="32"/>
    </row>
    <row r="616" spans="15:21" ht="12.75" customHeight="1" x14ac:dyDescent="0.15">
      <c r="O616" s="30"/>
      <c r="P616" s="31"/>
      <c r="S616" s="32"/>
      <c r="T616" s="32"/>
      <c r="U616" s="32"/>
    </row>
    <row r="617" spans="15:21" ht="12.75" customHeight="1" x14ac:dyDescent="0.15">
      <c r="O617" s="30"/>
      <c r="P617" s="31"/>
      <c r="S617" s="32"/>
      <c r="T617" s="32"/>
      <c r="U617" s="32"/>
    </row>
    <row r="618" spans="15:21" ht="12.75" customHeight="1" x14ac:dyDescent="0.15">
      <c r="O618" s="30"/>
      <c r="P618" s="31"/>
      <c r="S618" s="32"/>
      <c r="T618" s="32"/>
      <c r="U618" s="32"/>
    </row>
    <row r="619" spans="15:21" ht="12.75" customHeight="1" x14ac:dyDescent="0.15">
      <c r="O619" s="30"/>
      <c r="P619" s="31"/>
      <c r="S619" s="32"/>
      <c r="T619" s="32"/>
      <c r="U619" s="32"/>
    </row>
    <row r="620" spans="15:21" ht="12.75" customHeight="1" x14ac:dyDescent="0.15">
      <c r="O620" s="30"/>
      <c r="P620" s="31"/>
      <c r="S620" s="32"/>
      <c r="T620" s="32"/>
      <c r="U620" s="32"/>
    </row>
    <row r="621" spans="15:21" ht="12.75" customHeight="1" x14ac:dyDescent="0.15">
      <c r="O621" s="30"/>
      <c r="P621" s="31"/>
      <c r="S621" s="32"/>
      <c r="T621" s="32"/>
      <c r="U621" s="32"/>
    </row>
    <row r="622" spans="15:21" ht="12.75" customHeight="1" x14ac:dyDescent="0.15">
      <c r="O622" s="30"/>
      <c r="P622" s="31"/>
      <c r="S622" s="32"/>
      <c r="T622" s="32"/>
      <c r="U622" s="32"/>
    </row>
    <row r="623" spans="15:21" ht="12.75" customHeight="1" x14ac:dyDescent="0.15">
      <c r="O623" s="30"/>
      <c r="P623" s="31"/>
      <c r="S623" s="32"/>
      <c r="T623" s="32"/>
      <c r="U623" s="32"/>
    </row>
    <row r="624" spans="15:21" ht="12.75" customHeight="1" x14ac:dyDescent="0.15">
      <c r="O624" s="30"/>
      <c r="P624" s="31"/>
      <c r="S624" s="32"/>
      <c r="T624" s="32"/>
      <c r="U624" s="32"/>
    </row>
    <row r="625" spans="15:21" ht="12.75" customHeight="1" x14ac:dyDescent="0.15">
      <c r="O625" s="30"/>
      <c r="P625" s="31"/>
      <c r="S625" s="32"/>
      <c r="T625" s="32"/>
      <c r="U625" s="32"/>
    </row>
    <row r="626" spans="15:21" ht="12.75" customHeight="1" x14ac:dyDescent="0.15">
      <c r="O626" s="30"/>
      <c r="P626" s="31"/>
      <c r="S626" s="32"/>
      <c r="T626" s="32"/>
      <c r="U626" s="32"/>
    </row>
    <row r="627" spans="15:21" ht="12.75" customHeight="1" x14ac:dyDescent="0.15">
      <c r="O627" s="30"/>
      <c r="P627" s="31"/>
      <c r="S627" s="32"/>
      <c r="T627" s="32"/>
      <c r="U627" s="32"/>
    </row>
    <row r="628" spans="15:21" ht="12.75" customHeight="1" x14ac:dyDescent="0.15">
      <c r="O628" s="30"/>
      <c r="P628" s="31"/>
      <c r="S628" s="32"/>
      <c r="T628" s="32"/>
      <c r="U628" s="32"/>
    </row>
    <row r="629" spans="15:21" ht="12.75" customHeight="1" x14ac:dyDescent="0.15">
      <c r="O629" s="30"/>
      <c r="P629" s="31"/>
      <c r="S629" s="32"/>
      <c r="T629" s="32"/>
      <c r="U629" s="32"/>
    </row>
    <row r="630" spans="15:21" ht="12.75" customHeight="1" x14ac:dyDescent="0.15">
      <c r="O630" s="30"/>
      <c r="P630" s="31"/>
      <c r="S630" s="32"/>
      <c r="T630" s="32"/>
      <c r="U630" s="32"/>
    </row>
    <row r="631" spans="15:21" ht="12.75" customHeight="1" x14ac:dyDescent="0.15">
      <c r="O631" s="30"/>
      <c r="P631" s="31"/>
      <c r="S631" s="32"/>
      <c r="T631" s="32"/>
      <c r="U631" s="32"/>
    </row>
    <row r="632" spans="15:21" ht="12.75" customHeight="1" x14ac:dyDescent="0.15">
      <c r="O632" s="30"/>
      <c r="P632" s="31"/>
      <c r="S632" s="32"/>
      <c r="T632" s="32"/>
      <c r="U632" s="32"/>
    </row>
    <row r="633" spans="15:21" ht="12.75" customHeight="1" x14ac:dyDescent="0.15">
      <c r="O633" s="30"/>
      <c r="P633" s="31"/>
      <c r="S633" s="32"/>
      <c r="T633" s="32"/>
      <c r="U633" s="32"/>
    </row>
    <row r="634" spans="15:21" ht="12.75" customHeight="1" x14ac:dyDescent="0.15">
      <c r="O634" s="30"/>
      <c r="P634" s="31"/>
      <c r="S634" s="32"/>
      <c r="T634" s="32"/>
      <c r="U634" s="32"/>
    </row>
    <row r="635" spans="15:21" ht="12.75" customHeight="1" x14ac:dyDescent="0.15">
      <c r="O635" s="30"/>
      <c r="P635" s="31"/>
      <c r="S635" s="32"/>
      <c r="T635" s="32"/>
      <c r="U635" s="32"/>
    </row>
    <row r="636" spans="15:21" ht="12.75" customHeight="1" x14ac:dyDescent="0.15">
      <c r="O636" s="30"/>
      <c r="P636" s="31"/>
      <c r="S636" s="32"/>
      <c r="T636" s="32"/>
      <c r="U636" s="32"/>
    </row>
    <row r="637" spans="15:21" ht="12.75" customHeight="1" x14ac:dyDescent="0.15">
      <c r="O637" s="30"/>
      <c r="P637" s="31"/>
      <c r="S637" s="32"/>
      <c r="T637" s="32"/>
      <c r="U637" s="32"/>
    </row>
    <row r="638" spans="15:21" ht="12.75" customHeight="1" x14ac:dyDescent="0.15">
      <c r="O638" s="30"/>
      <c r="P638" s="31"/>
      <c r="S638" s="32"/>
      <c r="T638" s="32"/>
      <c r="U638" s="32"/>
    </row>
    <row r="639" spans="15:21" ht="12.75" customHeight="1" x14ac:dyDescent="0.15">
      <c r="O639" s="30"/>
      <c r="P639" s="31"/>
      <c r="S639" s="32"/>
      <c r="T639" s="32"/>
      <c r="U639" s="32"/>
    </row>
    <row r="640" spans="15:21" ht="12.75" customHeight="1" x14ac:dyDescent="0.15">
      <c r="O640" s="30"/>
      <c r="P640" s="31"/>
      <c r="S640" s="32"/>
      <c r="T640" s="32"/>
      <c r="U640" s="32"/>
    </row>
    <row r="641" spans="15:21" ht="12.75" customHeight="1" x14ac:dyDescent="0.15">
      <c r="O641" s="30"/>
      <c r="P641" s="31"/>
      <c r="S641" s="32"/>
      <c r="T641" s="32"/>
      <c r="U641" s="32"/>
    </row>
    <row r="642" spans="15:21" ht="12.75" customHeight="1" x14ac:dyDescent="0.15">
      <c r="O642" s="30"/>
      <c r="P642" s="31"/>
      <c r="S642" s="32"/>
      <c r="T642" s="32"/>
      <c r="U642" s="32"/>
    </row>
    <row r="643" spans="15:21" ht="12.75" customHeight="1" x14ac:dyDescent="0.15">
      <c r="O643" s="30"/>
      <c r="P643" s="31"/>
      <c r="S643" s="32"/>
      <c r="T643" s="32"/>
      <c r="U643" s="32"/>
    </row>
    <row r="644" spans="15:21" ht="12.75" customHeight="1" x14ac:dyDescent="0.15">
      <c r="O644" s="30"/>
      <c r="P644" s="31"/>
      <c r="S644" s="32"/>
      <c r="T644" s="32"/>
      <c r="U644" s="32"/>
    </row>
    <row r="645" spans="15:21" ht="12.75" customHeight="1" x14ac:dyDescent="0.15">
      <c r="O645" s="30"/>
      <c r="P645" s="31"/>
      <c r="S645" s="32"/>
      <c r="T645" s="32"/>
      <c r="U645" s="32"/>
    </row>
    <row r="646" spans="15:21" ht="12.75" customHeight="1" x14ac:dyDescent="0.15">
      <c r="O646" s="30"/>
      <c r="P646" s="31"/>
      <c r="S646" s="32"/>
      <c r="T646" s="32"/>
      <c r="U646" s="32"/>
    </row>
    <row r="647" spans="15:21" ht="12.75" customHeight="1" x14ac:dyDescent="0.15">
      <c r="O647" s="30"/>
      <c r="P647" s="31"/>
      <c r="S647" s="32"/>
      <c r="T647" s="32"/>
      <c r="U647" s="32"/>
    </row>
    <row r="648" spans="15:21" ht="12.75" customHeight="1" x14ac:dyDescent="0.15">
      <c r="O648" s="30"/>
      <c r="P648" s="31"/>
      <c r="S648" s="32"/>
      <c r="T648" s="32"/>
      <c r="U648" s="32"/>
    </row>
    <row r="649" spans="15:21" ht="12.75" customHeight="1" x14ac:dyDescent="0.15">
      <c r="O649" s="30"/>
      <c r="P649" s="31"/>
      <c r="S649" s="32"/>
      <c r="T649" s="32"/>
      <c r="U649" s="32"/>
    </row>
    <row r="650" spans="15:21" ht="12.75" customHeight="1" x14ac:dyDescent="0.15">
      <c r="O650" s="30"/>
      <c r="P650" s="31"/>
      <c r="S650" s="32"/>
      <c r="T650" s="32"/>
      <c r="U650" s="32"/>
    </row>
    <row r="651" spans="15:21" ht="12.75" customHeight="1" x14ac:dyDescent="0.15">
      <c r="O651" s="30"/>
      <c r="P651" s="31"/>
      <c r="S651" s="32"/>
      <c r="T651" s="32"/>
      <c r="U651" s="32"/>
    </row>
    <row r="652" spans="15:21" ht="12.75" customHeight="1" x14ac:dyDescent="0.15">
      <c r="O652" s="30"/>
      <c r="P652" s="31"/>
      <c r="S652" s="32"/>
      <c r="T652" s="32"/>
      <c r="U652" s="32"/>
    </row>
    <row r="653" spans="15:21" ht="12.75" customHeight="1" x14ac:dyDescent="0.15">
      <c r="O653" s="30"/>
      <c r="P653" s="31"/>
      <c r="S653" s="32"/>
      <c r="T653" s="32"/>
      <c r="U653" s="32"/>
    </row>
    <row r="654" spans="15:21" ht="12.75" customHeight="1" x14ac:dyDescent="0.15">
      <c r="O654" s="30"/>
      <c r="P654" s="31"/>
      <c r="S654" s="32"/>
      <c r="T654" s="32"/>
      <c r="U654" s="32"/>
    </row>
    <row r="655" spans="15:21" ht="12.75" customHeight="1" x14ac:dyDescent="0.15">
      <c r="O655" s="30"/>
      <c r="P655" s="31"/>
      <c r="S655" s="32"/>
      <c r="T655" s="32"/>
      <c r="U655" s="32"/>
    </row>
    <row r="656" spans="15:21" ht="12.75" customHeight="1" x14ac:dyDescent="0.15">
      <c r="O656" s="30"/>
      <c r="P656" s="31"/>
      <c r="S656" s="32"/>
      <c r="T656" s="32"/>
      <c r="U656" s="32"/>
    </row>
    <row r="657" spans="15:21" ht="12.75" customHeight="1" x14ac:dyDescent="0.15">
      <c r="O657" s="30"/>
      <c r="P657" s="31"/>
      <c r="S657" s="32"/>
      <c r="T657" s="32"/>
      <c r="U657" s="32"/>
    </row>
    <row r="658" spans="15:21" ht="12.75" customHeight="1" x14ac:dyDescent="0.15">
      <c r="O658" s="30"/>
      <c r="P658" s="31"/>
      <c r="S658" s="32"/>
      <c r="T658" s="32"/>
      <c r="U658" s="32"/>
    </row>
    <row r="659" spans="15:21" ht="12.75" customHeight="1" x14ac:dyDescent="0.15">
      <c r="O659" s="30"/>
      <c r="P659" s="31"/>
      <c r="S659" s="32"/>
      <c r="T659" s="32"/>
      <c r="U659" s="32"/>
    </row>
    <row r="660" spans="15:21" ht="12.75" customHeight="1" x14ac:dyDescent="0.15">
      <c r="O660" s="30"/>
      <c r="P660" s="31"/>
      <c r="S660" s="32"/>
      <c r="T660" s="32"/>
      <c r="U660" s="32"/>
    </row>
    <row r="661" spans="15:21" ht="12.75" customHeight="1" x14ac:dyDescent="0.15">
      <c r="O661" s="30"/>
      <c r="P661" s="31"/>
      <c r="S661" s="32"/>
      <c r="T661" s="32"/>
      <c r="U661" s="32"/>
    </row>
    <row r="662" spans="15:21" ht="12.75" customHeight="1" x14ac:dyDescent="0.15">
      <c r="O662" s="30"/>
      <c r="P662" s="31"/>
      <c r="S662" s="32"/>
      <c r="T662" s="32"/>
      <c r="U662" s="32"/>
    </row>
    <row r="663" spans="15:21" ht="12.75" customHeight="1" x14ac:dyDescent="0.15">
      <c r="O663" s="30"/>
      <c r="P663" s="31"/>
      <c r="S663" s="32"/>
      <c r="T663" s="32"/>
      <c r="U663" s="32"/>
    </row>
    <row r="664" spans="15:21" ht="12.75" customHeight="1" x14ac:dyDescent="0.15">
      <c r="O664" s="30"/>
      <c r="P664" s="31"/>
      <c r="S664" s="32"/>
      <c r="T664" s="32"/>
      <c r="U664" s="32"/>
    </row>
    <row r="665" spans="15:21" ht="12.75" customHeight="1" x14ac:dyDescent="0.15">
      <c r="O665" s="30"/>
      <c r="P665" s="31"/>
      <c r="S665" s="32"/>
      <c r="T665" s="32"/>
      <c r="U665" s="32"/>
    </row>
    <row r="666" spans="15:21" ht="12.75" customHeight="1" x14ac:dyDescent="0.15">
      <c r="O666" s="30"/>
      <c r="P666" s="31"/>
      <c r="S666" s="32"/>
      <c r="T666" s="32"/>
      <c r="U666" s="32"/>
    </row>
    <row r="667" spans="15:21" ht="12.75" customHeight="1" x14ac:dyDescent="0.15">
      <c r="O667" s="30"/>
      <c r="P667" s="31"/>
      <c r="S667" s="32"/>
      <c r="T667" s="32"/>
      <c r="U667" s="32"/>
    </row>
    <row r="668" spans="15:21" ht="12.75" customHeight="1" x14ac:dyDescent="0.15">
      <c r="O668" s="30"/>
      <c r="P668" s="31"/>
      <c r="S668" s="32"/>
      <c r="T668" s="32"/>
      <c r="U668" s="32"/>
    </row>
    <row r="669" spans="15:21" ht="12.75" customHeight="1" x14ac:dyDescent="0.15">
      <c r="O669" s="30"/>
      <c r="P669" s="31"/>
      <c r="S669" s="32"/>
      <c r="T669" s="32"/>
      <c r="U669" s="32"/>
    </row>
    <row r="670" spans="15:21" ht="12.75" customHeight="1" x14ac:dyDescent="0.15">
      <c r="O670" s="30"/>
      <c r="P670" s="31"/>
      <c r="S670" s="32"/>
      <c r="T670" s="32"/>
      <c r="U670" s="32"/>
    </row>
    <row r="671" spans="15:21" ht="12.75" customHeight="1" x14ac:dyDescent="0.15">
      <c r="O671" s="30"/>
      <c r="P671" s="31"/>
      <c r="S671" s="32"/>
      <c r="T671" s="32"/>
      <c r="U671" s="32"/>
    </row>
    <row r="672" spans="15:21" ht="12.75" customHeight="1" x14ac:dyDescent="0.15">
      <c r="O672" s="30"/>
      <c r="P672" s="31"/>
      <c r="S672" s="32"/>
      <c r="T672" s="32"/>
      <c r="U672" s="32"/>
    </row>
    <row r="673" spans="15:21" ht="12.75" customHeight="1" x14ac:dyDescent="0.15">
      <c r="O673" s="30"/>
      <c r="P673" s="31"/>
      <c r="S673" s="32"/>
      <c r="T673" s="32"/>
      <c r="U673" s="32"/>
    </row>
    <row r="674" spans="15:21" ht="12.75" customHeight="1" x14ac:dyDescent="0.15">
      <c r="O674" s="30"/>
      <c r="P674" s="31"/>
      <c r="S674" s="32"/>
      <c r="T674" s="32"/>
      <c r="U674" s="32"/>
    </row>
    <row r="675" spans="15:21" ht="12.75" customHeight="1" x14ac:dyDescent="0.15">
      <c r="O675" s="30"/>
      <c r="P675" s="31"/>
      <c r="S675" s="32"/>
      <c r="T675" s="32"/>
      <c r="U675" s="32"/>
    </row>
    <row r="676" spans="15:21" ht="12.75" customHeight="1" x14ac:dyDescent="0.15">
      <c r="O676" s="30"/>
      <c r="P676" s="31"/>
      <c r="S676" s="32"/>
      <c r="T676" s="32"/>
      <c r="U676" s="32"/>
    </row>
    <row r="677" spans="15:21" ht="12.75" customHeight="1" x14ac:dyDescent="0.15">
      <c r="O677" s="30"/>
      <c r="P677" s="31"/>
      <c r="S677" s="32"/>
      <c r="T677" s="32"/>
      <c r="U677" s="32"/>
    </row>
    <row r="678" spans="15:21" ht="12.75" customHeight="1" x14ac:dyDescent="0.15">
      <c r="O678" s="30"/>
      <c r="P678" s="31"/>
      <c r="S678" s="32"/>
      <c r="T678" s="32"/>
      <c r="U678" s="32"/>
    </row>
    <row r="679" spans="15:21" ht="12.75" customHeight="1" x14ac:dyDescent="0.15">
      <c r="O679" s="30"/>
      <c r="P679" s="31"/>
      <c r="S679" s="32"/>
      <c r="T679" s="32"/>
      <c r="U679" s="32"/>
    </row>
    <row r="680" spans="15:21" ht="12.75" customHeight="1" x14ac:dyDescent="0.15">
      <c r="O680" s="30"/>
      <c r="P680" s="31"/>
      <c r="S680" s="32"/>
      <c r="T680" s="32"/>
      <c r="U680" s="32"/>
    </row>
    <row r="681" spans="15:21" ht="12.75" customHeight="1" x14ac:dyDescent="0.15">
      <c r="O681" s="30"/>
      <c r="P681" s="31"/>
      <c r="S681" s="32"/>
      <c r="T681" s="32"/>
      <c r="U681" s="32"/>
    </row>
    <row r="682" spans="15:21" ht="12.75" customHeight="1" x14ac:dyDescent="0.15">
      <c r="O682" s="30"/>
      <c r="P682" s="31"/>
      <c r="S682" s="32"/>
      <c r="T682" s="32"/>
      <c r="U682" s="32"/>
    </row>
    <row r="683" spans="15:21" ht="12.75" customHeight="1" x14ac:dyDescent="0.15">
      <c r="O683" s="30"/>
      <c r="P683" s="31"/>
      <c r="S683" s="32"/>
      <c r="T683" s="32"/>
      <c r="U683" s="32"/>
    </row>
    <row r="684" spans="15:21" ht="12.75" customHeight="1" x14ac:dyDescent="0.15">
      <c r="O684" s="30"/>
      <c r="P684" s="31"/>
      <c r="S684" s="32"/>
      <c r="T684" s="32"/>
      <c r="U684" s="32"/>
    </row>
    <row r="685" spans="15:21" ht="12.75" customHeight="1" x14ac:dyDescent="0.15">
      <c r="O685" s="30"/>
      <c r="P685" s="31"/>
      <c r="S685" s="32"/>
      <c r="T685" s="32"/>
      <c r="U685" s="32"/>
    </row>
    <row r="686" spans="15:21" ht="12.75" customHeight="1" x14ac:dyDescent="0.15">
      <c r="O686" s="30"/>
      <c r="P686" s="31"/>
      <c r="S686" s="32"/>
      <c r="T686" s="32"/>
      <c r="U686" s="32"/>
    </row>
    <row r="687" spans="15:21" ht="12.75" customHeight="1" x14ac:dyDescent="0.15">
      <c r="O687" s="30"/>
      <c r="P687" s="31"/>
      <c r="S687" s="32"/>
      <c r="T687" s="32"/>
      <c r="U687" s="32"/>
    </row>
    <row r="688" spans="15:21" ht="12.75" customHeight="1" x14ac:dyDescent="0.15">
      <c r="O688" s="30"/>
      <c r="P688" s="31"/>
      <c r="S688" s="32"/>
      <c r="T688" s="32"/>
      <c r="U688" s="32"/>
    </row>
    <row r="689" spans="15:21" ht="12.75" customHeight="1" x14ac:dyDescent="0.15">
      <c r="O689" s="30"/>
      <c r="P689" s="31"/>
      <c r="S689" s="32"/>
      <c r="T689" s="32"/>
      <c r="U689" s="32"/>
    </row>
    <row r="690" spans="15:21" ht="12.75" customHeight="1" x14ac:dyDescent="0.15">
      <c r="O690" s="30"/>
      <c r="P690" s="31"/>
      <c r="S690" s="32"/>
      <c r="T690" s="32"/>
      <c r="U690" s="32"/>
    </row>
    <row r="691" spans="15:21" ht="12.75" customHeight="1" x14ac:dyDescent="0.15">
      <c r="O691" s="30"/>
      <c r="P691" s="31"/>
      <c r="S691" s="32"/>
      <c r="T691" s="32"/>
      <c r="U691" s="32"/>
    </row>
    <row r="692" spans="15:21" ht="12.75" customHeight="1" x14ac:dyDescent="0.15">
      <c r="O692" s="30"/>
      <c r="P692" s="31"/>
      <c r="S692" s="32"/>
      <c r="T692" s="32"/>
      <c r="U692" s="32"/>
    </row>
    <row r="693" spans="15:21" ht="12.75" customHeight="1" x14ac:dyDescent="0.15">
      <c r="O693" s="30"/>
      <c r="P693" s="31"/>
      <c r="S693" s="32"/>
      <c r="T693" s="32"/>
      <c r="U693" s="32"/>
    </row>
    <row r="694" spans="15:21" ht="12.75" customHeight="1" x14ac:dyDescent="0.15">
      <c r="O694" s="30"/>
      <c r="P694" s="31"/>
      <c r="S694" s="32"/>
      <c r="T694" s="32"/>
      <c r="U694" s="32"/>
    </row>
    <row r="695" spans="15:21" ht="12.75" customHeight="1" x14ac:dyDescent="0.15">
      <c r="O695" s="30"/>
      <c r="P695" s="31"/>
      <c r="S695" s="32"/>
      <c r="T695" s="32"/>
      <c r="U695" s="32"/>
    </row>
    <row r="696" spans="15:21" ht="12.75" customHeight="1" x14ac:dyDescent="0.15">
      <c r="O696" s="30"/>
      <c r="P696" s="31"/>
      <c r="S696" s="32"/>
      <c r="T696" s="32"/>
      <c r="U696" s="32"/>
    </row>
    <row r="697" spans="15:21" ht="12.75" customHeight="1" x14ac:dyDescent="0.15">
      <c r="O697" s="30"/>
      <c r="P697" s="31"/>
      <c r="S697" s="32"/>
      <c r="T697" s="32"/>
      <c r="U697" s="32"/>
    </row>
    <row r="698" spans="15:21" ht="12.75" customHeight="1" x14ac:dyDescent="0.15">
      <c r="O698" s="30"/>
      <c r="P698" s="31"/>
      <c r="S698" s="32"/>
      <c r="T698" s="32"/>
      <c r="U698" s="32"/>
    </row>
    <row r="699" spans="15:21" ht="12.75" customHeight="1" x14ac:dyDescent="0.15">
      <c r="O699" s="30"/>
      <c r="P699" s="31"/>
      <c r="S699" s="32"/>
      <c r="T699" s="32"/>
      <c r="U699" s="32"/>
    </row>
    <row r="700" spans="15:21" ht="12.75" customHeight="1" x14ac:dyDescent="0.15">
      <c r="O700" s="30"/>
      <c r="P700" s="31"/>
      <c r="S700" s="32"/>
      <c r="T700" s="32"/>
      <c r="U700" s="32"/>
    </row>
    <row r="701" spans="15:21" ht="12.75" customHeight="1" x14ac:dyDescent="0.15">
      <c r="O701" s="30"/>
      <c r="P701" s="31"/>
      <c r="S701" s="32"/>
      <c r="T701" s="32"/>
      <c r="U701" s="32"/>
    </row>
    <row r="702" spans="15:21" ht="12.75" customHeight="1" x14ac:dyDescent="0.15">
      <c r="O702" s="30"/>
      <c r="P702" s="31"/>
      <c r="S702" s="32"/>
      <c r="T702" s="32"/>
      <c r="U702" s="32"/>
    </row>
    <row r="703" spans="15:21" ht="12.75" customHeight="1" x14ac:dyDescent="0.15">
      <c r="O703" s="30"/>
      <c r="P703" s="31"/>
      <c r="S703" s="32"/>
      <c r="T703" s="32"/>
      <c r="U703" s="32"/>
    </row>
    <row r="704" spans="15:21" ht="12.75" customHeight="1" x14ac:dyDescent="0.15">
      <c r="O704" s="30"/>
      <c r="P704" s="31"/>
      <c r="S704" s="32"/>
      <c r="T704" s="32"/>
      <c r="U704" s="32"/>
    </row>
    <row r="705" spans="15:21" ht="12.75" customHeight="1" x14ac:dyDescent="0.15">
      <c r="O705" s="30"/>
      <c r="P705" s="31"/>
      <c r="S705" s="32"/>
      <c r="T705" s="32"/>
      <c r="U705" s="32"/>
    </row>
    <row r="706" spans="15:21" ht="12.75" customHeight="1" x14ac:dyDescent="0.15">
      <c r="O706" s="30"/>
      <c r="P706" s="31"/>
      <c r="S706" s="32"/>
      <c r="T706" s="32"/>
      <c r="U706" s="32"/>
    </row>
    <row r="707" spans="15:21" ht="12.75" customHeight="1" x14ac:dyDescent="0.15">
      <c r="O707" s="30"/>
      <c r="P707" s="31"/>
      <c r="S707" s="32"/>
      <c r="T707" s="32"/>
      <c r="U707" s="32"/>
    </row>
    <row r="708" spans="15:21" ht="12.75" customHeight="1" x14ac:dyDescent="0.15">
      <c r="O708" s="30"/>
      <c r="P708" s="31"/>
      <c r="S708" s="32"/>
      <c r="T708" s="32"/>
      <c r="U708" s="32"/>
    </row>
    <row r="709" spans="15:21" ht="12.75" customHeight="1" x14ac:dyDescent="0.15">
      <c r="O709" s="30"/>
      <c r="P709" s="31"/>
      <c r="S709" s="32"/>
      <c r="T709" s="32"/>
      <c r="U709" s="32"/>
    </row>
    <row r="710" spans="15:21" ht="12.75" customHeight="1" x14ac:dyDescent="0.15">
      <c r="O710" s="30"/>
      <c r="P710" s="31"/>
      <c r="S710" s="32"/>
      <c r="T710" s="32"/>
      <c r="U710" s="32"/>
    </row>
    <row r="711" spans="15:21" ht="12.75" customHeight="1" x14ac:dyDescent="0.15">
      <c r="O711" s="30"/>
      <c r="P711" s="31"/>
      <c r="S711" s="32"/>
      <c r="T711" s="32"/>
      <c r="U711" s="32"/>
    </row>
    <row r="712" spans="15:21" ht="12.75" customHeight="1" x14ac:dyDescent="0.15">
      <c r="O712" s="30"/>
      <c r="P712" s="31"/>
      <c r="S712" s="32"/>
      <c r="T712" s="32"/>
      <c r="U712" s="32"/>
    </row>
    <row r="713" spans="15:21" ht="12.75" customHeight="1" x14ac:dyDescent="0.15">
      <c r="O713" s="30"/>
      <c r="P713" s="31"/>
      <c r="S713" s="32"/>
      <c r="T713" s="32"/>
      <c r="U713" s="32"/>
    </row>
    <row r="714" spans="15:21" ht="12.75" customHeight="1" x14ac:dyDescent="0.15">
      <c r="O714" s="30"/>
      <c r="P714" s="31"/>
      <c r="S714" s="32"/>
      <c r="T714" s="32"/>
      <c r="U714" s="32"/>
    </row>
    <row r="715" spans="15:21" ht="12.75" customHeight="1" x14ac:dyDescent="0.15">
      <c r="O715" s="30"/>
      <c r="P715" s="31"/>
      <c r="S715" s="32"/>
      <c r="T715" s="32"/>
      <c r="U715" s="32"/>
    </row>
    <row r="716" spans="15:21" ht="12.75" customHeight="1" x14ac:dyDescent="0.15">
      <c r="O716" s="30"/>
      <c r="P716" s="31"/>
      <c r="S716" s="32"/>
      <c r="T716" s="32"/>
      <c r="U716" s="32"/>
    </row>
    <row r="717" spans="15:21" ht="12.75" customHeight="1" x14ac:dyDescent="0.15">
      <c r="O717" s="30"/>
      <c r="P717" s="31"/>
      <c r="S717" s="32"/>
      <c r="T717" s="32"/>
      <c r="U717" s="32"/>
    </row>
    <row r="718" spans="15:21" ht="12.75" customHeight="1" x14ac:dyDescent="0.15">
      <c r="O718" s="30"/>
      <c r="P718" s="31"/>
      <c r="S718" s="32"/>
      <c r="T718" s="32"/>
      <c r="U718" s="32"/>
    </row>
    <row r="719" spans="15:21" ht="12.75" customHeight="1" x14ac:dyDescent="0.15">
      <c r="O719" s="30"/>
      <c r="P719" s="31"/>
      <c r="S719" s="32"/>
      <c r="T719" s="32"/>
      <c r="U719" s="32"/>
    </row>
    <row r="720" spans="15:21" ht="12.75" customHeight="1" x14ac:dyDescent="0.15">
      <c r="O720" s="30"/>
      <c r="P720" s="31"/>
      <c r="S720" s="32"/>
      <c r="T720" s="32"/>
      <c r="U720" s="32"/>
    </row>
    <row r="721" spans="15:21" ht="12.75" customHeight="1" x14ac:dyDescent="0.15">
      <c r="O721" s="30"/>
      <c r="P721" s="31"/>
      <c r="S721" s="32"/>
      <c r="T721" s="32"/>
      <c r="U721" s="32"/>
    </row>
    <row r="722" spans="15:21" ht="12.75" customHeight="1" x14ac:dyDescent="0.15">
      <c r="O722" s="30"/>
      <c r="P722" s="31"/>
      <c r="S722" s="32"/>
      <c r="T722" s="32"/>
      <c r="U722" s="32"/>
    </row>
    <row r="723" spans="15:21" ht="12.75" customHeight="1" x14ac:dyDescent="0.15">
      <c r="O723" s="30"/>
      <c r="P723" s="31"/>
      <c r="S723" s="32"/>
      <c r="T723" s="32"/>
      <c r="U723" s="32"/>
    </row>
    <row r="724" spans="15:21" ht="12.75" customHeight="1" x14ac:dyDescent="0.15">
      <c r="O724" s="30"/>
      <c r="P724" s="31"/>
      <c r="S724" s="32"/>
      <c r="T724" s="32"/>
      <c r="U724" s="32"/>
    </row>
    <row r="725" spans="15:21" ht="12.75" customHeight="1" x14ac:dyDescent="0.15">
      <c r="O725" s="30"/>
      <c r="P725" s="31"/>
      <c r="S725" s="32"/>
      <c r="T725" s="32"/>
      <c r="U725" s="32"/>
    </row>
    <row r="726" spans="15:21" ht="12.75" customHeight="1" x14ac:dyDescent="0.15">
      <c r="O726" s="30"/>
      <c r="P726" s="31"/>
      <c r="S726" s="32"/>
      <c r="T726" s="32"/>
      <c r="U726" s="32"/>
    </row>
    <row r="727" spans="15:21" ht="12.75" customHeight="1" x14ac:dyDescent="0.15">
      <c r="O727" s="30"/>
      <c r="P727" s="31"/>
      <c r="S727" s="32"/>
      <c r="T727" s="32"/>
      <c r="U727" s="32"/>
    </row>
    <row r="728" spans="15:21" ht="12.75" customHeight="1" x14ac:dyDescent="0.15">
      <c r="O728" s="30"/>
      <c r="P728" s="31"/>
      <c r="S728" s="32"/>
      <c r="T728" s="32"/>
      <c r="U728" s="32"/>
    </row>
    <row r="729" spans="15:21" ht="12.75" customHeight="1" x14ac:dyDescent="0.15">
      <c r="O729" s="30"/>
      <c r="P729" s="31"/>
      <c r="S729" s="32"/>
      <c r="T729" s="32"/>
      <c r="U729" s="32"/>
    </row>
    <row r="730" spans="15:21" ht="12.75" customHeight="1" x14ac:dyDescent="0.15">
      <c r="O730" s="30"/>
      <c r="P730" s="31"/>
      <c r="S730" s="32"/>
      <c r="T730" s="32"/>
      <c r="U730" s="32"/>
    </row>
    <row r="731" spans="15:21" ht="12.75" customHeight="1" x14ac:dyDescent="0.15">
      <c r="O731" s="30"/>
      <c r="P731" s="31"/>
      <c r="S731" s="32"/>
      <c r="T731" s="32"/>
      <c r="U731" s="32"/>
    </row>
    <row r="732" spans="15:21" ht="12.75" customHeight="1" x14ac:dyDescent="0.15">
      <c r="O732" s="30"/>
      <c r="P732" s="31"/>
      <c r="S732" s="32"/>
      <c r="T732" s="32"/>
      <c r="U732" s="32"/>
    </row>
    <row r="733" spans="15:21" ht="12.75" customHeight="1" x14ac:dyDescent="0.15">
      <c r="O733" s="30"/>
      <c r="P733" s="31"/>
      <c r="S733" s="32"/>
      <c r="T733" s="32"/>
      <c r="U733" s="32"/>
    </row>
    <row r="734" spans="15:21" ht="12.75" customHeight="1" x14ac:dyDescent="0.15">
      <c r="O734" s="30"/>
      <c r="P734" s="31"/>
      <c r="S734" s="32"/>
      <c r="T734" s="32"/>
      <c r="U734" s="32"/>
    </row>
    <row r="735" spans="15:21" ht="12.75" customHeight="1" x14ac:dyDescent="0.15">
      <c r="O735" s="30"/>
      <c r="P735" s="31"/>
      <c r="S735" s="32"/>
      <c r="T735" s="32"/>
      <c r="U735" s="32"/>
    </row>
    <row r="736" spans="15:21" ht="12.75" customHeight="1" x14ac:dyDescent="0.15">
      <c r="O736" s="30"/>
      <c r="P736" s="31"/>
      <c r="S736" s="32"/>
      <c r="T736" s="32"/>
      <c r="U736" s="32"/>
    </row>
    <row r="737" spans="15:21" ht="12.75" customHeight="1" x14ac:dyDescent="0.15">
      <c r="O737" s="30"/>
      <c r="P737" s="31"/>
      <c r="S737" s="32"/>
      <c r="T737" s="32"/>
      <c r="U737" s="32"/>
    </row>
    <row r="738" spans="15:21" ht="12.75" customHeight="1" x14ac:dyDescent="0.15">
      <c r="O738" s="30"/>
      <c r="P738" s="31"/>
      <c r="S738" s="32"/>
      <c r="T738" s="32"/>
      <c r="U738" s="32"/>
    </row>
    <row r="739" spans="15:21" ht="12.75" customHeight="1" x14ac:dyDescent="0.15">
      <c r="O739" s="30"/>
      <c r="P739" s="31"/>
      <c r="S739" s="32"/>
      <c r="T739" s="32"/>
      <c r="U739" s="32"/>
    </row>
    <row r="740" spans="15:21" ht="12.75" customHeight="1" x14ac:dyDescent="0.15">
      <c r="O740" s="30"/>
      <c r="P740" s="31"/>
      <c r="S740" s="32"/>
      <c r="T740" s="32"/>
      <c r="U740" s="32"/>
    </row>
    <row r="741" spans="15:21" ht="12.75" customHeight="1" x14ac:dyDescent="0.15">
      <c r="O741" s="30"/>
      <c r="P741" s="31"/>
      <c r="S741" s="32"/>
      <c r="T741" s="32"/>
      <c r="U741" s="32"/>
    </row>
    <row r="742" spans="15:21" ht="12.75" customHeight="1" x14ac:dyDescent="0.15">
      <c r="O742" s="30"/>
      <c r="P742" s="31"/>
      <c r="S742" s="32"/>
      <c r="T742" s="32"/>
      <c r="U742" s="32"/>
    </row>
    <row r="743" spans="15:21" ht="12.75" customHeight="1" x14ac:dyDescent="0.15">
      <c r="O743" s="30"/>
      <c r="P743" s="31"/>
      <c r="S743" s="32"/>
      <c r="T743" s="32"/>
      <c r="U743" s="32"/>
    </row>
    <row r="744" spans="15:21" ht="12.75" customHeight="1" x14ac:dyDescent="0.15">
      <c r="O744" s="30"/>
      <c r="P744" s="31"/>
      <c r="S744" s="32"/>
      <c r="T744" s="32"/>
      <c r="U744" s="32"/>
    </row>
    <row r="745" spans="15:21" ht="12.75" customHeight="1" x14ac:dyDescent="0.15">
      <c r="O745" s="30"/>
      <c r="P745" s="31"/>
      <c r="S745" s="32"/>
      <c r="T745" s="32"/>
      <c r="U745" s="32"/>
    </row>
    <row r="746" spans="15:21" ht="12.75" customHeight="1" x14ac:dyDescent="0.15">
      <c r="O746" s="30"/>
      <c r="P746" s="31"/>
      <c r="S746" s="32"/>
      <c r="T746" s="32"/>
      <c r="U746" s="32"/>
    </row>
    <row r="747" spans="15:21" ht="12.75" customHeight="1" x14ac:dyDescent="0.15">
      <c r="O747" s="30"/>
      <c r="P747" s="31"/>
      <c r="S747" s="32"/>
      <c r="T747" s="32"/>
      <c r="U747" s="32"/>
    </row>
    <row r="748" spans="15:21" ht="12.75" customHeight="1" x14ac:dyDescent="0.15">
      <c r="O748" s="30"/>
      <c r="P748" s="31"/>
      <c r="S748" s="32"/>
      <c r="T748" s="32"/>
      <c r="U748" s="32"/>
    </row>
    <row r="749" spans="15:21" ht="12.75" customHeight="1" x14ac:dyDescent="0.15">
      <c r="O749" s="30"/>
      <c r="P749" s="31"/>
      <c r="S749" s="32"/>
      <c r="T749" s="32"/>
      <c r="U749" s="32"/>
    </row>
    <row r="750" spans="15:21" ht="12.75" customHeight="1" x14ac:dyDescent="0.15">
      <c r="O750" s="30"/>
      <c r="P750" s="31"/>
      <c r="S750" s="32"/>
      <c r="T750" s="32"/>
      <c r="U750" s="32"/>
    </row>
    <row r="751" spans="15:21" ht="12.75" customHeight="1" x14ac:dyDescent="0.15">
      <c r="O751" s="30"/>
      <c r="P751" s="31"/>
      <c r="S751" s="32"/>
      <c r="T751" s="32"/>
      <c r="U751" s="32"/>
    </row>
    <row r="752" spans="15:21" ht="12.75" customHeight="1" x14ac:dyDescent="0.15">
      <c r="O752" s="30"/>
      <c r="P752" s="31"/>
      <c r="S752" s="32"/>
      <c r="T752" s="32"/>
      <c r="U752" s="32"/>
    </row>
    <row r="753" spans="15:21" ht="12.75" customHeight="1" x14ac:dyDescent="0.15">
      <c r="O753" s="30"/>
      <c r="P753" s="31"/>
      <c r="S753" s="32"/>
      <c r="T753" s="32"/>
      <c r="U753" s="32"/>
    </row>
    <row r="754" spans="15:21" ht="12.75" customHeight="1" x14ac:dyDescent="0.15">
      <c r="O754" s="30"/>
      <c r="P754" s="31"/>
      <c r="S754" s="32"/>
      <c r="T754" s="32"/>
      <c r="U754" s="32"/>
    </row>
    <row r="755" spans="15:21" ht="12.75" customHeight="1" x14ac:dyDescent="0.15">
      <c r="O755" s="30"/>
      <c r="P755" s="31"/>
      <c r="S755" s="32"/>
      <c r="T755" s="32"/>
      <c r="U755" s="32"/>
    </row>
    <row r="756" spans="15:21" ht="12.75" customHeight="1" x14ac:dyDescent="0.15">
      <c r="O756" s="30"/>
      <c r="P756" s="31"/>
      <c r="S756" s="32"/>
      <c r="T756" s="32"/>
      <c r="U756" s="32"/>
    </row>
    <row r="757" spans="15:21" ht="12.75" customHeight="1" x14ac:dyDescent="0.15">
      <c r="O757" s="30"/>
      <c r="P757" s="31"/>
      <c r="S757" s="32"/>
      <c r="T757" s="32"/>
      <c r="U757" s="32"/>
    </row>
    <row r="758" spans="15:21" ht="12.75" customHeight="1" x14ac:dyDescent="0.15">
      <c r="O758" s="30"/>
      <c r="P758" s="31"/>
      <c r="S758" s="32"/>
      <c r="T758" s="32"/>
      <c r="U758" s="32"/>
    </row>
    <row r="759" spans="15:21" ht="12.75" customHeight="1" x14ac:dyDescent="0.15">
      <c r="O759" s="30"/>
      <c r="P759" s="31"/>
      <c r="S759" s="32"/>
      <c r="T759" s="32"/>
      <c r="U759" s="32"/>
    </row>
    <row r="760" spans="15:21" ht="12.75" customHeight="1" x14ac:dyDescent="0.15">
      <c r="O760" s="30"/>
      <c r="P760" s="31"/>
      <c r="S760" s="32"/>
      <c r="T760" s="32"/>
      <c r="U760" s="32"/>
    </row>
    <row r="761" spans="15:21" ht="12.75" customHeight="1" x14ac:dyDescent="0.15">
      <c r="O761" s="30"/>
      <c r="P761" s="31"/>
      <c r="S761" s="32"/>
      <c r="T761" s="32"/>
      <c r="U761" s="32"/>
    </row>
    <row r="762" spans="15:21" ht="12.75" customHeight="1" x14ac:dyDescent="0.15">
      <c r="O762" s="30"/>
      <c r="P762" s="31"/>
      <c r="S762" s="32"/>
      <c r="T762" s="32"/>
      <c r="U762" s="32"/>
    </row>
    <row r="763" spans="15:21" ht="12.75" customHeight="1" x14ac:dyDescent="0.15">
      <c r="O763" s="30"/>
      <c r="P763" s="31"/>
      <c r="S763" s="32"/>
      <c r="T763" s="32"/>
      <c r="U763" s="32"/>
    </row>
    <row r="764" spans="15:21" ht="12.75" customHeight="1" x14ac:dyDescent="0.15">
      <c r="O764" s="30"/>
      <c r="P764" s="31"/>
      <c r="S764" s="32"/>
      <c r="T764" s="32"/>
      <c r="U764" s="32"/>
    </row>
    <row r="765" spans="15:21" ht="12.75" customHeight="1" x14ac:dyDescent="0.15">
      <c r="O765" s="30"/>
      <c r="P765" s="31"/>
      <c r="S765" s="32"/>
      <c r="T765" s="32"/>
      <c r="U765" s="32"/>
    </row>
    <row r="766" spans="15:21" ht="12.75" customHeight="1" x14ac:dyDescent="0.15">
      <c r="O766" s="30"/>
      <c r="P766" s="31"/>
      <c r="S766" s="32"/>
      <c r="T766" s="32"/>
      <c r="U766" s="32"/>
    </row>
    <row r="767" spans="15:21" ht="12.75" customHeight="1" x14ac:dyDescent="0.15">
      <c r="O767" s="30"/>
      <c r="P767" s="31"/>
      <c r="S767" s="32"/>
      <c r="T767" s="32"/>
      <c r="U767" s="32"/>
    </row>
    <row r="768" spans="15:21" ht="12.75" customHeight="1" x14ac:dyDescent="0.15">
      <c r="O768" s="30"/>
      <c r="P768" s="31"/>
      <c r="S768" s="32"/>
      <c r="T768" s="32"/>
      <c r="U768" s="32"/>
    </row>
    <row r="769" spans="15:21" ht="12.75" customHeight="1" x14ac:dyDescent="0.15">
      <c r="O769" s="30"/>
      <c r="P769" s="31"/>
      <c r="S769" s="32"/>
      <c r="T769" s="32"/>
      <c r="U769" s="32"/>
    </row>
    <row r="770" spans="15:21" ht="12.75" customHeight="1" x14ac:dyDescent="0.15">
      <c r="O770" s="30"/>
      <c r="P770" s="31"/>
      <c r="S770" s="32"/>
      <c r="T770" s="32"/>
      <c r="U770" s="32"/>
    </row>
    <row r="771" spans="15:21" ht="12.75" customHeight="1" x14ac:dyDescent="0.15">
      <c r="O771" s="30"/>
      <c r="P771" s="31"/>
      <c r="S771" s="32"/>
      <c r="T771" s="32"/>
      <c r="U771" s="32"/>
    </row>
    <row r="772" spans="15:21" ht="12.75" customHeight="1" x14ac:dyDescent="0.15">
      <c r="O772" s="30"/>
      <c r="P772" s="31"/>
      <c r="S772" s="32"/>
      <c r="T772" s="32"/>
      <c r="U772" s="32"/>
    </row>
    <row r="773" spans="15:21" ht="12.75" customHeight="1" x14ac:dyDescent="0.15">
      <c r="O773" s="30"/>
      <c r="P773" s="31"/>
      <c r="S773" s="32"/>
      <c r="T773" s="32"/>
      <c r="U773" s="32"/>
    </row>
    <row r="774" spans="15:21" ht="12.75" customHeight="1" x14ac:dyDescent="0.15">
      <c r="O774" s="30"/>
      <c r="P774" s="31"/>
      <c r="S774" s="32"/>
      <c r="T774" s="32"/>
      <c r="U774" s="32"/>
    </row>
    <row r="775" spans="15:21" ht="12.75" customHeight="1" x14ac:dyDescent="0.15">
      <c r="O775" s="30"/>
      <c r="P775" s="31"/>
      <c r="S775" s="32"/>
      <c r="T775" s="32"/>
      <c r="U775" s="32"/>
    </row>
    <row r="776" spans="15:21" ht="12.75" customHeight="1" x14ac:dyDescent="0.15">
      <c r="O776" s="30"/>
      <c r="P776" s="31"/>
      <c r="S776" s="32"/>
      <c r="T776" s="32"/>
      <c r="U776" s="32"/>
    </row>
    <row r="777" spans="15:21" ht="12.75" customHeight="1" x14ac:dyDescent="0.15">
      <c r="O777" s="30"/>
      <c r="P777" s="31"/>
      <c r="S777" s="32"/>
      <c r="T777" s="32"/>
      <c r="U777" s="32"/>
    </row>
    <row r="778" spans="15:21" ht="12.75" customHeight="1" x14ac:dyDescent="0.15">
      <c r="O778" s="30"/>
      <c r="P778" s="31"/>
      <c r="S778" s="32"/>
      <c r="T778" s="32"/>
      <c r="U778" s="32"/>
    </row>
    <row r="779" spans="15:21" ht="12.75" customHeight="1" x14ac:dyDescent="0.15">
      <c r="O779" s="30"/>
      <c r="P779" s="31"/>
      <c r="S779" s="32"/>
      <c r="T779" s="32"/>
      <c r="U779" s="32"/>
    </row>
    <row r="780" spans="15:21" ht="12.75" customHeight="1" x14ac:dyDescent="0.15">
      <c r="O780" s="30"/>
      <c r="P780" s="31"/>
      <c r="S780" s="32"/>
      <c r="T780" s="32"/>
      <c r="U780" s="32"/>
    </row>
    <row r="781" spans="15:21" ht="12.75" customHeight="1" x14ac:dyDescent="0.15">
      <c r="O781" s="30"/>
      <c r="P781" s="31"/>
      <c r="S781" s="32"/>
      <c r="T781" s="32"/>
      <c r="U781" s="32"/>
    </row>
    <row r="782" spans="15:21" ht="12.75" customHeight="1" x14ac:dyDescent="0.15">
      <c r="O782" s="30"/>
      <c r="P782" s="31"/>
      <c r="S782" s="32"/>
      <c r="T782" s="32"/>
      <c r="U782" s="32"/>
    </row>
    <row r="783" spans="15:21" ht="12.75" customHeight="1" x14ac:dyDescent="0.15">
      <c r="O783" s="30"/>
      <c r="P783" s="31"/>
      <c r="S783" s="32"/>
      <c r="T783" s="32"/>
      <c r="U783" s="32"/>
    </row>
    <row r="784" spans="15:21" ht="12.75" customHeight="1" x14ac:dyDescent="0.15">
      <c r="O784" s="30"/>
      <c r="P784" s="31"/>
      <c r="S784" s="32"/>
      <c r="T784" s="32"/>
      <c r="U784" s="32"/>
    </row>
    <row r="785" spans="15:21" ht="12.75" customHeight="1" x14ac:dyDescent="0.15">
      <c r="O785" s="30"/>
      <c r="P785" s="31"/>
      <c r="S785" s="32"/>
      <c r="T785" s="32"/>
      <c r="U785" s="32"/>
    </row>
    <row r="786" spans="15:21" ht="12.75" customHeight="1" x14ac:dyDescent="0.15">
      <c r="O786" s="30"/>
      <c r="P786" s="31"/>
      <c r="S786" s="32"/>
      <c r="T786" s="32"/>
      <c r="U786" s="32"/>
    </row>
    <row r="787" spans="15:21" ht="12.75" customHeight="1" x14ac:dyDescent="0.15">
      <c r="O787" s="30"/>
      <c r="P787" s="31"/>
      <c r="S787" s="32"/>
      <c r="T787" s="32"/>
      <c r="U787" s="32"/>
    </row>
    <row r="788" spans="15:21" ht="12.75" customHeight="1" x14ac:dyDescent="0.15">
      <c r="O788" s="30"/>
      <c r="P788" s="31"/>
      <c r="S788" s="32"/>
      <c r="T788" s="32"/>
      <c r="U788" s="32"/>
    </row>
    <row r="789" spans="15:21" ht="12.75" customHeight="1" x14ac:dyDescent="0.15">
      <c r="O789" s="30"/>
      <c r="P789" s="31"/>
      <c r="S789" s="32"/>
      <c r="T789" s="32"/>
      <c r="U789" s="32"/>
    </row>
    <row r="790" spans="15:21" ht="12.75" customHeight="1" x14ac:dyDescent="0.15">
      <c r="O790" s="30"/>
      <c r="P790" s="31"/>
      <c r="S790" s="32"/>
      <c r="T790" s="32"/>
      <c r="U790" s="32"/>
    </row>
    <row r="791" spans="15:21" ht="12.75" customHeight="1" x14ac:dyDescent="0.15">
      <c r="O791" s="30"/>
      <c r="P791" s="31"/>
      <c r="S791" s="32"/>
      <c r="T791" s="32"/>
      <c r="U791" s="32"/>
    </row>
    <row r="792" spans="15:21" ht="12.75" customHeight="1" x14ac:dyDescent="0.15">
      <c r="O792" s="30"/>
      <c r="P792" s="31"/>
      <c r="S792" s="32"/>
      <c r="T792" s="32"/>
      <c r="U792" s="32"/>
    </row>
    <row r="793" spans="15:21" ht="12.75" customHeight="1" x14ac:dyDescent="0.15">
      <c r="O793" s="30"/>
      <c r="P793" s="31"/>
      <c r="S793" s="32"/>
      <c r="T793" s="32"/>
      <c r="U793" s="32"/>
    </row>
    <row r="794" spans="15:21" ht="12.75" customHeight="1" x14ac:dyDescent="0.15">
      <c r="O794" s="30"/>
      <c r="P794" s="31"/>
      <c r="S794" s="32"/>
      <c r="T794" s="32"/>
      <c r="U794" s="32"/>
    </row>
    <row r="795" spans="15:21" ht="12.75" customHeight="1" x14ac:dyDescent="0.15">
      <c r="O795" s="30"/>
      <c r="P795" s="31"/>
      <c r="S795" s="32"/>
      <c r="T795" s="32"/>
      <c r="U795" s="32"/>
    </row>
    <row r="796" spans="15:21" ht="12.75" customHeight="1" x14ac:dyDescent="0.15">
      <c r="O796" s="30"/>
      <c r="P796" s="31"/>
      <c r="S796" s="32"/>
      <c r="T796" s="32"/>
      <c r="U796" s="32"/>
    </row>
    <row r="797" spans="15:21" ht="12.75" customHeight="1" x14ac:dyDescent="0.15">
      <c r="O797" s="30"/>
      <c r="P797" s="31"/>
      <c r="S797" s="32"/>
      <c r="T797" s="32"/>
      <c r="U797" s="32"/>
    </row>
    <row r="798" spans="15:21" ht="12.75" customHeight="1" x14ac:dyDescent="0.15">
      <c r="O798" s="30"/>
      <c r="P798" s="31"/>
      <c r="S798" s="32"/>
      <c r="T798" s="32"/>
      <c r="U798" s="32"/>
    </row>
    <row r="799" spans="15:21" ht="12.75" customHeight="1" x14ac:dyDescent="0.15">
      <c r="O799" s="30"/>
      <c r="P799" s="31"/>
      <c r="S799" s="32"/>
      <c r="T799" s="32"/>
      <c r="U799" s="32"/>
    </row>
    <row r="800" spans="15:21" ht="12.75" customHeight="1" x14ac:dyDescent="0.15">
      <c r="O800" s="30"/>
      <c r="P800" s="31"/>
      <c r="S800" s="32"/>
      <c r="T800" s="32"/>
      <c r="U800" s="32"/>
    </row>
    <row r="801" spans="15:21" ht="12.75" customHeight="1" x14ac:dyDescent="0.15">
      <c r="O801" s="30"/>
      <c r="P801" s="31"/>
      <c r="S801" s="32"/>
      <c r="T801" s="32"/>
      <c r="U801" s="32"/>
    </row>
    <row r="802" spans="15:21" ht="12.75" customHeight="1" x14ac:dyDescent="0.15">
      <c r="O802" s="30"/>
      <c r="P802" s="31"/>
      <c r="S802" s="32"/>
      <c r="T802" s="32"/>
      <c r="U802" s="32"/>
    </row>
    <row r="803" spans="15:21" ht="12.75" customHeight="1" x14ac:dyDescent="0.15">
      <c r="O803" s="30"/>
      <c r="P803" s="31"/>
      <c r="S803" s="32"/>
      <c r="T803" s="32"/>
      <c r="U803" s="32"/>
    </row>
    <row r="804" spans="15:21" ht="12.75" customHeight="1" x14ac:dyDescent="0.15">
      <c r="O804" s="30"/>
      <c r="P804" s="31"/>
      <c r="S804" s="32"/>
      <c r="T804" s="32"/>
      <c r="U804" s="32"/>
    </row>
    <row r="805" spans="15:21" ht="12.75" customHeight="1" x14ac:dyDescent="0.15">
      <c r="O805" s="30"/>
      <c r="P805" s="31"/>
      <c r="S805" s="32"/>
      <c r="T805" s="32"/>
      <c r="U805" s="32"/>
    </row>
    <row r="806" spans="15:21" ht="12.75" customHeight="1" x14ac:dyDescent="0.15">
      <c r="O806" s="30"/>
      <c r="P806" s="31"/>
      <c r="S806" s="32"/>
      <c r="T806" s="32"/>
      <c r="U806" s="32"/>
    </row>
    <row r="807" spans="15:21" ht="12.75" customHeight="1" x14ac:dyDescent="0.15">
      <c r="O807" s="30"/>
      <c r="P807" s="31"/>
      <c r="S807" s="32"/>
      <c r="T807" s="32"/>
      <c r="U807" s="32"/>
    </row>
    <row r="808" spans="15:21" ht="12.75" customHeight="1" x14ac:dyDescent="0.15">
      <c r="O808" s="30"/>
      <c r="P808" s="31"/>
      <c r="S808" s="32"/>
      <c r="T808" s="32"/>
      <c r="U808" s="32"/>
    </row>
    <row r="809" spans="15:21" ht="12.75" customHeight="1" x14ac:dyDescent="0.15">
      <c r="O809" s="30"/>
      <c r="P809" s="31"/>
      <c r="S809" s="32"/>
      <c r="T809" s="32"/>
      <c r="U809" s="32"/>
    </row>
    <row r="810" spans="15:21" ht="12.75" customHeight="1" x14ac:dyDescent="0.15">
      <c r="O810" s="30"/>
      <c r="P810" s="31"/>
      <c r="S810" s="32"/>
      <c r="T810" s="32"/>
      <c r="U810" s="32"/>
    </row>
    <row r="811" spans="15:21" ht="12.75" customHeight="1" x14ac:dyDescent="0.15">
      <c r="O811" s="30"/>
      <c r="P811" s="31"/>
      <c r="S811" s="32"/>
      <c r="T811" s="32"/>
      <c r="U811" s="32"/>
    </row>
    <row r="812" spans="15:21" ht="12.75" customHeight="1" x14ac:dyDescent="0.15">
      <c r="O812" s="30"/>
      <c r="P812" s="31"/>
      <c r="S812" s="32"/>
      <c r="T812" s="32"/>
      <c r="U812" s="32"/>
    </row>
    <row r="813" spans="15:21" ht="12.75" customHeight="1" x14ac:dyDescent="0.15">
      <c r="O813" s="30"/>
      <c r="P813" s="31"/>
      <c r="S813" s="32"/>
      <c r="T813" s="32"/>
      <c r="U813" s="32"/>
    </row>
    <row r="814" spans="15:21" ht="12.75" customHeight="1" x14ac:dyDescent="0.15">
      <c r="O814" s="30"/>
      <c r="P814" s="31"/>
      <c r="S814" s="32"/>
      <c r="T814" s="32"/>
      <c r="U814" s="32"/>
    </row>
    <row r="815" spans="15:21" ht="12.75" customHeight="1" x14ac:dyDescent="0.15">
      <c r="O815" s="30"/>
      <c r="P815" s="31"/>
      <c r="S815" s="32"/>
      <c r="T815" s="32"/>
      <c r="U815" s="32"/>
    </row>
    <row r="816" spans="15:21" ht="12.75" customHeight="1" x14ac:dyDescent="0.15">
      <c r="O816" s="30"/>
      <c r="P816" s="31"/>
      <c r="S816" s="32"/>
      <c r="T816" s="32"/>
      <c r="U816" s="32"/>
    </row>
    <row r="817" spans="15:21" ht="12.75" customHeight="1" x14ac:dyDescent="0.15">
      <c r="O817" s="30"/>
      <c r="P817" s="31"/>
      <c r="S817" s="32"/>
      <c r="T817" s="32"/>
      <c r="U817" s="32"/>
    </row>
    <row r="818" spans="15:21" ht="12.75" customHeight="1" x14ac:dyDescent="0.15">
      <c r="O818" s="30"/>
      <c r="P818" s="31"/>
      <c r="S818" s="32"/>
      <c r="T818" s="32"/>
      <c r="U818" s="32"/>
    </row>
    <row r="819" spans="15:21" ht="12.75" customHeight="1" x14ac:dyDescent="0.15">
      <c r="O819" s="30"/>
      <c r="P819" s="31"/>
      <c r="S819" s="32"/>
      <c r="T819" s="32"/>
      <c r="U819" s="32"/>
    </row>
    <row r="820" spans="15:21" ht="12.75" customHeight="1" x14ac:dyDescent="0.15">
      <c r="O820" s="30"/>
      <c r="P820" s="31"/>
      <c r="S820" s="32"/>
      <c r="T820" s="32"/>
      <c r="U820" s="32"/>
    </row>
    <row r="821" spans="15:21" ht="12.75" customHeight="1" x14ac:dyDescent="0.15">
      <c r="O821" s="30"/>
      <c r="P821" s="31"/>
      <c r="S821" s="32"/>
      <c r="T821" s="32"/>
      <c r="U821" s="32"/>
    </row>
    <row r="822" spans="15:21" ht="12.75" customHeight="1" x14ac:dyDescent="0.15">
      <c r="O822" s="30"/>
      <c r="P822" s="31"/>
      <c r="S822" s="32"/>
      <c r="T822" s="32"/>
      <c r="U822" s="32"/>
    </row>
    <row r="823" spans="15:21" ht="12.75" customHeight="1" x14ac:dyDescent="0.15">
      <c r="O823" s="30"/>
      <c r="P823" s="31"/>
      <c r="S823" s="32"/>
      <c r="T823" s="32"/>
      <c r="U823" s="32"/>
    </row>
    <row r="824" spans="15:21" ht="12.75" customHeight="1" x14ac:dyDescent="0.15">
      <c r="O824" s="30"/>
      <c r="P824" s="31"/>
      <c r="S824" s="32"/>
      <c r="T824" s="32"/>
      <c r="U824" s="32"/>
    </row>
    <row r="825" spans="15:21" ht="12.75" customHeight="1" x14ac:dyDescent="0.15">
      <c r="O825" s="30"/>
      <c r="P825" s="31"/>
      <c r="S825" s="32"/>
      <c r="T825" s="32"/>
      <c r="U825" s="32"/>
    </row>
    <row r="826" spans="15:21" ht="12.75" customHeight="1" x14ac:dyDescent="0.15">
      <c r="O826" s="30"/>
      <c r="P826" s="31"/>
      <c r="S826" s="32"/>
      <c r="T826" s="32"/>
      <c r="U826" s="32"/>
    </row>
    <row r="827" spans="15:21" ht="12.75" customHeight="1" x14ac:dyDescent="0.15">
      <c r="O827" s="30"/>
      <c r="P827" s="31"/>
      <c r="S827" s="32"/>
      <c r="T827" s="32"/>
      <c r="U827" s="32"/>
    </row>
    <row r="828" spans="15:21" ht="12.75" customHeight="1" x14ac:dyDescent="0.15">
      <c r="O828" s="30"/>
      <c r="P828" s="31"/>
      <c r="S828" s="32"/>
      <c r="T828" s="32"/>
      <c r="U828" s="32"/>
    </row>
    <row r="829" spans="15:21" ht="12.75" customHeight="1" x14ac:dyDescent="0.15">
      <c r="O829" s="30"/>
      <c r="P829" s="31"/>
      <c r="S829" s="32"/>
      <c r="T829" s="32"/>
      <c r="U829" s="32"/>
    </row>
    <row r="830" spans="15:21" ht="12.75" customHeight="1" x14ac:dyDescent="0.15">
      <c r="O830" s="30"/>
      <c r="P830" s="31"/>
      <c r="S830" s="32"/>
      <c r="T830" s="32"/>
      <c r="U830" s="32"/>
    </row>
    <row r="831" spans="15:21" ht="12.75" customHeight="1" x14ac:dyDescent="0.15">
      <c r="O831" s="30"/>
      <c r="P831" s="31"/>
      <c r="S831" s="32"/>
      <c r="T831" s="32"/>
      <c r="U831" s="32"/>
    </row>
    <row r="832" spans="15:21" ht="12.75" customHeight="1" x14ac:dyDescent="0.15">
      <c r="O832" s="30"/>
      <c r="P832" s="31"/>
      <c r="S832" s="32"/>
      <c r="T832" s="32"/>
      <c r="U832" s="32"/>
    </row>
    <row r="833" spans="15:21" ht="12.75" customHeight="1" x14ac:dyDescent="0.15">
      <c r="O833" s="30"/>
      <c r="P833" s="31"/>
      <c r="S833" s="32"/>
      <c r="T833" s="32"/>
      <c r="U833" s="32"/>
    </row>
    <row r="834" spans="15:21" ht="12.75" customHeight="1" x14ac:dyDescent="0.15">
      <c r="O834" s="30"/>
      <c r="P834" s="31"/>
      <c r="S834" s="32"/>
      <c r="T834" s="32"/>
      <c r="U834" s="32"/>
    </row>
    <row r="835" spans="15:21" ht="12.75" customHeight="1" x14ac:dyDescent="0.15">
      <c r="O835" s="30"/>
      <c r="P835" s="31"/>
      <c r="S835" s="32"/>
      <c r="T835" s="32"/>
      <c r="U835" s="32"/>
    </row>
    <row r="836" spans="15:21" ht="12.75" customHeight="1" x14ac:dyDescent="0.15">
      <c r="O836" s="30"/>
      <c r="P836" s="31"/>
      <c r="S836" s="32"/>
      <c r="T836" s="32"/>
      <c r="U836" s="32"/>
    </row>
    <row r="837" spans="15:21" ht="12.75" customHeight="1" x14ac:dyDescent="0.15">
      <c r="O837" s="30"/>
      <c r="P837" s="31"/>
      <c r="S837" s="32"/>
      <c r="T837" s="32"/>
      <c r="U837" s="32"/>
    </row>
    <row r="838" spans="15:21" ht="12.75" customHeight="1" x14ac:dyDescent="0.15">
      <c r="O838" s="30"/>
      <c r="P838" s="31"/>
      <c r="S838" s="32"/>
      <c r="T838" s="32"/>
      <c r="U838" s="32"/>
    </row>
    <row r="839" spans="15:21" ht="12.75" customHeight="1" x14ac:dyDescent="0.15">
      <c r="O839" s="30"/>
      <c r="P839" s="31"/>
      <c r="S839" s="32"/>
      <c r="T839" s="32"/>
      <c r="U839" s="32"/>
    </row>
    <row r="840" spans="15:21" ht="12.75" customHeight="1" x14ac:dyDescent="0.15">
      <c r="O840" s="30"/>
      <c r="P840" s="31"/>
      <c r="S840" s="32"/>
      <c r="T840" s="32"/>
      <c r="U840" s="32"/>
    </row>
    <row r="841" spans="15:21" ht="12.75" customHeight="1" x14ac:dyDescent="0.15">
      <c r="O841" s="30"/>
      <c r="P841" s="31"/>
      <c r="S841" s="32"/>
      <c r="T841" s="32"/>
      <c r="U841" s="32"/>
    </row>
    <row r="842" spans="15:21" ht="12.75" customHeight="1" x14ac:dyDescent="0.15">
      <c r="O842" s="30"/>
      <c r="P842" s="31"/>
      <c r="S842" s="32"/>
      <c r="T842" s="32"/>
      <c r="U842" s="32"/>
    </row>
    <row r="843" spans="15:21" ht="12.75" customHeight="1" x14ac:dyDescent="0.15">
      <c r="O843" s="30"/>
      <c r="P843" s="31"/>
      <c r="S843" s="32"/>
      <c r="T843" s="32"/>
      <c r="U843" s="32"/>
    </row>
    <row r="844" spans="15:21" ht="12.75" customHeight="1" x14ac:dyDescent="0.15">
      <c r="O844" s="30"/>
      <c r="P844" s="31"/>
      <c r="S844" s="32"/>
      <c r="T844" s="32"/>
      <c r="U844" s="32"/>
    </row>
    <row r="845" spans="15:21" ht="12.75" customHeight="1" x14ac:dyDescent="0.15">
      <c r="O845" s="30"/>
      <c r="P845" s="31"/>
      <c r="S845" s="32"/>
      <c r="T845" s="32"/>
      <c r="U845" s="32"/>
    </row>
    <row r="846" spans="15:21" ht="12.75" customHeight="1" x14ac:dyDescent="0.15">
      <c r="O846" s="30"/>
      <c r="P846" s="31"/>
      <c r="S846" s="32"/>
      <c r="T846" s="32"/>
      <c r="U846" s="32"/>
    </row>
    <row r="847" spans="15:21" ht="12.75" customHeight="1" x14ac:dyDescent="0.15">
      <c r="O847" s="30"/>
      <c r="P847" s="31"/>
      <c r="S847" s="32"/>
      <c r="T847" s="32"/>
      <c r="U847" s="32"/>
    </row>
    <row r="848" spans="15:21" ht="12.75" customHeight="1" x14ac:dyDescent="0.15">
      <c r="O848" s="30"/>
      <c r="P848" s="31"/>
      <c r="S848" s="32"/>
      <c r="T848" s="32"/>
      <c r="U848" s="32"/>
    </row>
    <row r="849" spans="15:21" ht="12.75" customHeight="1" x14ac:dyDescent="0.15">
      <c r="O849" s="30"/>
      <c r="P849" s="31"/>
      <c r="S849" s="32"/>
      <c r="T849" s="32"/>
      <c r="U849" s="32"/>
    </row>
    <row r="850" spans="15:21" ht="12.75" customHeight="1" x14ac:dyDescent="0.15">
      <c r="O850" s="30"/>
      <c r="P850" s="31"/>
      <c r="S850" s="32"/>
      <c r="T850" s="32"/>
      <c r="U850" s="32"/>
    </row>
    <row r="851" spans="15:21" ht="12.75" customHeight="1" x14ac:dyDescent="0.15">
      <c r="O851" s="30"/>
      <c r="P851" s="31"/>
      <c r="S851" s="32"/>
      <c r="T851" s="32"/>
      <c r="U851" s="32"/>
    </row>
    <row r="852" spans="15:21" ht="12.75" customHeight="1" x14ac:dyDescent="0.15">
      <c r="O852" s="30"/>
      <c r="P852" s="31"/>
      <c r="S852" s="32"/>
      <c r="T852" s="32"/>
      <c r="U852" s="32"/>
    </row>
    <row r="853" spans="15:21" ht="12.75" customHeight="1" x14ac:dyDescent="0.15">
      <c r="O853" s="30"/>
      <c r="P853" s="31"/>
      <c r="S853" s="32"/>
      <c r="T853" s="32"/>
      <c r="U853" s="32"/>
    </row>
    <row r="854" spans="15:21" ht="12.75" customHeight="1" x14ac:dyDescent="0.15">
      <c r="O854" s="30"/>
      <c r="P854" s="31"/>
      <c r="S854" s="32"/>
      <c r="T854" s="32"/>
      <c r="U854" s="32"/>
    </row>
    <row r="855" spans="15:21" ht="12.75" customHeight="1" x14ac:dyDescent="0.15">
      <c r="O855" s="30"/>
      <c r="P855" s="31"/>
      <c r="S855" s="32"/>
      <c r="T855" s="32"/>
      <c r="U855" s="32"/>
    </row>
    <row r="856" spans="15:21" ht="12.75" customHeight="1" x14ac:dyDescent="0.15">
      <c r="O856" s="30"/>
      <c r="P856" s="31"/>
      <c r="S856" s="32"/>
      <c r="T856" s="32"/>
      <c r="U856" s="32"/>
    </row>
    <row r="857" spans="15:21" ht="12.75" customHeight="1" x14ac:dyDescent="0.15">
      <c r="O857" s="30"/>
      <c r="P857" s="31"/>
      <c r="S857" s="32"/>
      <c r="T857" s="32"/>
      <c r="U857" s="32"/>
    </row>
    <row r="858" spans="15:21" ht="12.75" customHeight="1" x14ac:dyDescent="0.15">
      <c r="O858" s="30"/>
      <c r="P858" s="31"/>
      <c r="S858" s="32"/>
      <c r="T858" s="32"/>
      <c r="U858" s="32"/>
    </row>
    <row r="859" spans="15:21" ht="12.75" customHeight="1" x14ac:dyDescent="0.15">
      <c r="O859" s="30"/>
      <c r="P859" s="31"/>
      <c r="S859" s="32"/>
      <c r="T859" s="32"/>
      <c r="U859" s="32"/>
    </row>
    <row r="860" spans="15:21" ht="12.75" customHeight="1" x14ac:dyDescent="0.15">
      <c r="O860" s="30"/>
      <c r="P860" s="31"/>
      <c r="S860" s="32"/>
      <c r="T860" s="32"/>
      <c r="U860" s="32"/>
    </row>
    <row r="861" spans="15:21" ht="12.75" customHeight="1" x14ac:dyDescent="0.15">
      <c r="O861" s="30"/>
      <c r="P861" s="31"/>
      <c r="S861" s="32"/>
      <c r="T861" s="32"/>
      <c r="U861" s="32"/>
    </row>
    <row r="862" spans="15:21" ht="12.75" customHeight="1" x14ac:dyDescent="0.15">
      <c r="O862" s="30"/>
      <c r="P862" s="31"/>
      <c r="S862" s="32"/>
      <c r="T862" s="32"/>
      <c r="U862" s="32"/>
    </row>
    <row r="863" spans="15:21" ht="12.75" customHeight="1" x14ac:dyDescent="0.15">
      <c r="O863" s="30"/>
      <c r="P863" s="31"/>
      <c r="S863" s="32"/>
      <c r="T863" s="32"/>
      <c r="U863" s="32"/>
    </row>
    <row r="864" spans="15:21" ht="12.75" customHeight="1" x14ac:dyDescent="0.15">
      <c r="O864" s="30"/>
      <c r="P864" s="31"/>
      <c r="S864" s="32"/>
      <c r="T864" s="32"/>
      <c r="U864" s="32"/>
    </row>
    <row r="865" spans="15:21" ht="12.75" customHeight="1" x14ac:dyDescent="0.15">
      <c r="O865" s="30"/>
      <c r="P865" s="31"/>
      <c r="S865" s="32"/>
      <c r="T865" s="32"/>
      <c r="U865" s="32"/>
    </row>
    <row r="866" spans="15:21" ht="12.75" customHeight="1" x14ac:dyDescent="0.15">
      <c r="O866" s="30"/>
      <c r="P866" s="31"/>
      <c r="S866" s="32"/>
      <c r="T866" s="32"/>
      <c r="U866" s="32"/>
    </row>
    <row r="867" spans="15:21" ht="12.75" customHeight="1" x14ac:dyDescent="0.15">
      <c r="O867" s="30"/>
      <c r="P867" s="31"/>
      <c r="S867" s="32"/>
      <c r="T867" s="32"/>
      <c r="U867" s="32"/>
    </row>
    <row r="868" spans="15:21" ht="12.75" customHeight="1" x14ac:dyDescent="0.15">
      <c r="O868" s="30"/>
      <c r="P868" s="31"/>
      <c r="S868" s="32"/>
      <c r="T868" s="32"/>
      <c r="U868" s="32"/>
    </row>
    <row r="869" spans="15:21" ht="12.75" customHeight="1" x14ac:dyDescent="0.15">
      <c r="O869" s="30"/>
      <c r="P869" s="31"/>
      <c r="S869" s="32"/>
      <c r="T869" s="32"/>
      <c r="U869" s="32"/>
    </row>
    <row r="870" spans="15:21" ht="12.75" customHeight="1" x14ac:dyDescent="0.15">
      <c r="O870" s="30"/>
      <c r="P870" s="31"/>
      <c r="S870" s="32"/>
      <c r="T870" s="32"/>
      <c r="U870" s="32"/>
    </row>
    <row r="871" spans="15:21" ht="12.75" customHeight="1" x14ac:dyDescent="0.15">
      <c r="O871" s="30"/>
      <c r="P871" s="31"/>
      <c r="S871" s="32"/>
      <c r="T871" s="32"/>
      <c r="U871" s="32"/>
    </row>
    <row r="872" spans="15:21" ht="12.75" customHeight="1" x14ac:dyDescent="0.15">
      <c r="O872" s="30"/>
      <c r="P872" s="31"/>
      <c r="S872" s="32"/>
      <c r="T872" s="32"/>
      <c r="U872" s="32"/>
    </row>
    <row r="873" spans="15:21" ht="12.75" customHeight="1" x14ac:dyDescent="0.15">
      <c r="O873" s="30"/>
      <c r="P873" s="31"/>
      <c r="S873" s="32"/>
      <c r="T873" s="32"/>
      <c r="U873" s="32"/>
    </row>
    <row r="874" spans="15:21" ht="12.75" customHeight="1" x14ac:dyDescent="0.15">
      <c r="O874" s="30"/>
      <c r="P874" s="31"/>
      <c r="S874" s="32"/>
      <c r="T874" s="32"/>
      <c r="U874" s="32"/>
    </row>
    <row r="875" spans="15:21" ht="12.75" customHeight="1" x14ac:dyDescent="0.15">
      <c r="O875" s="30"/>
      <c r="P875" s="31"/>
      <c r="S875" s="32"/>
      <c r="T875" s="32"/>
      <c r="U875" s="32"/>
    </row>
    <row r="876" spans="15:21" ht="12.75" customHeight="1" x14ac:dyDescent="0.15">
      <c r="O876" s="30"/>
      <c r="P876" s="31"/>
      <c r="S876" s="32"/>
      <c r="T876" s="32"/>
      <c r="U876" s="32"/>
    </row>
    <row r="877" spans="15:21" ht="12.75" customHeight="1" x14ac:dyDescent="0.15">
      <c r="O877" s="30"/>
      <c r="P877" s="31"/>
      <c r="S877" s="32"/>
      <c r="T877" s="32"/>
      <c r="U877" s="32"/>
    </row>
    <row r="878" spans="15:21" ht="12.75" customHeight="1" x14ac:dyDescent="0.15">
      <c r="O878" s="30"/>
      <c r="P878" s="31"/>
      <c r="S878" s="32"/>
      <c r="T878" s="32"/>
      <c r="U878" s="32"/>
    </row>
    <row r="879" spans="15:21" ht="12.75" customHeight="1" x14ac:dyDescent="0.15">
      <c r="O879" s="30"/>
      <c r="P879" s="31"/>
      <c r="S879" s="32"/>
      <c r="T879" s="32"/>
      <c r="U879" s="32"/>
    </row>
    <row r="880" spans="15:21" ht="12.75" customHeight="1" x14ac:dyDescent="0.15">
      <c r="O880" s="30"/>
      <c r="P880" s="31"/>
      <c r="S880" s="32"/>
      <c r="T880" s="32"/>
      <c r="U880" s="32"/>
    </row>
    <row r="881" spans="15:21" ht="12.75" customHeight="1" x14ac:dyDescent="0.15">
      <c r="O881" s="30"/>
      <c r="P881" s="31"/>
      <c r="S881" s="32"/>
      <c r="T881" s="32"/>
      <c r="U881" s="32"/>
    </row>
    <row r="882" spans="15:21" ht="12.75" customHeight="1" x14ac:dyDescent="0.15">
      <c r="O882" s="30"/>
      <c r="P882" s="31"/>
      <c r="S882" s="32"/>
      <c r="T882" s="32"/>
      <c r="U882" s="32"/>
    </row>
    <row r="883" spans="15:21" ht="12.75" customHeight="1" x14ac:dyDescent="0.15">
      <c r="O883" s="30"/>
      <c r="P883" s="31"/>
      <c r="S883" s="32"/>
      <c r="T883" s="32"/>
      <c r="U883" s="32"/>
    </row>
    <row r="884" spans="15:21" ht="12.75" customHeight="1" x14ac:dyDescent="0.15">
      <c r="O884" s="30"/>
      <c r="P884" s="31"/>
      <c r="S884" s="32"/>
      <c r="T884" s="32"/>
      <c r="U884" s="32"/>
    </row>
    <row r="885" spans="15:21" ht="12.75" customHeight="1" x14ac:dyDescent="0.15">
      <c r="O885" s="30"/>
      <c r="P885" s="31"/>
      <c r="S885" s="32"/>
      <c r="T885" s="32"/>
      <c r="U885" s="32"/>
    </row>
    <row r="886" spans="15:21" ht="12.75" customHeight="1" x14ac:dyDescent="0.15">
      <c r="O886" s="30"/>
      <c r="P886" s="31"/>
      <c r="S886" s="32"/>
      <c r="T886" s="32"/>
      <c r="U886" s="32"/>
    </row>
    <row r="887" spans="15:21" ht="12.75" customHeight="1" x14ac:dyDescent="0.15">
      <c r="O887" s="30"/>
      <c r="P887" s="31"/>
      <c r="S887" s="32"/>
      <c r="T887" s="32"/>
      <c r="U887" s="32"/>
    </row>
    <row r="888" spans="15:21" ht="12.75" customHeight="1" x14ac:dyDescent="0.15">
      <c r="O888" s="30"/>
      <c r="P888" s="31"/>
      <c r="S888" s="32"/>
      <c r="T888" s="32"/>
      <c r="U888" s="32"/>
    </row>
    <row r="889" spans="15:21" ht="12.75" customHeight="1" x14ac:dyDescent="0.15">
      <c r="O889" s="30"/>
      <c r="P889" s="31"/>
      <c r="S889" s="32"/>
      <c r="T889" s="32"/>
      <c r="U889" s="32"/>
    </row>
    <row r="890" spans="15:21" ht="12.75" customHeight="1" x14ac:dyDescent="0.15">
      <c r="O890" s="30"/>
      <c r="P890" s="31"/>
      <c r="S890" s="32"/>
      <c r="T890" s="32"/>
      <c r="U890" s="32"/>
    </row>
    <row r="891" spans="15:21" ht="12.75" customHeight="1" x14ac:dyDescent="0.15">
      <c r="O891" s="30"/>
      <c r="P891" s="31"/>
      <c r="S891" s="32"/>
      <c r="T891" s="32"/>
      <c r="U891" s="32"/>
    </row>
    <row r="892" spans="15:21" ht="12.75" customHeight="1" x14ac:dyDescent="0.15">
      <c r="O892" s="30"/>
      <c r="P892" s="31"/>
      <c r="S892" s="32"/>
      <c r="T892" s="32"/>
      <c r="U892" s="32"/>
    </row>
    <row r="893" spans="15:21" ht="12.75" customHeight="1" x14ac:dyDescent="0.15">
      <c r="O893" s="30"/>
      <c r="P893" s="31"/>
      <c r="S893" s="32"/>
      <c r="T893" s="32"/>
      <c r="U893" s="32"/>
    </row>
    <row r="894" spans="15:21" ht="12.75" customHeight="1" x14ac:dyDescent="0.15">
      <c r="O894" s="30"/>
      <c r="P894" s="31"/>
      <c r="S894" s="32"/>
      <c r="T894" s="32"/>
      <c r="U894" s="32"/>
    </row>
    <row r="895" spans="15:21" ht="12.75" customHeight="1" x14ac:dyDescent="0.15">
      <c r="O895" s="30"/>
      <c r="P895" s="31"/>
      <c r="S895" s="32"/>
      <c r="T895" s="32"/>
      <c r="U895" s="32"/>
    </row>
    <row r="896" spans="15:21" ht="12.75" customHeight="1" x14ac:dyDescent="0.15">
      <c r="O896" s="30"/>
      <c r="P896" s="31"/>
      <c r="S896" s="32"/>
      <c r="T896" s="32"/>
      <c r="U896" s="32"/>
    </row>
    <row r="897" spans="15:21" ht="12.75" customHeight="1" x14ac:dyDescent="0.15">
      <c r="O897" s="30"/>
      <c r="P897" s="31"/>
      <c r="S897" s="32"/>
      <c r="T897" s="32"/>
      <c r="U897" s="32"/>
    </row>
    <row r="898" spans="15:21" ht="12.75" customHeight="1" x14ac:dyDescent="0.15">
      <c r="O898" s="30"/>
      <c r="P898" s="31"/>
      <c r="S898" s="32"/>
      <c r="T898" s="32"/>
      <c r="U898" s="32"/>
    </row>
    <row r="899" spans="15:21" ht="12.75" customHeight="1" x14ac:dyDescent="0.15">
      <c r="O899" s="30"/>
      <c r="P899" s="31"/>
      <c r="S899" s="32"/>
      <c r="T899" s="32"/>
      <c r="U899" s="32"/>
    </row>
    <row r="900" spans="15:21" ht="12.75" customHeight="1" x14ac:dyDescent="0.15">
      <c r="O900" s="30"/>
      <c r="P900" s="31"/>
      <c r="S900" s="32"/>
      <c r="T900" s="32"/>
      <c r="U900" s="32"/>
    </row>
    <row r="901" spans="15:21" ht="12.75" customHeight="1" x14ac:dyDescent="0.15">
      <c r="O901" s="30"/>
      <c r="P901" s="31"/>
      <c r="S901" s="32"/>
      <c r="T901" s="32"/>
      <c r="U901" s="32"/>
    </row>
    <row r="902" spans="15:21" ht="12.75" customHeight="1" x14ac:dyDescent="0.15">
      <c r="O902" s="30"/>
      <c r="P902" s="31"/>
      <c r="S902" s="32"/>
      <c r="T902" s="32"/>
      <c r="U902" s="32"/>
    </row>
    <row r="903" spans="15:21" ht="12.75" customHeight="1" x14ac:dyDescent="0.15">
      <c r="O903" s="30"/>
      <c r="P903" s="31"/>
      <c r="S903" s="32"/>
      <c r="T903" s="32"/>
      <c r="U903" s="32"/>
    </row>
    <row r="904" spans="15:21" ht="12.75" customHeight="1" x14ac:dyDescent="0.15">
      <c r="O904" s="30"/>
      <c r="P904" s="31"/>
      <c r="S904" s="32"/>
      <c r="T904" s="32"/>
      <c r="U904" s="32"/>
    </row>
    <row r="905" spans="15:21" ht="12.75" customHeight="1" x14ac:dyDescent="0.15">
      <c r="O905" s="30"/>
      <c r="P905" s="31"/>
      <c r="S905" s="32"/>
      <c r="T905" s="32"/>
      <c r="U905" s="32"/>
    </row>
    <row r="906" spans="15:21" ht="12.75" customHeight="1" x14ac:dyDescent="0.15">
      <c r="O906" s="30"/>
      <c r="P906" s="31"/>
      <c r="S906" s="32"/>
      <c r="T906" s="32"/>
      <c r="U906" s="32"/>
    </row>
    <row r="907" spans="15:21" ht="12.75" customHeight="1" x14ac:dyDescent="0.15">
      <c r="O907" s="30"/>
      <c r="P907" s="31"/>
      <c r="S907" s="32"/>
      <c r="T907" s="32"/>
      <c r="U907" s="32"/>
    </row>
    <row r="908" spans="15:21" ht="12.75" customHeight="1" x14ac:dyDescent="0.15">
      <c r="O908" s="30"/>
      <c r="P908" s="31"/>
      <c r="S908" s="32"/>
      <c r="T908" s="32"/>
      <c r="U908" s="32"/>
    </row>
    <row r="909" spans="15:21" ht="12.75" customHeight="1" x14ac:dyDescent="0.15">
      <c r="O909" s="30"/>
      <c r="P909" s="31"/>
      <c r="S909" s="32"/>
      <c r="T909" s="32"/>
      <c r="U909" s="32"/>
    </row>
    <row r="910" spans="15:21" ht="12.75" customHeight="1" x14ac:dyDescent="0.15">
      <c r="O910" s="30"/>
      <c r="P910" s="31"/>
      <c r="S910" s="32"/>
      <c r="T910" s="32"/>
      <c r="U910" s="32"/>
    </row>
    <row r="911" spans="15:21" ht="12.75" customHeight="1" x14ac:dyDescent="0.15">
      <c r="O911" s="30"/>
      <c r="P911" s="31"/>
      <c r="S911" s="32"/>
      <c r="T911" s="32"/>
      <c r="U911" s="32"/>
    </row>
    <row r="912" spans="15:21" ht="12.75" customHeight="1" x14ac:dyDescent="0.15">
      <c r="O912" s="30"/>
      <c r="P912" s="31"/>
      <c r="S912" s="32"/>
      <c r="T912" s="32"/>
      <c r="U912" s="32"/>
    </row>
    <row r="913" spans="15:21" ht="12.75" customHeight="1" x14ac:dyDescent="0.15">
      <c r="O913" s="30"/>
      <c r="P913" s="31"/>
      <c r="S913" s="32"/>
      <c r="T913" s="32"/>
      <c r="U913" s="32"/>
    </row>
    <row r="914" spans="15:21" ht="12.75" customHeight="1" x14ac:dyDescent="0.15">
      <c r="O914" s="30"/>
      <c r="P914" s="31"/>
      <c r="S914" s="32"/>
      <c r="T914" s="32"/>
      <c r="U914" s="32"/>
    </row>
    <row r="915" spans="15:21" ht="12.75" customHeight="1" x14ac:dyDescent="0.15">
      <c r="O915" s="30"/>
      <c r="P915" s="31"/>
      <c r="S915" s="32"/>
      <c r="T915" s="32"/>
      <c r="U915" s="32"/>
    </row>
    <row r="916" spans="15:21" ht="12.75" customHeight="1" x14ac:dyDescent="0.15">
      <c r="O916" s="30"/>
      <c r="P916" s="31"/>
      <c r="S916" s="32"/>
      <c r="T916" s="32"/>
      <c r="U916" s="32"/>
    </row>
    <row r="917" spans="15:21" ht="12.75" customHeight="1" x14ac:dyDescent="0.15">
      <c r="O917" s="30"/>
      <c r="P917" s="31"/>
      <c r="S917" s="32"/>
      <c r="T917" s="32"/>
      <c r="U917" s="32"/>
    </row>
    <row r="918" spans="15:21" ht="12.75" customHeight="1" x14ac:dyDescent="0.15">
      <c r="O918" s="30"/>
      <c r="P918" s="31"/>
      <c r="S918" s="32"/>
      <c r="T918" s="32"/>
      <c r="U918" s="32"/>
    </row>
    <row r="919" spans="15:21" ht="12.75" customHeight="1" x14ac:dyDescent="0.15">
      <c r="O919" s="30"/>
      <c r="P919" s="31"/>
      <c r="S919" s="32"/>
      <c r="T919" s="32"/>
      <c r="U919" s="32"/>
    </row>
    <row r="920" spans="15:21" ht="12.75" customHeight="1" x14ac:dyDescent="0.15">
      <c r="O920" s="30"/>
      <c r="P920" s="31"/>
      <c r="S920" s="32"/>
      <c r="T920" s="32"/>
      <c r="U920" s="32"/>
    </row>
    <row r="921" spans="15:21" ht="12.75" customHeight="1" x14ac:dyDescent="0.15">
      <c r="O921" s="30"/>
      <c r="P921" s="31"/>
      <c r="S921" s="32"/>
      <c r="T921" s="32"/>
      <c r="U921" s="32"/>
    </row>
    <row r="922" spans="15:21" ht="12.75" customHeight="1" x14ac:dyDescent="0.15">
      <c r="O922" s="30"/>
      <c r="P922" s="31"/>
      <c r="S922" s="32"/>
      <c r="T922" s="32"/>
      <c r="U922" s="32"/>
    </row>
    <row r="923" spans="15:21" ht="12.75" customHeight="1" x14ac:dyDescent="0.15">
      <c r="O923" s="30"/>
      <c r="P923" s="31"/>
      <c r="S923" s="32"/>
      <c r="T923" s="32"/>
      <c r="U923" s="32"/>
    </row>
    <row r="924" spans="15:21" ht="12.75" customHeight="1" x14ac:dyDescent="0.15">
      <c r="O924" s="30"/>
      <c r="P924" s="31"/>
      <c r="S924" s="32"/>
      <c r="T924" s="32"/>
      <c r="U924" s="32"/>
    </row>
    <row r="925" spans="15:21" ht="12.75" customHeight="1" x14ac:dyDescent="0.15">
      <c r="O925" s="30"/>
      <c r="P925" s="31"/>
      <c r="S925" s="32"/>
      <c r="T925" s="32"/>
      <c r="U925" s="32"/>
    </row>
    <row r="926" spans="15:21" ht="12.75" customHeight="1" x14ac:dyDescent="0.15">
      <c r="O926" s="30"/>
      <c r="P926" s="31"/>
      <c r="S926" s="32"/>
      <c r="T926" s="32"/>
      <c r="U926" s="32"/>
    </row>
    <row r="927" spans="15:21" ht="12.75" customHeight="1" x14ac:dyDescent="0.15">
      <c r="O927" s="30"/>
      <c r="P927" s="31"/>
      <c r="S927" s="32"/>
      <c r="T927" s="32"/>
      <c r="U927" s="32"/>
    </row>
    <row r="928" spans="15:21" ht="12.75" customHeight="1" x14ac:dyDescent="0.15">
      <c r="O928" s="30"/>
      <c r="P928" s="31"/>
      <c r="S928" s="32"/>
      <c r="T928" s="32"/>
      <c r="U928" s="32"/>
    </row>
    <row r="929" spans="15:21" ht="12.75" customHeight="1" x14ac:dyDescent="0.15">
      <c r="O929" s="30"/>
      <c r="P929" s="31"/>
      <c r="S929" s="32"/>
      <c r="T929" s="32"/>
      <c r="U929" s="32"/>
    </row>
    <row r="930" spans="15:21" ht="12.75" customHeight="1" x14ac:dyDescent="0.15">
      <c r="O930" s="30"/>
      <c r="P930" s="31"/>
      <c r="S930" s="32"/>
      <c r="T930" s="32"/>
      <c r="U930" s="32"/>
    </row>
    <row r="931" spans="15:21" ht="12.75" customHeight="1" x14ac:dyDescent="0.15">
      <c r="O931" s="30"/>
      <c r="P931" s="31"/>
      <c r="S931" s="32"/>
      <c r="T931" s="32"/>
      <c r="U931" s="32"/>
    </row>
    <row r="932" spans="15:21" ht="12.75" customHeight="1" x14ac:dyDescent="0.15">
      <c r="O932" s="30"/>
      <c r="P932" s="31"/>
      <c r="S932" s="32"/>
      <c r="T932" s="32"/>
      <c r="U932" s="32"/>
    </row>
    <row r="933" spans="15:21" ht="12.75" customHeight="1" x14ac:dyDescent="0.15">
      <c r="O933" s="30"/>
      <c r="P933" s="31"/>
      <c r="S933" s="32"/>
      <c r="T933" s="32"/>
      <c r="U933" s="32"/>
    </row>
    <row r="934" spans="15:21" ht="12.75" customHeight="1" x14ac:dyDescent="0.15">
      <c r="O934" s="30"/>
      <c r="P934" s="31"/>
      <c r="S934" s="32"/>
      <c r="T934" s="32"/>
      <c r="U934" s="32"/>
    </row>
    <row r="935" spans="15:21" ht="12.75" customHeight="1" x14ac:dyDescent="0.15">
      <c r="O935" s="30"/>
      <c r="P935" s="31"/>
      <c r="S935" s="32"/>
      <c r="T935" s="32"/>
      <c r="U935" s="32"/>
    </row>
    <row r="936" spans="15:21" ht="12.75" customHeight="1" x14ac:dyDescent="0.15">
      <c r="O936" s="30"/>
      <c r="P936" s="31"/>
      <c r="S936" s="32"/>
      <c r="T936" s="32"/>
      <c r="U936" s="32"/>
    </row>
    <row r="937" spans="15:21" ht="12.75" customHeight="1" x14ac:dyDescent="0.15">
      <c r="O937" s="30"/>
      <c r="P937" s="31"/>
      <c r="S937" s="32"/>
      <c r="T937" s="32"/>
      <c r="U937" s="32"/>
    </row>
    <row r="938" spans="15:21" ht="12.75" customHeight="1" x14ac:dyDescent="0.15">
      <c r="O938" s="30"/>
      <c r="P938" s="31"/>
      <c r="S938" s="32"/>
      <c r="T938" s="32"/>
      <c r="U938" s="32"/>
    </row>
    <row r="939" spans="15:21" ht="12.75" customHeight="1" x14ac:dyDescent="0.15">
      <c r="O939" s="30"/>
      <c r="P939" s="31"/>
      <c r="S939" s="32"/>
      <c r="T939" s="32"/>
      <c r="U939" s="32"/>
    </row>
    <row r="940" spans="15:21" ht="12.75" customHeight="1" x14ac:dyDescent="0.15">
      <c r="O940" s="30"/>
      <c r="P940" s="31"/>
      <c r="S940" s="32"/>
      <c r="T940" s="32"/>
      <c r="U940" s="32"/>
    </row>
    <row r="941" spans="15:21" ht="12.75" customHeight="1" x14ac:dyDescent="0.15">
      <c r="O941" s="30"/>
      <c r="P941" s="31"/>
      <c r="S941" s="32"/>
      <c r="T941" s="32"/>
      <c r="U941" s="32"/>
    </row>
    <row r="942" spans="15:21" ht="12.75" customHeight="1" x14ac:dyDescent="0.15">
      <c r="O942" s="30"/>
      <c r="P942" s="31"/>
      <c r="S942" s="32"/>
      <c r="T942" s="32"/>
      <c r="U942" s="32"/>
    </row>
    <row r="943" spans="15:21" ht="12.75" customHeight="1" x14ac:dyDescent="0.15">
      <c r="O943" s="30"/>
      <c r="P943" s="31"/>
      <c r="S943" s="32"/>
      <c r="T943" s="32"/>
      <c r="U943" s="32"/>
    </row>
    <row r="944" spans="15:21" ht="12.75" customHeight="1" x14ac:dyDescent="0.15">
      <c r="O944" s="30"/>
      <c r="P944" s="31"/>
      <c r="S944" s="32"/>
      <c r="T944" s="32"/>
      <c r="U944" s="32"/>
    </row>
    <row r="945" spans="15:21" ht="12.75" customHeight="1" x14ac:dyDescent="0.15">
      <c r="O945" s="30"/>
      <c r="P945" s="31"/>
      <c r="S945" s="32"/>
      <c r="T945" s="32"/>
      <c r="U945" s="32"/>
    </row>
    <row r="946" spans="15:21" ht="12.75" customHeight="1" x14ac:dyDescent="0.15">
      <c r="O946" s="30"/>
      <c r="P946" s="31"/>
      <c r="S946" s="32"/>
      <c r="T946" s="32"/>
      <c r="U946" s="32"/>
    </row>
    <row r="947" spans="15:21" ht="12.75" customHeight="1" x14ac:dyDescent="0.15">
      <c r="O947" s="30"/>
      <c r="P947" s="31"/>
      <c r="S947" s="32"/>
      <c r="T947" s="32"/>
      <c r="U947" s="32"/>
    </row>
    <row r="948" spans="15:21" ht="12.75" customHeight="1" x14ac:dyDescent="0.15">
      <c r="O948" s="30"/>
      <c r="P948" s="31"/>
      <c r="S948" s="32"/>
      <c r="T948" s="32"/>
      <c r="U948" s="32"/>
    </row>
    <row r="949" spans="15:21" ht="12.75" customHeight="1" x14ac:dyDescent="0.15">
      <c r="O949" s="30"/>
      <c r="P949" s="31"/>
      <c r="S949" s="32"/>
      <c r="T949" s="32"/>
      <c r="U949" s="32"/>
    </row>
    <row r="950" spans="15:21" ht="12.75" customHeight="1" x14ac:dyDescent="0.15">
      <c r="O950" s="30"/>
      <c r="P950" s="31"/>
      <c r="S950" s="32"/>
      <c r="T950" s="32"/>
      <c r="U950" s="32"/>
    </row>
    <row r="951" spans="15:21" ht="12.75" customHeight="1" x14ac:dyDescent="0.15">
      <c r="O951" s="30"/>
      <c r="P951" s="31"/>
      <c r="S951" s="32"/>
      <c r="T951" s="32"/>
      <c r="U951" s="32"/>
    </row>
    <row r="952" spans="15:21" ht="12.75" customHeight="1" x14ac:dyDescent="0.15">
      <c r="O952" s="30"/>
      <c r="P952" s="31"/>
      <c r="S952" s="32"/>
      <c r="T952" s="32"/>
      <c r="U952" s="32"/>
    </row>
    <row r="953" spans="15:21" ht="12.75" customHeight="1" x14ac:dyDescent="0.15">
      <c r="O953" s="30"/>
      <c r="P953" s="31"/>
      <c r="S953" s="32"/>
      <c r="T953" s="32"/>
      <c r="U953" s="32"/>
    </row>
    <row r="954" spans="15:21" ht="12.75" customHeight="1" x14ac:dyDescent="0.15">
      <c r="O954" s="30"/>
      <c r="P954" s="31"/>
      <c r="S954" s="32"/>
      <c r="T954" s="32"/>
      <c r="U954" s="32"/>
    </row>
    <row r="955" spans="15:21" ht="12.75" customHeight="1" x14ac:dyDescent="0.15">
      <c r="O955" s="30"/>
      <c r="P955" s="31"/>
      <c r="S955" s="32"/>
      <c r="T955" s="32"/>
      <c r="U955" s="32"/>
    </row>
    <row r="956" spans="15:21" ht="12.75" customHeight="1" x14ac:dyDescent="0.15">
      <c r="O956" s="30"/>
      <c r="P956" s="31"/>
      <c r="S956" s="32"/>
      <c r="T956" s="32"/>
      <c r="U956" s="32"/>
    </row>
    <row r="957" spans="15:21" ht="12.75" customHeight="1" x14ac:dyDescent="0.15">
      <c r="O957" s="30"/>
      <c r="P957" s="31"/>
      <c r="S957" s="32"/>
      <c r="T957" s="32"/>
      <c r="U957" s="32"/>
    </row>
    <row r="958" spans="15:21" ht="12.75" customHeight="1" x14ac:dyDescent="0.15">
      <c r="O958" s="30"/>
      <c r="P958" s="31"/>
      <c r="S958" s="32"/>
      <c r="T958" s="32"/>
      <c r="U958" s="32"/>
    </row>
    <row r="959" spans="15:21" ht="12.75" customHeight="1" x14ac:dyDescent="0.15">
      <c r="O959" s="30"/>
      <c r="P959" s="31"/>
      <c r="S959" s="32"/>
      <c r="T959" s="32"/>
      <c r="U959" s="32"/>
    </row>
    <row r="960" spans="15:21" ht="12.75" customHeight="1" x14ac:dyDescent="0.15">
      <c r="O960" s="30"/>
      <c r="P960" s="31"/>
      <c r="S960" s="32"/>
      <c r="T960" s="32"/>
      <c r="U960" s="32"/>
    </row>
    <row r="961" spans="15:21" ht="12.75" customHeight="1" x14ac:dyDescent="0.15">
      <c r="O961" s="30"/>
      <c r="P961" s="31"/>
      <c r="S961" s="32"/>
      <c r="T961" s="32"/>
      <c r="U961" s="32"/>
    </row>
    <row r="962" spans="15:21" ht="12.75" customHeight="1" x14ac:dyDescent="0.15">
      <c r="O962" s="30"/>
      <c r="P962" s="31"/>
      <c r="S962" s="32"/>
      <c r="T962" s="32"/>
      <c r="U962" s="32"/>
    </row>
    <row r="963" spans="15:21" ht="12.75" customHeight="1" x14ac:dyDescent="0.15">
      <c r="O963" s="30"/>
      <c r="P963" s="31"/>
      <c r="S963" s="32"/>
      <c r="T963" s="32"/>
      <c r="U963" s="32"/>
    </row>
    <row r="964" spans="15:21" ht="12.75" customHeight="1" x14ac:dyDescent="0.15">
      <c r="O964" s="30"/>
      <c r="P964" s="31"/>
      <c r="S964" s="32"/>
      <c r="T964" s="32"/>
      <c r="U964" s="32"/>
    </row>
    <row r="965" spans="15:21" ht="12.75" customHeight="1" x14ac:dyDescent="0.15">
      <c r="O965" s="30"/>
      <c r="P965" s="31"/>
      <c r="S965" s="32"/>
      <c r="T965" s="32"/>
      <c r="U965" s="32"/>
    </row>
    <row r="966" spans="15:21" ht="12.75" customHeight="1" x14ac:dyDescent="0.15">
      <c r="O966" s="30"/>
      <c r="P966" s="31"/>
      <c r="S966" s="32"/>
      <c r="T966" s="32"/>
      <c r="U966" s="32"/>
    </row>
    <row r="967" spans="15:21" ht="12.75" customHeight="1" x14ac:dyDescent="0.15">
      <c r="O967" s="30"/>
      <c r="P967" s="31"/>
      <c r="S967" s="32"/>
      <c r="T967" s="32"/>
      <c r="U967" s="32"/>
    </row>
    <row r="968" spans="15:21" ht="12.75" customHeight="1" x14ac:dyDescent="0.15">
      <c r="O968" s="30"/>
      <c r="P968" s="31"/>
      <c r="S968" s="32"/>
      <c r="T968" s="32"/>
      <c r="U968" s="32"/>
    </row>
    <row r="969" spans="15:21" ht="12.75" customHeight="1" x14ac:dyDescent="0.15">
      <c r="O969" s="30"/>
      <c r="P969" s="31"/>
      <c r="S969" s="32"/>
      <c r="T969" s="32"/>
      <c r="U969" s="32"/>
    </row>
    <row r="970" spans="15:21" ht="12.75" customHeight="1" x14ac:dyDescent="0.15">
      <c r="O970" s="30"/>
      <c r="P970" s="31"/>
      <c r="S970" s="32"/>
      <c r="T970" s="32"/>
      <c r="U970" s="32"/>
    </row>
    <row r="971" spans="15:21" ht="12.75" customHeight="1" x14ac:dyDescent="0.15">
      <c r="O971" s="30"/>
      <c r="P971" s="31"/>
      <c r="S971" s="32"/>
      <c r="T971" s="32"/>
      <c r="U971" s="32"/>
    </row>
    <row r="972" spans="15:21" ht="12.75" customHeight="1" x14ac:dyDescent="0.15">
      <c r="O972" s="30"/>
      <c r="P972" s="31"/>
      <c r="S972" s="32"/>
      <c r="T972" s="32"/>
      <c r="U972" s="32"/>
    </row>
    <row r="973" spans="15:21" ht="12.75" customHeight="1" x14ac:dyDescent="0.15">
      <c r="O973" s="30"/>
      <c r="P973" s="31"/>
      <c r="S973" s="32"/>
      <c r="T973" s="32"/>
      <c r="U973" s="32"/>
    </row>
    <row r="974" spans="15:21" ht="12.75" customHeight="1" x14ac:dyDescent="0.15">
      <c r="O974" s="30"/>
      <c r="P974" s="31"/>
      <c r="S974" s="32"/>
      <c r="T974" s="32"/>
      <c r="U974" s="32"/>
    </row>
    <row r="975" spans="15:21" ht="12.75" customHeight="1" x14ac:dyDescent="0.15">
      <c r="O975" s="30"/>
      <c r="P975" s="31"/>
      <c r="S975" s="32"/>
      <c r="T975" s="32"/>
      <c r="U975" s="32"/>
    </row>
    <row r="976" spans="15:21" ht="12.75" customHeight="1" x14ac:dyDescent="0.15">
      <c r="O976" s="30"/>
      <c r="P976" s="31"/>
      <c r="S976" s="32"/>
      <c r="T976" s="32"/>
      <c r="U976" s="32"/>
    </row>
    <row r="977" spans="15:21" ht="12.75" customHeight="1" x14ac:dyDescent="0.15">
      <c r="O977" s="30"/>
      <c r="P977" s="31"/>
      <c r="S977" s="32"/>
      <c r="T977" s="32"/>
      <c r="U977" s="32"/>
    </row>
    <row r="978" spans="15:21" ht="12.75" customHeight="1" x14ac:dyDescent="0.15">
      <c r="O978" s="30"/>
      <c r="P978" s="31"/>
      <c r="S978" s="32"/>
      <c r="T978" s="32"/>
      <c r="U978" s="32"/>
    </row>
    <row r="979" spans="15:21" ht="12.75" customHeight="1" x14ac:dyDescent="0.15">
      <c r="O979" s="30"/>
      <c r="P979" s="31"/>
      <c r="S979" s="32"/>
      <c r="T979" s="32"/>
      <c r="U979" s="32"/>
    </row>
    <row r="980" spans="15:21" ht="12.75" customHeight="1" x14ac:dyDescent="0.15">
      <c r="O980" s="30"/>
      <c r="P980" s="31"/>
      <c r="S980" s="32"/>
      <c r="T980" s="32"/>
      <c r="U980" s="32"/>
    </row>
    <row r="981" spans="15:21" ht="12.75" customHeight="1" x14ac:dyDescent="0.15">
      <c r="O981" s="30"/>
      <c r="P981" s="31"/>
      <c r="S981" s="32"/>
      <c r="T981" s="32"/>
      <c r="U981" s="32"/>
    </row>
    <row r="982" spans="15:21" ht="12.75" customHeight="1" x14ac:dyDescent="0.15">
      <c r="O982" s="30"/>
      <c r="P982" s="31"/>
      <c r="S982" s="32"/>
      <c r="T982" s="32"/>
      <c r="U982" s="32"/>
    </row>
  </sheetData>
  <autoFilter ref="A1:CA982" xr:uid="{00000000-0009-0000-0000-000000000000}"/>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79"/>
  <sheetViews>
    <sheetView showGridLines="0" workbookViewId="0"/>
  </sheetViews>
  <sheetFormatPr baseColWidth="10" defaultColWidth="14.3984375" defaultRowHeight="15" customHeight="1" x14ac:dyDescent="0.15"/>
  <sheetData>
    <row r="1" spans="1:4" ht="15" customHeight="1" x14ac:dyDescent="0.15">
      <c r="A1" s="24" t="s">
        <v>21</v>
      </c>
      <c r="B1" s="24" t="s">
        <v>2253</v>
      </c>
      <c r="C1" s="24" t="s">
        <v>12</v>
      </c>
      <c r="D1" s="24" t="s">
        <v>2254</v>
      </c>
    </row>
    <row r="2" spans="1:4" ht="15" customHeight="1" x14ac:dyDescent="0.15">
      <c r="A2" s="24" t="s">
        <v>2255</v>
      </c>
      <c r="B2" s="31">
        <v>1097</v>
      </c>
      <c r="C2" s="31">
        <v>1103</v>
      </c>
      <c r="D2" s="24">
        <v>3</v>
      </c>
    </row>
    <row r="3" spans="1:4" ht="15" customHeight="1" x14ac:dyDescent="0.15">
      <c r="A3" s="24"/>
      <c r="B3" s="24" t="s">
        <v>2256</v>
      </c>
      <c r="C3" s="24"/>
      <c r="D3" s="24">
        <v>3</v>
      </c>
    </row>
    <row r="4" spans="1:4" ht="15" customHeight="1" x14ac:dyDescent="0.15">
      <c r="A4" s="24"/>
      <c r="B4" s="31">
        <v>1044</v>
      </c>
      <c r="C4" s="31">
        <v>1012</v>
      </c>
      <c r="D4" s="24">
        <v>2</v>
      </c>
    </row>
    <row r="5" spans="1:4" ht="15" customHeight="1" x14ac:dyDescent="0.15">
      <c r="A5" s="24"/>
      <c r="B5" s="24" t="s">
        <v>2257</v>
      </c>
      <c r="C5" s="24"/>
      <c r="D5" s="24">
        <v>2</v>
      </c>
    </row>
    <row r="6" spans="1:4" ht="15" customHeight="1" x14ac:dyDescent="0.15">
      <c r="A6" s="24"/>
      <c r="B6" s="31">
        <v>1008</v>
      </c>
      <c r="C6" s="31">
        <v>1012</v>
      </c>
      <c r="D6" s="24">
        <v>1</v>
      </c>
    </row>
    <row r="7" spans="1:4" ht="15" customHeight="1" x14ac:dyDescent="0.15">
      <c r="A7" s="24"/>
      <c r="B7" s="24" t="s">
        <v>2258</v>
      </c>
      <c r="C7" s="24"/>
      <c r="D7" s="24">
        <v>1</v>
      </c>
    </row>
    <row r="8" spans="1:4" ht="15" customHeight="1" x14ac:dyDescent="0.15">
      <c r="A8" s="24" t="s">
        <v>2259</v>
      </c>
      <c r="B8" s="24"/>
      <c r="C8" s="24"/>
      <c r="D8" s="24">
        <v>6</v>
      </c>
    </row>
    <row r="9" spans="1:4" ht="15" customHeight="1" x14ac:dyDescent="0.15">
      <c r="A9" s="24" t="s">
        <v>1075</v>
      </c>
      <c r="B9" s="31">
        <v>2413</v>
      </c>
      <c r="C9" s="31">
        <v>1138</v>
      </c>
      <c r="D9" s="24">
        <v>3</v>
      </c>
    </row>
    <row r="10" spans="1:4" ht="15" customHeight="1" x14ac:dyDescent="0.15">
      <c r="A10" s="24"/>
      <c r="B10" s="24" t="s">
        <v>2260</v>
      </c>
      <c r="C10" s="24"/>
      <c r="D10" s="24">
        <v>3</v>
      </c>
    </row>
    <row r="11" spans="1:4" ht="15" customHeight="1" x14ac:dyDescent="0.15">
      <c r="A11" s="24"/>
      <c r="B11" s="31">
        <v>2403</v>
      </c>
      <c r="C11" s="31">
        <v>2496</v>
      </c>
      <c r="D11" s="24">
        <v>2</v>
      </c>
    </row>
    <row r="12" spans="1:4" ht="15" customHeight="1" x14ac:dyDescent="0.15">
      <c r="A12" s="24"/>
      <c r="B12" s="24" t="s">
        <v>2261</v>
      </c>
      <c r="C12" s="24"/>
      <c r="D12" s="24">
        <v>2</v>
      </c>
    </row>
    <row r="13" spans="1:4" ht="15" customHeight="1" x14ac:dyDescent="0.15">
      <c r="A13" s="24"/>
      <c r="B13" s="31">
        <v>2501</v>
      </c>
      <c r="C13" s="31">
        <v>2496</v>
      </c>
      <c r="D13" s="24">
        <v>1</v>
      </c>
    </row>
    <row r="14" spans="1:4" ht="15" customHeight="1" x14ac:dyDescent="0.15">
      <c r="A14" s="24"/>
      <c r="B14" s="24" t="s">
        <v>2262</v>
      </c>
      <c r="C14" s="24"/>
      <c r="D14" s="24">
        <v>1</v>
      </c>
    </row>
    <row r="15" spans="1:4" ht="15" customHeight="1" x14ac:dyDescent="0.15">
      <c r="A15" s="24" t="s">
        <v>2263</v>
      </c>
      <c r="B15" s="24"/>
      <c r="C15" s="24"/>
      <c r="D15" s="24">
        <v>6</v>
      </c>
    </row>
    <row r="16" spans="1:4" ht="15" customHeight="1" x14ac:dyDescent="0.15">
      <c r="A16" s="24" t="s">
        <v>2264</v>
      </c>
      <c r="B16" s="31">
        <v>1146</v>
      </c>
      <c r="C16" s="31">
        <v>1108</v>
      </c>
      <c r="D16" s="24">
        <v>2</v>
      </c>
    </row>
    <row r="17" spans="1:4" ht="15" customHeight="1" x14ac:dyDescent="0.15">
      <c r="A17" s="24"/>
      <c r="B17" s="24" t="s">
        <v>2265</v>
      </c>
      <c r="C17" s="24"/>
      <c r="D17" s="24">
        <v>2</v>
      </c>
    </row>
    <row r="18" spans="1:4" ht="15" customHeight="1" x14ac:dyDescent="0.15">
      <c r="A18" s="24"/>
      <c r="B18" s="31">
        <v>2607</v>
      </c>
      <c r="C18" s="31">
        <v>2653</v>
      </c>
      <c r="D18" s="24">
        <v>1</v>
      </c>
    </row>
    <row r="19" spans="1:4" ht="15" customHeight="1" x14ac:dyDescent="0.15">
      <c r="A19" s="24"/>
      <c r="B19" s="24" t="s">
        <v>2266</v>
      </c>
      <c r="C19" s="24"/>
      <c r="D19" s="24">
        <v>1</v>
      </c>
    </row>
    <row r="20" spans="1:4" ht="15" customHeight="1" x14ac:dyDescent="0.15">
      <c r="A20" s="24"/>
      <c r="B20" s="31">
        <v>1135</v>
      </c>
      <c r="C20" s="31">
        <v>2409</v>
      </c>
      <c r="D20" s="24">
        <v>1</v>
      </c>
    </row>
    <row r="21" spans="1:4" ht="15" customHeight="1" x14ac:dyDescent="0.15">
      <c r="A21" s="24"/>
      <c r="B21" s="24" t="s">
        <v>2267</v>
      </c>
      <c r="C21" s="24"/>
      <c r="D21" s="24">
        <v>1</v>
      </c>
    </row>
    <row r="22" spans="1:4" ht="15" customHeight="1" x14ac:dyDescent="0.15">
      <c r="A22" s="24"/>
      <c r="B22" s="31">
        <v>1060</v>
      </c>
      <c r="C22" s="31">
        <v>1057</v>
      </c>
      <c r="D22" s="24">
        <v>1</v>
      </c>
    </row>
    <row r="23" spans="1:4" ht="15" customHeight="1" x14ac:dyDescent="0.15">
      <c r="A23" s="24"/>
      <c r="B23" s="24" t="s">
        <v>2268</v>
      </c>
      <c r="C23" s="24"/>
      <c r="D23" s="24">
        <v>1</v>
      </c>
    </row>
    <row r="24" spans="1:4" ht="15" customHeight="1" x14ac:dyDescent="0.15">
      <c r="A24" s="24" t="s">
        <v>2269</v>
      </c>
      <c r="B24" s="24"/>
      <c r="C24" s="24"/>
      <c r="D24" s="24">
        <v>5</v>
      </c>
    </row>
    <row r="25" spans="1:4" ht="15" customHeight="1" x14ac:dyDescent="0.15">
      <c r="A25" s="24" t="s">
        <v>2270</v>
      </c>
      <c r="B25" s="31">
        <v>1124</v>
      </c>
      <c r="C25" s="31">
        <v>1125</v>
      </c>
      <c r="D25" s="24">
        <v>5</v>
      </c>
    </row>
    <row r="26" spans="1:4" ht="15" customHeight="1" x14ac:dyDescent="0.15">
      <c r="A26" s="24"/>
      <c r="B26" s="24" t="s">
        <v>2271</v>
      </c>
      <c r="C26" s="24"/>
      <c r="D26" s="24">
        <v>5</v>
      </c>
    </row>
    <row r="27" spans="1:4" ht="15" customHeight="1" x14ac:dyDescent="0.15">
      <c r="A27" s="24" t="s">
        <v>2272</v>
      </c>
      <c r="B27" s="24"/>
      <c r="C27" s="24"/>
      <c r="D27" s="24">
        <v>5</v>
      </c>
    </row>
    <row r="28" spans="1:4" ht="15" customHeight="1" x14ac:dyDescent="0.15">
      <c r="A28" s="24" t="s">
        <v>2273</v>
      </c>
      <c r="B28" s="31">
        <v>1054</v>
      </c>
      <c r="C28" s="31">
        <v>1051</v>
      </c>
      <c r="D28" s="24">
        <v>3</v>
      </c>
    </row>
    <row r="29" spans="1:4" ht="15" customHeight="1" x14ac:dyDescent="0.15">
      <c r="A29" s="24"/>
      <c r="B29" s="24" t="s">
        <v>2274</v>
      </c>
      <c r="C29" s="24"/>
      <c r="D29" s="24">
        <v>3</v>
      </c>
    </row>
    <row r="30" spans="1:4" ht="15" customHeight="1" x14ac:dyDescent="0.15">
      <c r="A30" s="24"/>
      <c r="B30" s="31">
        <v>2626</v>
      </c>
      <c r="C30" s="31">
        <v>2631</v>
      </c>
      <c r="D30" s="24">
        <v>1</v>
      </c>
    </row>
    <row r="31" spans="1:4" ht="15" customHeight="1" x14ac:dyDescent="0.15">
      <c r="A31" s="24"/>
      <c r="B31" s="24" t="s">
        <v>2275</v>
      </c>
      <c r="C31" s="24"/>
      <c r="D31" s="24">
        <v>1</v>
      </c>
    </row>
    <row r="32" spans="1:4" ht="15" customHeight="1" x14ac:dyDescent="0.15">
      <c r="A32" s="24" t="s">
        <v>2276</v>
      </c>
      <c r="B32" s="24"/>
      <c r="C32" s="24"/>
      <c r="D32" s="24">
        <v>4</v>
      </c>
    </row>
    <row r="33" spans="1:4" ht="15" customHeight="1" x14ac:dyDescent="0.15">
      <c r="A33" s="24" t="s">
        <v>2277</v>
      </c>
      <c r="B33" s="31">
        <v>1043</v>
      </c>
      <c r="C33" s="31">
        <v>1064</v>
      </c>
      <c r="D33" s="24">
        <v>2</v>
      </c>
    </row>
    <row r="34" spans="1:4" ht="15" customHeight="1" x14ac:dyDescent="0.15">
      <c r="A34" s="24"/>
      <c r="B34" s="24" t="s">
        <v>2278</v>
      </c>
      <c r="C34" s="24"/>
      <c r="D34" s="24">
        <v>2</v>
      </c>
    </row>
    <row r="35" spans="1:4" ht="15" customHeight="1" x14ac:dyDescent="0.15">
      <c r="A35" s="24"/>
      <c r="B35" s="31">
        <v>1127</v>
      </c>
      <c r="C35" s="31">
        <v>1102</v>
      </c>
      <c r="D35" s="24">
        <v>1</v>
      </c>
    </row>
    <row r="36" spans="1:4" ht="15" customHeight="1" x14ac:dyDescent="0.15">
      <c r="A36" s="24"/>
      <c r="B36" s="24" t="s">
        <v>2279</v>
      </c>
      <c r="C36" s="24"/>
      <c r="D36" s="24">
        <v>1</v>
      </c>
    </row>
    <row r="37" spans="1:4" ht="15" customHeight="1" x14ac:dyDescent="0.15">
      <c r="A37" s="24" t="s">
        <v>2280</v>
      </c>
      <c r="B37" s="24"/>
      <c r="C37" s="24"/>
      <c r="D37" s="24">
        <v>3</v>
      </c>
    </row>
    <row r="38" spans="1:4" ht="15" customHeight="1" x14ac:dyDescent="0.15">
      <c r="A38" s="24" t="s">
        <v>1535</v>
      </c>
      <c r="B38" s="31">
        <v>2436</v>
      </c>
      <c r="C38" s="31">
        <v>1130</v>
      </c>
      <c r="D38" s="24">
        <v>3</v>
      </c>
    </row>
    <row r="39" spans="1:4" ht="15" customHeight="1" x14ac:dyDescent="0.15">
      <c r="A39" s="24"/>
      <c r="B39" s="24" t="s">
        <v>2281</v>
      </c>
      <c r="C39" s="24"/>
      <c r="D39" s="24">
        <v>3</v>
      </c>
    </row>
    <row r="40" spans="1:4" ht="15" customHeight="1" x14ac:dyDescent="0.15">
      <c r="A40" s="24" t="s">
        <v>2282</v>
      </c>
      <c r="B40" s="24"/>
      <c r="C40" s="24"/>
      <c r="D40" s="24">
        <v>3</v>
      </c>
    </row>
    <row r="41" spans="1:4" ht="15" customHeight="1" x14ac:dyDescent="0.15">
      <c r="A41" s="24" t="s">
        <v>1393</v>
      </c>
      <c r="B41" s="31">
        <v>2640</v>
      </c>
      <c r="C41" s="31">
        <v>2623</v>
      </c>
      <c r="D41" s="24">
        <v>2</v>
      </c>
    </row>
    <row r="42" spans="1:4" ht="15" customHeight="1" x14ac:dyDescent="0.15">
      <c r="A42" s="24"/>
      <c r="B42" s="24" t="s">
        <v>2283</v>
      </c>
      <c r="C42" s="24"/>
      <c r="D42" s="24">
        <v>2</v>
      </c>
    </row>
    <row r="43" spans="1:4" ht="15" customHeight="1" x14ac:dyDescent="0.15">
      <c r="A43" s="24"/>
      <c r="B43" s="31">
        <v>2423</v>
      </c>
      <c r="C43" s="31">
        <v>2417</v>
      </c>
      <c r="D43" s="24">
        <v>1</v>
      </c>
    </row>
    <row r="44" spans="1:4" ht="15" customHeight="1" x14ac:dyDescent="0.15">
      <c r="A44" s="24"/>
      <c r="B44" s="24" t="s">
        <v>2284</v>
      </c>
      <c r="C44" s="24"/>
      <c r="D44" s="24">
        <v>1</v>
      </c>
    </row>
    <row r="45" spans="1:4" ht="15" customHeight="1" x14ac:dyDescent="0.15">
      <c r="A45" s="24" t="s">
        <v>2285</v>
      </c>
      <c r="B45" s="24"/>
      <c r="C45" s="24"/>
      <c r="D45" s="24">
        <v>3</v>
      </c>
    </row>
    <row r="46" spans="1:4" ht="15" customHeight="1" x14ac:dyDescent="0.15">
      <c r="A46" s="24" t="s">
        <v>2286</v>
      </c>
      <c r="B46" s="31">
        <v>2418</v>
      </c>
      <c r="C46" s="31">
        <v>2208</v>
      </c>
      <c r="D46" s="24">
        <v>3</v>
      </c>
    </row>
    <row r="47" spans="1:4" ht="15" customHeight="1" x14ac:dyDescent="0.15">
      <c r="A47" s="24"/>
      <c r="B47" s="24" t="s">
        <v>2287</v>
      </c>
      <c r="C47" s="24"/>
      <c r="D47" s="24">
        <v>3</v>
      </c>
    </row>
    <row r="48" spans="1:4" ht="15" customHeight="1" x14ac:dyDescent="0.15">
      <c r="A48" s="24" t="s">
        <v>2288</v>
      </c>
      <c r="B48" s="24"/>
      <c r="C48" s="24"/>
      <c r="D48" s="24">
        <v>3</v>
      </c>
    </row>
    <row r="49" spans="1:4" ht="15" customHeight="1" x14ac:dyDescent="0.15">
      <c r="A49" s="24" t="s">
        <v>2289</v>
      </c>
      <c r="B49" s="31">
        <v>2642</v>
      </c>
      <c r="C49" s="31">
        <v>2639</v>
      </c>
      <c r="D49" s="24">
        <v>2</v>
      </c>
    </row>
    <row r="50" spans="1:4" ht="15" customHeight="1" x14ac:dyDescent="0.15">
      <c r="A50" s="24"/>
      <c r="B50" s="24" t="s">
        <v>2290</v>
      </c>
      <c r="C50" s="24"/>
      <c r="D50" s="24">
        <v>2</v>
      </c>
    </row>
    <row r="51" spans="1:4" ht="15" customHeight="1" x14ac:dyDescent="0.15">
      <c r="A51" s="24"/>
      <c r="B51" s="31">
        <v>2659</v>
      </c>
      <c r="C51" s="31">
        <v>2639</v>
      </c>
      <c r="D51" s="24">
        <v>1</v>
      </c>
    </row>
    <row r="52" spans="1:4" ht="15" customHeight="1" x14ac:dyDescent="0.15">
      <c r="A52" s="24"/>
      <c r="B52" s="24" t="s">
        <v>2291</v>
      </c>
      <c r="C52" s="24"/>
      <c r="D52" s="24">
        <v>1</v>
      </c>
    </row>
    <row r="53" spans="1:4" ht="15" customHeight="1" x14ac:dyDescent="0.15">
      <c r="A53" s="24" t="s">
        <v>2292</v>
      </c>
      <c r="B53" s="24"/>
      <c r="C53" s="24"/>
      <c r="D53" s="24">
        <v>3</v>
      </c>
    </row>
    <row r="54" spans="1:4" ht="15" customHeight="1" x14ac:dyDescent="0.15">
      <c r="A54" s="24" t="s">
        <v>2293</v>
      </c>
      <c r="B54" s="31">
        <v>2340</v>
      </c>
      <c r="C54" s="31">
        <v>2338</v>
      </c>
      <c r="D54" s="24">
        <v>3</v>
      </c>
    </row>
    <row r="55" spans="1:4" ht="15" customHeight="1" x14ac:dyDescent="0.15">
      <c r="A55" s="24"/>
      <c r="B55" s="24" t="s">
        <v>2294</v>
      </c>
      <c r="C55" s="24"/>
      <c r="D55" s="24">
        <v>3</v>
      </c>
    </row>
    <row r="56" spans="1:4" ht="15" customHeight="1" x14ac:dyDescent="0.15">
      <c r="A56" s="24" t="s">
        <v>2295</v>
      </c>
      <c r="B56" s="24"/>
      <c r="C56" s="24"/>
      <c r="D56" s="24">
        <v>3</v>
      </c>
    </row>
    <row r="57" spans="1:4" ht="15" customHeight="1" x14ac:dyDescent="0.15">
      <c r="A57" s="24" t="s">
        <v>992</v>
      </c>
      <c r="B57" s="31">
        <v>2400</v>
      </c>
      <c r="C57" s="31">
        <v>2408</v>
      </c>
      <c r="D57" s="24">
        <v>2</v>
      </c>
    </row>
    <row r="58" spans="1:4" ht="15" customHeight="1" x14ac:dyDescent="0.15">
      <c r="A58" s="24"/>
      <c r="B58" s="24" t="s">
        <v>2296</v>
      </c>
      <c r="C58" s="24"/>
      <c r="D58" s="24">
        <v>2</v>
      </c>
    </row>
    <row r="59" spans="1:4" ht="15" customHeight="1" x14ac:dyDescent="0.15">
      <c r="A59" s="24"/>
      <c r="B59" s="31">
        <v>2608</v>
      </c>
      <c r="C59" s="31">
        <v>2667</v>
      </c>
      <c r="D59" s="24">
        <v>1</v>
      </c>
    </row>
    <row r="60" spans="1:4" ht="15" customHeight="1" x14ac:dyDescent="0.15">
      <c r="A60" s="24"/>
      <c r="B60" s="24" t="s">
        <v>2297</v>
      </c>
      <c r="C60" s="24"/>
      <c r="D60" s="24">
        <v>1</v>
      </c>
    </row>
    <row r="61" spans="1:4" ht="15" customHeight="1" x14ac:dyDescent="0.15">
      <c r="A61" s="24" t="s">
        <v>2298</v>
      </c>
      <c r="B61" s="24"/>
      <c r="C61" s="24"/>
      <c r="D61" s="24">
        <v>3</v>
      </c>
    </row>
    <row r="62" spans="1:4" ht="15" customHeight="1" x14ac:dyDescent="0.15">
      <c r="A62" s="24" t="s">
        <v>2299</v>
      </c>
      <c r="B62" s="31">
        <v>1143</v>
      </c>
      <c r="C62" s="31">
        <v>2402</v>
      </c>
      <c r="D62" s="24">
        <v>1</v>
      </c>
    </row>
    <row r="63" spans="1:4" ht="15" customHeight="1" x14ac:dyDescent="0.15">
      <c r="A63" s="24"/>
      <c r="B63" s="24" t="s">
        <v>2300</v>
      </c>
      <c r="C63" s="24"/>
      <c r="D63" s="24">
        <v>1</v>
      </c>
    </row>
    <row r="64" spans="1:4" ht="15" customHeight="1" x14ac:dyDescent="0.15">
      <c r="A64" s="24"/>
      <c r="B64" s="31">
        <v>1079</v>
      </c>
      <c r="C64" s="31">
        <v>1056</v>
      </c>
      <c r="D64" s="24">
        <v>1</v>
      </c>
    </row>
    <row r="65" spans="1:4" ht="15" customHeight="1" x14ac:dyDescent="0.15">
      <c r="A65" s="24"/>
      <c r="B65" s="24" t="s">
        <v>2301</v>
      </c>
      <c r="C65" s="24"/>
      <c r="D65" s="24">
        <v>1</v>
      </c>
    </row>
    <row r="66" spans="1:4" ht="15" customHeight="1" x14ac:dyDescent="0.15">
      <c r="A66" s="24" t="s">
        <v>2302</v>
      </c>
      <c r="B66" s="24"/>
      <c r="C66" s="24"/>
      <c r="D66" s="24">
        <v>2</v>
      </c>
    </row>
    <row r="67" spans="1:4" ht="15" customHeight="1" x14ac:dyDescent="0.15">
      <c r="A67" s="24" t="s">
        <v>2303</v>
      </c>
      <c r="B67" s="31">
        <v>2416</v>
      </c>
      <c r="C67" s="31">
        <v>2415</v>
      </c>
      <c r="D67" s="24">
        <v>2</v>
      </c>
    </row>
    <row r="68" spans="1:4" ht="15" customHeight="1" x14ac:dyDescent="0.15">
      <c r="A68" s="24"/>
      <c r="B68" s="24" t="s">
        <v>2304</v>
      </c>
      <c r="C68" s="24"/>
      <c r="D68" s="24">
        <v>2</v>
      </c>
    </row>
    <row r="69" spans="1:4" ht="15" customHeight="1" x14ac:dyDescent="0.15">
      <c r="A69" s="24" t="s">
        <v>2305</v>
      </c>
      <c r="B69" s="24"/>
      <c r="C69" s="24"/>
      <c r="D69" s="24">
        <v>2</v>
      </c>
    </row>
    <row r="70" spans="1:4" ht="15" customHeight="1" x14ac:dyDescent="0.15">
      <c r="A70" s="24" t="s">
        <v>2306</v>
      </c>
      <c r="B70" s="31">
        <v>2411</v>
      </c>
      <c r="C70" s="31">
        <v>1142</v>
      </c>
      <c r="D70" s="24">
        <v>2</v>
      </c>
    </row>
    <row r="71" spans="1:4" ht="15" customHeight="1" x14ac:dyDescent="0.15">
      <c r="A71" s="24"/>
      <c r="B71" s="24" t="s">
        <v>2307</v>
      </c>
      <c r="C71" s="24"/>
      <c r="D71" s="24">
        <v>2</v>
      </c>
    </row>
    <row r="72" spans="1:4" ht="15" customHeight="1" x14ac:dyDescent="0.15">
      <c r="A72" s="24" t="s">
        <v>2308</v>
      </c>
      <c r="B72" s="24"/>
      <c r="C72" s="24"/>
      <c r="D72" s="24">
        <v>2</v>
      </c>
    </row>
    <row r="73" spans="1:4" ht="15" customHeight="1" x14ac:dyDescent="0.15">
      <c r="A73" s="24" t="s">
        <v>2309</v>
      </c>
      <c r="B73" s="31">
        <v>1145</v>
      </c>
      <c r="C73" s="31">
        <v>1121</v>
      </c>
      <c r="D73" s="24">
        <v>1</v>
      </c>
    </row>
    <row r="74" spans="1:4" ht="15" customHeight="1" x14ac:dyDescent="0.15">
      <c r="A74" s="24"/>
      <c r="B74" s="24" t="s">
        <v>2310</v>
      </c>
      <c r="C74" s="24"/>
      <c r="D74" s="24">
        <v>1</v>
      </c>
    </row>
    <row r="75" spans="1:4" ht="15" customHeight="1" x14ac:dyDescent="0.15">
      <c r="A75" s="24" t="s">
        <v>2311</v>
      </c>
      <c r="B75" s="24"/>
      <c r="C75" s="24"/>
      <c r="D75" s="24">
        <v>1</v>
      </c>
    </row>
    <row r="76" spans="1:4" ht="15" customHeight="1" x14ac:dyDescent="0.15">
      <c r="A76" s="24" t="s">
        <v>1074</v>
      </c>
      <c r="B76" s="31">
        <v>1036</v>
      </c>
      <c r="C76" s="31">
        <v>1032</v>
      </c>
      <c r="D76" s="24">
        <v>1</v>
      </c>
    </row>
    <row r="77" spans="1:4" ht="15" customHeight="1" x14ac:dyDescent="0.15">
      <c r="A77" s="24"/>
      <c r="B77" s="24" t="s">
        <v>2312</v>
      </c>
      <c r="C77" s="24"/>
      <c r="D77" s="24">
        <v>1</v>
      </c>
    </row>
    <row r="78" spans="1:4" ht="15" customHeight="1" x14ac:dyDescent="0.15">
      <c r="A78" s="24" t="s">
        <v>2313</v>
      </c>
      <c r="B78" s="24"/>
      <c r="C78" s="24"/>
      <c r="D78" s="24">
        <v>1</v>
      </c>
    </row>
    <row r="79" spans="1:4" ht="15" customHeight="1" x14ac:dyDescent="0.15">
      <c r="A79" s="24" t="s">
        <v>2314</v>
      </c>
      <c r="B79" s="24"/>
      <c r="C79" s="24"/>
      <c r="D79" s="24">
        <v>55</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2"/>
  <sheetViews>
    <sheetView showGridLines="0" workbookViewId="0"/>
  </sheetViews>
  <sheetFormatPr baseColWidth="10" defaultColWidth="14.3984375" defaultRowHeight="15" customHeight="1" x14ac:dyDescent="0.15"/>
  <sheetData>
    <row r="1" spans="1:4" ht="15" customHeight="1" x14ac:dyDescent="0.15">
      <c r="A1" s="24" t="s">
        <v>2253</v>
      </c>
      <c r="B1" s="24" t="s">
        <v>12</v>
      </c>
      <c r="C1" s="24" t="s">
        <v>21</v>
      </c>
      <c r="D1" s="24" t="s">
        <v>2254</v>
      </c>
    </row>
    <row r="2" spans="1:4" ht="15" customHeight="1" x14ac:dyDescent="0.15">
      <c r="A2" s="31">
        <v>1008</v>
      </c>
      <c r="B2" s="31">
        <v>1012</v>
      </c>
      <c r="C2" s="24" t="s">
        <v>2255</v>
      </c>
      <c r="D2" s="24">
        <v>1</v>
      </c>
    </row>
    <row r="3" spans="1:4" ht="15" customHeight="1" x14ac:dyDescent="0.15">
      <c r="A3" s="31">
        <v>1044</v>
      </c>
      <c r="B3" s="31">
        <v>1012</v>
      </c>
      <c r="C3" s="24" t="s">
        <v>2255</v>
      </c>
      <c r="D3" s="24">
        <v>2</v>
      </c>
    </row>
    <row r="4" spans="1:4" ht="15" customHeight="1" x14ac:dyDescent="0.15">
      <c r="A4" s="31">
        <v>1036</v>
      </c>
      <c r="B4" s="31">
        <v>1032</v>
      </c>
      <c r="C4" s="24" t="s">
        <v>1074</v>
      </c>
      <c r="D4" s="24">
        <v>1</v>
      </c>
    </row>
    <row r="5" spans="1:4" ht="15" customHeight="1" x14ac:dyDescent="0.15">
      <c r="A5" s="31">
        <v>1054</v>
      </c>
      <c r="B5" s="31">
        <v>1051</v>
      </c>
      <c r="C5" s="24" t="s">
        <v>2273</v>
      </c>
      <c r="D5" s="24">
        <v>3</v>
      </c>
    </row>
    <row r="6" spans="1:4" ht="15" customHeight="1" x14ac:dyDescent="0.15">
      <c r="A6" s="31">
        <v>1079</v>
      </c>
      <c r="B6" s="31">
        <v>1056</v>
      </c>
      <c r="C6" s="24" t="s">
        <v>2299</v>
      </c>
      <c r="D6" s="24">
        <v>1</v>
      </c>
    </row>
    <row r="7" spans="1:4" ht="15" customHeight="1" x14ac:dyDescent="0.15">
      <c r="A7" s="31">
        <v>1060</v>
      </c>
      <c r="B7" s="31">
        <v>1057</v>
      </c>
      <c r="C7" s="24" t="s">
        <v>2264</v>
      </c>
      <c r="D7" s="24">
        <v>1</v>
      </c>
    </row>
    <row r="8" spans="1:4" ht="15" customHeight="1" x14ac:dyDescent="0.15">
      <c r="A8" s="31">
        <v>1043</v>
      </c>
      <c r="B8" s="31">
        <v>1064</v>
      </c>
      <c r="C8" s="24" t="s">
        <v>2277</v>
      </c>
      <c r="D8" s="24">
        <v>2</v>
      </c>
    </row>
    <row r="9" spans="1:4" ht="15" customHeight="1" x14ac:dyDescent="0.15">
      <c r="A9" s="31">
        <v>1127</v>
      </c>
      <c r="B9" s="31">
        <v>1102</v>
      </c>
      <c r="C9" s="24" t="s">
        <v>2277</v>
      </c>
      <c r="D9" s="24">
        <v>1</v>
      </c>
    </row>
    <row r="10" spans="1:4" ht="15" customHeight="1" x14ac:dyDescent="0.15">
      <c r="A10" s="31">
        <v>1097</v>
      </c>
      <c r="B10" s="31">
        <v>1103</v>
      </c>
      <c r="C10" s="24" t="s">
        <v>2255</v>
      </c>
      <c r="D10" s="24">
        <v>3</v>
      </c>
    </row>
    <row r="11" spans="1:4" ht="15" customHeight="1" x14ac:dyDescent="0.15">
      <c r="A11" s="31">
        <v>1146</v>
      </c>
      <c r="B11" s="31">
        <v>1108</v>
      </c>
      <c r="C11" s="24" t="s">
        <v>2264</v>
      </c>
      <c r="D11" s="24">
        <v>2</v>
      </c>
    </row>
    <row r="12" spans="1:4" ht="15" customHeight="1" x14ac:dyDescent="0.15">
      <c r="A12" s="31">
        <v>1145</v>
      </c>
      <c r="B12" s="31">
        <v>1121</v>
      </c>
      <c r="C12" s="24" t="s">
        <v>2309</v>
      </c>
      <c r="D12" s="24">
        <v>1</v>
      </c>
    </row>
    <row r="13" spans="1:4" ht="15" customHeight="1" x14ac:dyDescent="0.15">
      <c r="A13" s="31">
        <v>1124</v>
      </c>
      <c r="B13" s="31">
        <v>1125</v>
      </c>
      <c r="C13" s="24" t="s">
        <v>2270</v>
      </c>
      <c r="D13" s="24">
        <v>5</v>
      </c>
    </row>
    <row r="14" spans="1:4" ht="15" customHeight="1" x14ac:dyDescent="0.15">
      <c r="A14" s="31">
        <v>2436</v>
      </c>
      <c r="B14" s="31">
        <v>1130</v>
      </c>
      <c r="C14" s="24" t="s">
        <v>1535</v>
      </c>
      <c r="D14" s="24">
        <v>3</v>
      </c>
    </row>
    <row r="15" spans="1:4" ht="15" customHeight="1" x14ac:dyDescent="0.15">
      <c r="A15" s="31">
        <v>2413</v>
      </c>
      <c r="B15" s="31">
        <v>1138</v>
      </c>
      <c r="C15" s="24" t="s">
        <v>1075</v>
      </c>
      <c r="D15" s="24">
        <v>3</v>
      </c>
    </row>
    <row r="16" spans="1:4" ht="15" customHeight="1" x14ac:dyDescent="0.15">
      <c r="A16" s="31">
        <v>2411</v>
      </c>
      <c r="B16" s="31">
        <v>1142</v>
      </c>
      <c r="C16" s="24" t="s">
        <v>2306</v>
      </c>
      <c r="D16" s="24">
        <v>2</v>
      </c>
    </row>
    <row r="17" spans="1:4" ht="15" customHeight="1" x14ac:dyDescent="0.15">
      <c r="A17" s="31">
        <v>2418</v>
      </c>
      <c r="B17" s="31">
        <v>2208</v>
      </c>
      <c r="C17" s="24" t="s">
        <v>2286</v>
      </c>
      <c r="D17" s="24">
        <v>3</v>
      </c>
    </row>
    <row r="18" spans="1:4" ht="15" customHeight="1" x14ac:dyDescent="0.15">
      <c r="A18" s="31">
        <v>2340</v>
      </c>
      <c r="B18" s="31">
        <v>2338</v>
      </c>
      <c r="C18" s="24" t="s">
        <v>2293</v>
      </c>
      <c r="D18" s="24">
        <v>3</v>
      </c>
    </row>
    <row r="19" spans="1:4" ht="15" customHeight="1" x14ac:dyDescent="0.15">
      <c r="A19" s="31">
        <v>1143</v>
      </c>
      <c r="B19" s="31">
        <v>2402</v>
      </c>
      <c r="C19" s="24" t="s">
        <v>2299</v>
      </c>
      <c r="D19" s="24">
        <v>1</v>
      </c>
    </row>
    <row r="20" spans="1:4" ht="15" customHeight="1" x14ac:dyDescent="0.15">
      <c r="A20" s="31">
        <v>2400</v>
      </c>
      <c r="B20" s="31">
        <v>2408</v>
      </c>
      <c r="C20" s="24" t="s">
        <v>992</v>
      </c>
      <c r="D20" s="24">
        <v>2</v>
      </c>
    </row>
    <row r="21" spans="1:4" ht="15" customHeight="1" x14ac:dyDescent="0.15">
      <c r="A21" s="31">
        <v>1135</v>
      </c>
      <c r="B21" s="31">
        <v>2409</v>
      </c>
      <c r="C21" s="24" t="s">
        <v>2264</v>
      </c>
      <c r="D21" s="24">
        <v>1</v>
      </c>
    </row>
    <row r="22" spans="1:4" ht="15" customHeight="1" x14ac:dyDescent="0.15">
      <c r="A22" s="31">
        <v>2416</v>
      </c>
      <c r="B22" s="31">
        <v>2415</v>
      </c>
      <c r="C22" s="24" t="s">
        <v>2303</v>
      </c>
      <c r="D22" s="24">
        <v>2</v>
      </c>
    </row>
    <row r="23" spans="1:4" ht="15" customHeight="1" x14ac:dyDescent="0.15">
      <c r="A23" s="31">
        <v>2423</v>
      </c>
      <c r="B23" s="31">
        <v>2417</v>
      </c>
      <c r="C23" s="24" t="s">
        <v>1393</v>
      </c>
      <c r="D23" s="24">
        <v>1</v>
      </c>
    </row>
    <row r="24" spans="1:4" ht="15" customHeight="1" x14ac:dyDescent="0.15">
      <c r="A24" s="31">
        <v>2403</v>
      </c>
      <c r="B24" s="31">
        <v>2496</v>
      </c>
      <c r="C24" s="24" t="s">
        <v>1075</v>
      </c>
      <c r="D24" s="24">
        <v>2</v>
      </c>
    </row>
    <row r="25" spans="1:4" ht="15" customHeight="1" x14ac:dyDescent="0.15">
      <c r="A25" s="31">
        <v>2501</v>
      </c>
      <c r="B25" s="31">
        <v>2496</v>
      </c>
      <c r="C25" s="24" t="s">
        <v>1075</v>
      </c>
      <c r="D25" s="24">
        <v>1</v>
      </c>
    </row>
    <row r="26" spans="1:4" ht="15" customHeight="1" x14ac:dyDescent="0.15">
      <c r="A26" s="31">
        <v>2640</v>
      </c>
      <c r="B26" s="31">
        <v>2623</v>
      </c>
      <c r="C26" s="24" t="s">
        <v>1393</v>
      </c>
      <c r="D26" s="24">
        <v>2</v>
      </c>
    </row>
    <row r="27" spans="1:4" ht="15" customHeight="1" x14ac:dyDescent="0.15">
      <c r="A27" s="31">
        <v>2626</v>
      </c>
      <c r="B27" s="31">
        <v>2631</v>
      </c>
      <c r="C27" s="24" t="s">
        <v>2273</v>
      </c>
      <c r="D27" s="24">
        <v>1</v>
      </c>
    </row>
    <row r="28" spans="1:4" ht="15" customHeight="1" x14ac:dyDescent="0.15">
      <c r="A28" s="31">
        <v>2642</v>
      </c>
      <c r="B28" s="31">
        <v>2639</v>
      </c>
      <c r="C28" s="24" t="s">
        <v>2289</v>
      </c>
      <c r="D28" s="24">
        <v>2</v>
      </c>
    </row>
    <row r="29" spans="1:4" ht="15" customHeight="1" x14ac:dyDescent="0.15">
      <c r="A29" s="31">
        <v>2659</v>
      </c>
      <c r="B29" s="31">
        <v>2639</v>
      </c>
      <c r="C29" s="24" t="s">
        <v>2289</v>
      </c>
      <c r="D29" s="24">
        <v>1</v>
      </c>
    </row>
    <row r="30" spans="1:4" ht="15" customHeight="1" x14ac:dyDescent="0.15">
      <c r="A30" s="31">
        <v>2607</v>
      </c>
      <c r="B30" s="31">
        <v>2653</v>
      </c>
      <c r="C30" s="24" t="s">
        <v>2264</v>
      </c>
      <c r="D30" s="24">
        <v>1</v>
      </c>
    </row>
    <row r="31" spans="1:4" ht="15" customHeight="1" x14ac:dyDescent="0.15">
      <c r="A31" s="31">
        <v>2608</v>
      </c>
      <c r="B31" s="31">
        <v>2667</v>
      </c>
      <c r="C31" s="24" t="s">
        <v>992</v>
      </c>
      <c r="D31" s="24">
        <v>1</v>
      </c>
    </row>
    <row r="32" spans="1:4" ht="15" customHeight="1" x14ac:dyDescent="0.15">
      <c r="A32" s="24"/>
      <c r="B32" s="24" t="s">
        <v>2315</v>
      </c>
      <c r="C32" s="24"/>
      <c r="D32" s="24">
        <v>2</v>
      </c>
    </row>
    <row r="33" spans="1:4" ht="15" customHeight="1" x14ac:dyDescent="0.15">
      <c r="A33" s="24"/>
      <c r="B33" s="24" t="s">
        <v>2315</v>
      </c>
      <c r="C33" s="24"/>
      <c r="D33" s="24">
        <v>1</v>
      </c>
    </row>
    <row r="34" spans="1:4" ht="15" customHeight="1" x14ac:dyDescent="0.15">
      <c r="A34" s="24"/>
      <c r="B34" s="24" t="s">
        <v>2316</v>
      </c>
      <c r="C34" s="24"/>
      <c r="D34" s="24">
        <v>1</v>
      </c>
    </row>
    <row r="35" spans="1:4" ht="15" customHeight="1" x14ac:dyDescent="0.15">
      <c r="A35" s="24"/>
      <c r="B35" s="24" t="s">
        <v>2317</v>
      </c>
      <c r="C35" s="24"/>
      <c r="D35" s="24">
        <v>3</v>
      </c>
    </row>
    <row r="36" spans="1:4" ht="15" customHeight="1" x14ac:dyDescent="0.15">
      <c r="A36" s="24"/>
      <c r="B36" s="24" t="s">
        <v>2318</v>
      </c>
      <c r="C36" s="24"/>
      <c r="D36" s="24">
        <v>1</v>
      </c>
    </row>
    <row r="37" spans="1:4" ht="15" customHeight="1" x14ac:dyDescent="0.15">
      <c r="A37" s="24"/>
      <c r="B37" s="24" t="s">
        <v>2319</v>
      </c>
      <c r="C37" s="24"/>
      <c r="D37" s="24">
        <v>1</v>
      </c>
    </row>
    <row r="38" spans="1:4" ht="15" customHeight="1" x14ac:dyDescent="0.15">
      <c r="A38" s="24"/>
      <c r="B38" s="24" t="s">
        <v>2320</v>
      </c>
      <c r="C38" s="24"/>
      <c r="D38" s="24">
        <v>2</v>
      </c>
    </row>
    <row r="39" spans="1:4" ht="15" customHeight="1" x14ac:dyDescent="0.15">
      <c r="A39" s="24"/>
      <c r="B39" s="24" t="s">
        <v>2321</v>
      </c>
      <c r="C39" s="24"/>
      <c r="D39" s="24">
        <v>1</v>
      </c>
    </row>
    <row r="40" spans="1:4" ht="15" customHeight="1" x14ac:dyDescent="0.15">
      <c r="A40" s="24"/>
      <c r="B40" s="24" t="s">
        <v>2322</v>
      </c>
      <c r="C40" s="24"/>
      <c r="D40" s="24">
        <v>3</v>
      </c>
    </row>
    <row r="41" spans="1:4" ht="15" customHeight="1" x14ac:dyDescent="0.15">
      <c r="A41" s="24"/>
      <c r="B41" s="24" t="s">
        <v>2323</v>
      </c>
      <c r="C41" s="24"/>
      <c r="D41" s="24">
        <v>2</v>
      </c>
    </row>
    <row r="42" spans="1:4" ht="15" customHeight="1" x14ac:dyDescent="0.15">
      <c r="A42" s="24"/>
      <c r="B42" s="24" t="s">
        <v>2324</v>
      </c>
      <c r="C42" s="24"/>
      <c r="D42" s="24">
        <v>1</v>
      </c>
    </row>
    <row r="43" spans="1:4" ht="15" customHeight="1" x14ac:dyDescent="0.15">
      <c r="A43" s="24"/>
      <c r="B43" s="24" t="s">
        <v>2325</v>
      </c>
      <c r="C43" s="24"/>
      <c r="D43" s="24">
        <v>5</v>
      </c>
    </row>
    <row r="44" spans="1:4" ht="15" customHeight="1" x14ac:dyDescent="0.15">
      <c r="A44" s="24"/>
      <c r="B44" s="24" t="s">
        <v>2326</v>
      </c>
      <c r="C44" s="24"/>
      <c r="D44" s="24">
        <v>3</v>
      </c>
    </row>
    <row r="45" spans="1:4" ht="15" customHeight="1" x14ac:dyDescent="0.15">
      <c r="A45" s="24"/>
      <c r="B45" s="24" t="s">
        <v>2327</v>
      </c>
      <c r="C45" s="24"/>
      <c r="D45" s="24">
        <v>3</v>
      </c>
    </row>
    <row r="46" spans="1:4" ht="15" customHeight="1" x14ac:dyDescent="0.15">
      <c r="A46" s="24"/>
      <c r="B46" s="24" t="s">
        <v>2328</v>
      </c>
      <c r="C46" s="24"/>
      <c r="D46" s="24">
        <v>2</v>
      </c>
    </row>
    <row r="47" spans="1:4" ht="15" customHeight="1" x14ac:dyDescent="0.15">
      <c r="A47" s="24"/>
      <c r="B47" s="24" t="s">
        <v>2329</v>
      </c>
      <c r="C47" s="24"/>
      <c r="D47" s="24">
        <v>3</v>
      </c>
    </row>
    <row r="48" spans="1:4" ht="15" customHeight="1" x14ac:dyDescent="0.15">
      <c r="A48" s="24"/>
      <c r="B48" s="24" t="s">
        <v>2330</v>
      </c>
      <c r="C48" s="24"/>
      <c r="D48" s="24">
        <v>3</v>
      </c>
    </row>
    <row r="49" spans="1:4" ht="15" customHeight="1" x14ac:dyDescent="0.15">
      <c r="A49" s="24"/>
      <c r="B49" s="24" t="s">
        <v>2331</v>
      </c>
      <c r="C49" s="24"/>
      <c r="D49" s="24">
        <v>1</v>
      </c>
    </row>
    <row r="50" spans="1:4" ht="15" customHeight="1" x14ac:dyDescent="0.15">
      <c r="A50" s="24"/>
      <c r="B50" s="24" t="s">
        <v>2332</v>
      </c>
      <c r="C50" s="24"/>
      <c r="D50" s="24">
        <v>2</v>
      </c>
    </row>
    <row r="51" spans="1:4" ht="15" customHeight="1" x14ac:dyDescent="0.15">
      <c r="A51" s="24"/>
      <c r="B51" s="24" t="s">
        <v>2333</v>
      </c>
      <c r="C51" s="24"/>
      <c r="D51" s="24">
        <v>1</v>
      </c>
    </row>
    <row r="52" spans="1:4" ht="15" customHeight="1" x14ac:dyDescent="0.15">
      <c r="A52" s="24"/>
      <c r="B52" s="24" t="s">
        <v>2334</v>
      </c>
      <c r="C52" s="24"/>
      <c r="D52" s="24">
        <v>2</v>
      </c>
    </row>
    <row r="53" spans="1:4" ht="15" customHeight="1" x14ac:dyDescent="0.15">
      <c r="A53" s="24"/>
      <c r="B53" s="24" t="s">
        <v>2335</v>
      </c>
      <c r="C53" s="24"/>
      <c r="D53" s="24">
        <v>1</v>
      </c>
    </row>
    <row r="54" spans="1:4" ht="15" customHeight="1" x14ac:dyDescent="0.15">
      <c r="A54" s="24"/>
      <c r="B54" s="24" t="s">
        <v>2336</v>
      </c>
      <c r="C54" s="24"/>
      <c r="D54" s="24">
        <v>2</v>
      </c>
    </row>
    <row r="55" spans="1:4" ht="15" customHeight="1" x14ac:dyDescent="0.15">
      <c r="A55" s="24"/>
      <c r="B55" s="24" t="s">
        <v>2336</v>
      </c>
      <c r="C55" s="24"/>
      <c r="D55" s="24">
        <v>1</v>
      </c>
    </row>
    <row r="56" spans="1:4" ht="15" customHeight="1" x14ac:dyDescent="0.15">
      <c r="A56" s="24"/>
      <c r="B56" s="24" t="s">
        <v>2337</v>
      </c>
      <c r="C56" s="24"/>
      <c r="D56" s="24">
        <v>2</v>
      </c>
    </row>
    <row r="57" spans="1:4" ht="15" customHeight="1" x14ac:dyDescent="0.15">
      <c r="A57" s="24"/>
      <c r="B57" s="24" t="s">
        <v>2338</v>
      </c>
      <c r="C57" s="24"/>
      <c r="D57" s="24">
        <v>1</v>
      </c>
    </row>
    <row r="58" spans="1:4" ht="15" customHeight="1" x14ac:dyDescent="0.15">
      <c r="A58" s="24"/>
      <c r="B58" s="24" t="s">
        <v>2339</v>
      </c>
      <c r="C58" s="24"/>
      <c r="D58" s="24">
        <v>2</v>
      </c>
    </row>
    <row r="59" spans="1:4" ht="15" customHeight="1" x14ac:dyDescent="0.15">
      <c r="A59" s="24"/>
      <c r="B59" s="24" t="s">
        <v>2339</v>
      </c>
      <c r="C59" s="24"/>
      <c r="D59" s="24">
        <v>1</v>
      </c>
    </row>
    <row r="60" spans="1:4" ht="15" customHeight="1" x14ac:dyDescent="0.15">
      <c r="A60" s="24"/>
      <c r="B60" s="24" t="s">
        <v>2340</v>
      </c>
      <c r="C60" s="24"/>
      <c r="D60" s="24">
        <v>1</v>
      </c>
    </row>
    <row r="61" spans="1:4" ht="15" customHeight="1" x14ac:dyDescent="0.15">
      <c r="A61" s="24"/>
      <c r="B61" s="24" t="s">
        <v>2341</v>
      </c>
      <c r="C61" s="24"/>
      <c r="D61" s="24">
        <v>1</v>
      </c>
    </row>
    <row r="62" spans="1:4" ht="15" customHeight="1" x14ac:dyDescent="0.15">
      <c r="A62" s="24" t="s">
        <v>2258</v>
      </c>
      <c r="B62" s="24"/>
      <c r="C62" s="24"/>
      <c r="D62" s="24">
        <v>1</v>
      </c>
    </row>
    <row r="63" spans="1:4" ht="15" customHeight="1" x14ac:dyDescent="0.15">
      <c r="A63" s="24" t="s">
        <v>2312</v>
      </c>
      <c r="B63" s="24"/>
      <c r="C63" s="24"/>
      <c r="D63" s="24">
        <v>1</v>
      </c>
    </row>
    <row r="64" spans="1:4" ht="15" customHeight="1" x14ac:dyDescent="0.15">
      <c r="A64" s="24" t="s">
        <v>2278</v>
      </c>
      <c r="B64" s="24"/>
      <c r="C64" s="24"/>
      <c r="D64" s="24">
        <v>2</v>
      </c>
    </row>
    <row r="65" spans="1:4" ht="15" customHeight="1" x14ac:dyDescent="0.15">
      <c r="A65" s="24" t="s">
        <v>2257</v>
      </c>
      <c r="B65" s="24"/>
      <c r="C65" s="24"/>
      <c r="D65" s="24">
        <v>2</v>
      </c>
    </row>
    <row r="66" spans="1:4" ht="15" customHeight="1" x14ac:dyDescent="0.15">
      <c r="A66" s="24" t="s">
        <v>2274</v>
      </c>
      <c r="B66" s="24"/>
      <c r="C66" s="24"/>
      <c r="D66" s="24">
        <v>3</v>
      </c>
    </row>
    <row r="67" spans="1:4" ht="15" customHeight="1" x14ac:dyDescent="0.15">
      <c r="A67" s="24" t="s">
        <v>2268</v>
      </c>
      <c r="B67" s="24"/>
      <c r="C67" s="24"/>
      <c r="D67" s="24">
        <v>1</v>
      </c>
    </row>
    <row r="68" spans="1:4" ht="15" customHeight="1" x14ac:dyDescent="0.15">
      <c r="A68" s="24" t="s">
        <v>2301</v>
      </c>
      <c r="B68" s="24"/>
      <c r="C68" s="24"/>
      <c r="D68" s="24">
        <v>1</v>
      </c>
    </row>
    <row r="69" spans="1:4" ht="15" customHeight="1" x14ac:dyDescent="0.15">
      <c r="A69" s="24" t="s">
        <v>2256</v>
      </c>
      <c r="B69" s="24"/>
      <c r="C69" s="24"/>
      <c r="D69" s="24">
        <v>3</v>
      </c>
    </row>
    <row r="70" spans="1:4" ht="15" customHeight="1" x14ac:dyDescent="0.15">
      <c r="A70" s="24" t="s">
        <v>2271</v>
      </c>
      <c r="B70" s="24"/>
      <c r="C70" s="24"/>
      <c r="D70" s="24">
        <v>5</v>
      </c>
    </row>
    <row r="71" spans="1:4" ht="15" customHeight="1" x14ac:dyDescent="0.15">
      <c r="A71" s="24" t="s">
        <v>2279</v>
      </c>
      <c r="B71" s="24"/>
      <c r="C71" s="24"/>
      <c r="D71" s="24">
        <v>1</v>
      </c>
    </row>
    <row r="72" spans="1:4" ht="15" customHeight="1" x14ac:dyDescent="0.15">
      <c r="A72" s="24" t="s">
        <v>2267</v>
      </c>
      <c r="B72" s="24"/>
      <c r="C72" s="24"/>
      <c r="D72" s="24">
        <v>1</v>
      </c>
    </row>
    <row r="73" spans="1:4" ht="15" customHeight="1" x14ac:dyDescent="0.15">
      <c r="A73" s="24" t="s">
        <v>2300</v>
      </c>
      <c r="B73" s="24"/>
      <c r="C73" s="24"/>
      <c r="D73" s="24">
        <v>1</v>
      </c>
    </row>
    <row r="74" spans="1:4" ht="15" customHeight="1" x14ac:dyDescent="0.15">
      <c r="A74" s="24" t="s">
        <v>2310</v>
      </c>
      <c r="B74" s="24"/>
      <c r="C74" s="24"/>
      <c r="D74" s="24">
        <v>1</v>
      </c>
    </row>
    <row r="75" spans="1:4" ht="15" customHeight="1" x14ac:dyDescent="0.15">
      <c r="A75" s="24" t="s">
        <v>2265</v>
      </c>
      <c r="B75" s="24"/>
      <c r="C75" s="24"/>
      <c r="D75" s="24">
        <v>2</v>
      </c>
    </row>
    <row r="76" spans="1:4" ht="15" customHeight="1" x14ac:dyDescent="0.15">
      <c r="A76" s="24" t="s">
        <v>2294</v>
      </c>
      <c r="B76" s="24"/>
      <c r="C76" s="24"/>
      <c r="D76" s="24">
        <v>3</v>
      </c>
    </row>
    <row r="77" spans="1:4" ht="15" customHeight="1" x14ac:dyDescent="0.15">
      <c r="A77" s="24" t="s">
        <v>2296</v>
      </c>
      <c r="B77" s="24"/>
      <c r="C77" s="24"/>
      <c r="D77" s="24">
        <v>2</v>
      </c>
    </row>
    <row r="78" spans="1:4" ht="15" customHeight="1" x14ac:dyDescent="0.15">
      <c r="A78" s="24" t="s">
        <v>2261</v>
      </c>
      <c r="B78" s="24"/>
      <c r="C78" s="24"/>
      <c r="D78" s="24">
        <v>2</v>
      </c>
    </row>
    <row r="79" spans="1:4" ht="15" customHeight="1" x14ac:dyDescent="0.15">
      <c r="A79" s="24" t="s">
        <v>2307</v>
      </c>
      <c r="B79" s="24"/>
      <c r="C79" s="24"/>
      <c r="D79" s="24">
        <v>2</v>
      </c>
    </row>
    <row r="80" spans="1:4" ht="15" customHeight="1" x14ac:dyDescent="0.15">
      <c r="A80" s="24" t="s">
        <v>2260</v>
      </c>
      <c r="B80" s="24"/>
      <c r="C80" s="24"/>
      <c r="D80" s="24">
        <v>3</v>
      </c>
    </row>
    <row r="81" spans="1:4" ht="15" customHeight="1" x14ac:dyDescent="0.15">
      <c r="A81" s="24" t="s">
        <v>2304</v>
      </c>
      <c r="B81" s="24"/>
      <c r="C81" s="24"/>
      <c r="D81" s="24">
        <v>2</v>
      </c>
    </row>
    <row r="82" spans="1:4" ht="13" x14ac:dyDescent="0.15">
      <c r="A82" s="24" t="s">
        <v>2287</v>
      </c>
      <c r="B82" s="24"/>
      <c r="C82" s="24"/>
      <c r="D82" s="24">
        <v>3</v>
      </c>
    </row>
    <row r="83" spans="1:4" ht="13" x14ac:dyDescent="0.15">
      <c r="A83" s="24" t="s">
        <v>2284</v>
      </c>
      <c r="B83" s="24"/>
      <c r="C83" s="24"/>
      <c r="D83" s="24">
        <v>1</v>
      </c>
    </row>
    <row r="84" spans="1:4" ht="13" x14ac:dyDescent="0.15">
      <c r="A84" s="24" t="s">
        <v>2281</v>
      </c>
      <c r="B84" s="24"/>
      <c r="C84" s="24"/>
      <c r="D84" s="24">
        <v>3</v>
      </c>
    </row>
    <row r="85" spans="1:4" ht="13" x14ac:dyDescent="0.15">
      <c r="A85" s="24" t="s">
        <v>2262</v>
      </c>
      <c r="B85" s="24"/>
      <c r="C85" s="24"/>
      <c r="D85" s="24">
        <v>1</v>
      </c>
    </row>
    <row r="86" spans="1:4" ht="13" x14ac:dyDescent="0.15">
      <c r="A86" s="24" t="s">
        <v>2266</v>
      </c>
      <c r="B86" s="24"/>
      <c r="C86" s="24"/>
      <c r="D86" s="24">
        <v>1</v>
      </c>
    </row>
    <row r="87" spans="1:4" ht="13" x14ac:dyDescent="0.15">
      <c r="A87" s="24" t="s">
        <v>2297</v>
      </c>
      <c r="B87" s="24"/>
      <c r="C87" s="24"/>
      <c r="D87" s="24">
        <v>1</v>
      </c>
    </row>
    <row r="88" spans="1:4" ht="13" x14ac:dyDescent="0.15">
      <c r="A88" s="24" t="s">
        <v>2275</v>
      </c>
      <c r="B88" s="24"/>
      <c r="C88" s="24"/>
      <c r="D88" s="24">
        <v>1</v>
      </c>
    </row>
    <row r="89" spans="1:4" ht="13" x14ac:dyDescent="0.15">
      <c r="A89" s="24" t="s">
        <v>2283</v>
      </c>
      <c r="B89" s="24"/>
      <c r="C89" s="24"/>
      <c r="D89" s="24">
        <v>2</v>
      </c>
    </row>
    <row r="90" spans="1:4" ht="13" x14ac:dyDescent="0.15">
      <c r="A90" s="24" t="s">
        <v>2290</v>
      </c>
      <c r="B90" s="24"/>
      <c r="C90" s="24"/>
      <c r="D90" s="24">
        <v>2</v>
      </c>
    </row>
    <row r="91" spans="1:4" ht="13" x14ac:dyDescent="0.15">
      <c r="A91" s="24" t="s">
        <v>2291</v>
      </c>
      <c r="B91" s="24"/>
      <c r="C91" s="24"/>
      <c r="D91" s="24">
        <v>1</v>
      </c>
    </row>
    <row r="92" spans="1:4" ht="13" x14ac:dyDescent="0.15">
      <c r="A92" s="24" t="s">
        <v>2314</v>
      </c>
      <c r="B92" s="24"/>
      <c r="C92" s="24"/>
      <c r="D92" s="24">
        <v>55</v>
      </c>
    </row>
  </sheetData>
  <autoFilter ref="A1:BQ100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55"/>
  <sheetViews>
    <sheetView showGridLines="0" workbookViewId="0"/>
  </sheetViews>
  <sheetFormatPr baseColWidth="10" defaultColWidth="14.3984375" defaultRowHeight="15" customHeight="1" x14ac:dyDescent="0.15"/>
  <cols>
    <col min="1" max="1" width="17.19921875" customWidth="1"/>
  </cols>
  <sheetData>
    <row r="1" spans="1:4" ht="15" customHeight="1" x14ac:dyDescent="0.15">
      <c r="A1" s="24" t="s">
        <v>21</v>
      </c>
      <c r="B1" s="24" t="s">
        <v>2253</v>
      </c>
      <c r="C1" s="24" t="s">
        <v>12</v>
      </c>
      <c r="D1" s="24" t="s">
        <v>2342</v>
      </c>
    </row>
    <row r="2" spans="1:4" ht="15" customHeight="1" x14ac:dyDescent="0.15">
      <c r="A2" s="24" t="s">
        <v>2264</v>
      </c>
      <c r="B2" s="31">
        <v>1089</v>
      </c>
      <c r="C2" s="31">
        <v>1113</v>
      </c>
      <c r="D2" s="24">
        <v>4</v>
      </c>
    </row>
    <row r="3" spans="1:4" ht="15" customHeight="1" x14ac:dyDescent="0.15">
      <c r="A3" s="24"/>
      <c r="B3" s="24"/>
      <c r="C3" s="31">
        <v>1059</v>
      </c>
      <c r="D3" s="24">
        <v>2</v>
      </c>
    </row>
    <row r="4" spans="1:4" ht="15" customHeight="1" x14ac:dyDescent="0.15">
      <c r="A4" s="24"/>
      <c r="B4" s="24" t="s">
        <v>2343</v>
      </c>
      <c r="C4" s="24"/>
      <c r="D4" s="24">
        <v>6</v>
      </c>
    </row>
    <row r="5" spans="1:4" ht="15" customHeight="1" x14ac:dyDescent="0.15">
      <c r="A5" s="24"/>
      <c r="B5" s="31">
        <v>1060</v>
      </c>
      <c r="C5" s="31">
        <v>1057</v>
      </c>
      <c r="D5" s="24">
        <v>3</v>
      </c>
    </row>
    <row r="6" spans="1:4" ht="15" customHeight="1" x14ac:dyDescent="0.15">
      <c r="A6" s="24"/>
      <c r="B6" s="24"/>
      <c r="C6" s="31">
        <v>1017</v>
      </c>
      <c r="D6" s="24">
        <v>2</v>
      </c>
    </row>
    <row r="7" spans="1:4" ht="15" customHeight="1" x14ac:dyDescent="0.15">
      <c r="A7" s="24"/>
      <c r="B7" s="24" t="s">
        <v>2268</v>
      </c>
      <c r="C7" s="24"/>
      <c r="D7" s="24">
        <v>5</v>
      </c>
    </row>
    <row r="8" spans="1:4" ht="15" customHeight="1" x14ac:dyDescent="0.15">
      <c r="A8" s="24"/>
      <c r="B8" s="31">
        <v>1058</v>
      </c>
      <c r="C8" s="31">
        <v>1059</v>
      </c>
      <c r="D8" s="24">
        <v>4</v>
      </c>
    </row>
    <row r="9" spans="1:4" ht="15" customHeight="1" x14ac:dyDescent="0.15">
      <c r="A9" s="24"/>
      <c r="B9" s="24" t="s">
        <v>2344</v>
      </c>
      <c r="C9" s="24"/>
      <c r="D9" s="24">
        <v>4</v>
      </c>
    </row>
    <row r="10" spans="1:4" ht="15" customHeight="1" x14ac:dyDescent="0.15">
      <c r="A10" s="24"/>
      <c r="B10" s="31">
        <v>1019</v>
      </c>
      <c r="C10" s="31">
        <v>1016</v>
      </c>
      <c r="D10" s="24">
        <v>3</v>
      </c>
    </row>
    <row r="11" spans="1:4" ht="15" customHeight="1" x14ac:dyDescent="0.15">
      <c r="A11" s="24"/>
      <c r="B11" s="24"/>
      <c r="C11" s="31">
        <v>1017</v>
      </c>
      <c r="D11" s="24">
        <v>1</v>
      </c>
    </row>
    <row r="12" spans="1:4" ht="15" customHeight="1" x14ac:dyDescent="0.15">
      <c r="A12" s="24"/>
      <c r="B12" s="24" t="s">
        <v>2345</v>
      </c>
      <c r="C12" s="24"/>
      <c r="D12" s="24">
        <v>4</v>
      </c>
    </row>
    <row r="13" spans="1:4" ht="15" customHeight="1" x14ac:dyDescent="0.15">
      <c r="A13" s="24"/>
      <c r="B13" s="31">
        <v>1021</v>
      </c>
      <c r="C13" s="31">
        <v>1018</v>
      </c>
      <c r="D13" s="24">
        <v>2</v>
      </c>
    </row>
    <row r="14" spans="1:4" ht="15" customHeight="1" x14ac:dyDescent="0.15">
      <c r="A14" s="24"/>
      <c r="B14" s="24"/>
      <c r="C14" s="31">
        <v>1017</v>
      </c>
      <c r="D14" s="24">
        <v>1</v>
      </c>
    </row>
    <row r="15" spans="1:4" ht="15" customHeight="1" x14ac:dyDescent="0.15">
      <c r="A15" s="24"/>
      <c r="B15" s="24" t="s">
        <v>2346</v>
      </c>
      <c r="C15" s="24"/>
      <c r="D15" s="24">
        <v>3</v>
      </c>
    </row>
    <row r="16" spans="1:4" ht="15" customHeight="1" x14ac:dyDescent="0.15">
      <c r="A16" s="24"/>
      <c r="B16" s="31">
        <v>1020</v>
      </c>
      <c r="C16" s="31">
        <v>1017</v>
      </c>
      <c r="D16" s="24">
        <v>2</v>
      </c>
    </row>
    <row r="17" spans="1:4" ht="15" customHeight="1" x14ac:dyDescent="0.15">
      <c r="A17" s="24"/>
      <c r="B17" s="24" t="s">
        <v>2347</v>
      </c>
      <c r="C17" s="24"/>
      <c r="D17" s="24">
        <v>2</v>
      </c>
    </row>
    <row r="18" spans="1:4" ht="15" customHeight="1" x14ac:dyDescent="0.15">
      <c r="A18" s="24"/>
      <c r="B18" s="31">
        <v>1146</v>
      </c>
      <c r="C18" s="31">
        <v>1108</v>
      </c>
      <c r="D18" s="24">
        <v>1</v>
      </c>
    </row>
    <row r="19" spans="1:4" ht="15" customHeight="1" x14ac:dyDescent="0.15">
      <c r="A19" s="24"/>
      <c r="B19" s="24" t="s">
        <v>2265</v>
      </c>
      <c r="C19" s="24"/>
      <c r="D19" s="24">
        <v>1</v>
      </c>
    </row>
    <row r="20" spans="1:4" ht="15" customHeight="1" x14ac:dyDescent="0.15">
      <c r="A20" s="24"/>
      <c r="B20" s="31">
        <v>1135</v>
      </c>
      <c r="C20" s="31">
        <v>2409</v>
      </c>
      <c r="D20" s="24">
        <v>1</v>
      </c>
    </row>
    <row r="21" spans="1:4" ht="15" customHeight="1" x14ac:dyDescent="0.15">
      <c r="A21" s="24"/>
      <c r="B21" s="24" t="s">
        <v>2267</v>
      </c>
      <c r="C21" s="24"/>
      <c r="D21" s="24">
        <v>1</v>
      </c>
    </row>
    <row r="22" spans="1:4" ht="15" customHeight="1" x14ac:dyDescent="0.15">
      <c r="A22" s="24"/>
      <c r="B22" s="31">
        <v>1061</v>
      </c>
      <c r="C22" s="31">
        <v>1065</v>
      </c>
      <c r="D22" s="24">
        <v>1</v>
      </c>
    </row>
    <row r="23" spans="1:4" ht="15" customHeight="1" x14ac:dyDescent="0.15">
      <c r="A23" s="24"/>
      <c r="B23" s="24" t="s">
        <v>2348</v>
      </c>
      <c r="C23" s="24"/>
      <c r="D23" s="24">
        <v>1</v>
      </c>
    </row>
    <row r="24" spans="1:4" ht="15" customHeight="1" x14ac:dyDescent="0.15">
      <c r="A24" s="24" t="s">
        <v>2269</v>
      </c>
      <c r="B24" s="24"/>
      <c r="C24" s="24"/>
      <c r="D24" s="24">
        <v>27</v>
      </c>
    </row>
    <row r="25" spans="1:4" ht="15" customHeight="1" x14ac:dyDescent="0.15">
      <c r="A25" s="24" t="s">
        <v>2255</v>
      </c>
      <c r="B25" s="31">
        <v>1008</v>
      </c>
      <c r="C25" s="31">
        <v>1012</v>
      </c>
      <c r="D25" s="24">
        <v>3</v>
      </c>
    </row>
    <row r="26" spans="1:4" ht="15" customHeight="1" x14ac:dyDescent="0.15">
      <c r="A26" s="24"/>
      <c r="B26" s="24"/>
      <c r="C26" s="31">
        <v>1023</v>
      </c>
      <c r="D26" s="24">
        <v>1</v>
      </c>
    </row>
    <row r="27" spans="1:4" ht="15" customHeight="1" x14ac:dyDescent="0.15">
      <c r="A27" s="24"/>
      <c r="B27" s="24"/>
      <c r="C27" s="31">
        <v>1022</v>
      </c>
      <c r="D27" s="24">
        <v>1</v>
      </c>
    </row>
    <row r="28" spans="1:4" ht="15" customHeight="1" x14ac:dyDescent="0.15">
      <c r="A28" s="24"/>
      <c r="B28" s="24" t="s">
        <v>2258</v>
      </c>
      <c r="C28" s="24"/>
      <c r="D28" s="24">
        <v>5</v>
      </c>
    </row>
    <row r="29" spans="1:4" ht="15" customHeight="1" x14ac:dyDescent="0.15">
      <c r="A29" s="24"/>
      <c r="B29" s="31">
        <v>1097</v>
      </c>
      <c r="C29" s="31">
        <v>1103</v>
      </c>
      <c r="D29" s="24">
        <v>4</v>
      </c>
    </row>
    <row r="30" spans="1:4" ht="15" customHeight="1" x14ac:dyDescent="0.15">
      <c r="A30" s="24"/>
      <c r="B30" s="24" t="s">
        <v>2256</v>
      </c>
      <c r="C30" s="24"/>
      <c r="D30" s="24">
        <v>4</v>
      </c>
    </row>
    <row r="31" spans="1:4" ht="15" customHeight="1" x14ac:dyDescent="0.15">
      <c r="A31" s="24"/>
      <c r="B31" s="31">
        <v>1044</v>
      </c>
      <c r="C31" s="31">
        <v>1012</v>
      </c>
      <c r="D31" s="24">
        <v>4</v>
      </c>
    </row>
    <row r="32" spans="1:4" ht="15" customHeight="1" x14ac:dyDescent="0.15">
      <c r="A32" s="24"/>
      <c r="B32" s="24" t="s">
        <v>2257</v>
      </c>
      <c r="C32" s="24"/>
      <c r="D32" s="24">
        <v>4</v>
      </c>
    </row>
    <row r="33" spans="1:4" ht="15" customHeight="1" x14ac:dyDescent="0.15">
      <c r="A33" s="24"/>
      <c r="B33" s="31">
        <v>1010</v>
      </c>
      <c r="C33" s="31">
        <v>1023</v>
      </c>
      <c r="D33" s="24">
        <v>3</v>
      </c>
    </row>
    <row r="34" spans="1:4" ht="15" customHeight="1" x14ac:dyDescent="0.15">
      <c r="A34" s="24"/>
      <c r="B34" s="24" t="s">
        <v>2349</v>
      </c>
      <c r="C34" s="24"/>
      <c r="D34" s="24">
        <v>3</v>
      </c>
    </row>
    <row r="35" spans="1:4" ht="15" customHeight="1" x14ac:dyDescent="0.15">
      <c r="A35" s="24"/>
      <c r="B35" s="31">
        <v>2502</v>
      </c>
      <c r="C35" s="31">
        <v>2498</v>
      </c>
      <c r="D35" s="24">
        <v>1</v>
      </c>
    </row>
    <row r="36" spans="1:4" ht="15" customHeight="1" x14ac:dyDescent="0.15">
      <c r="A36" s="24"/>
      <c r="B36" s="24"/>
      <c r="C36" s="31">
        <v>2496</v>
      </c>
      <c r="D36" s="24">
        <v>1</v>
      </c>
    </row>
    <row r="37" spans="1:4" ht="15" customHeight="1" x14ac:dyDescent="0.15">
      <c r="A37" s="24"/>
      <c r="B37" s="24" t="s">
        <v>2350</v>
      </c>
      <c r="C37" s="24"/>
      <c r="D37" s="24">
        <v>2</v>
      </c>
    </row>
    <row r="38" spans="1:4" ht="15" customHeight="1" x14ac:dyDescent="0.15">
      <c r="A38" s="24"/>
      <c r="B38" s="31">
        <v>2424</v>
      </c>
      <c r="C38" s="31">
        <v>2406</v>
      </c>
      <c r="D38" s="24">
        <v>2</v>
      </c>
    </row>
    <row r="39" spans="1:4" ht="15" customHeight="1" x14ac:dyDescent="0.15">
      <c r="A39" s="24"/>
      <c r="B39" s="24" t="s">
        <v>2351</v>
      </c>
      <c r="C39" s="24"/>
      <c r="D39" s="24">
        <v>2</v>
      </c>
    </row>
    <row r="40" spans="1:4" ht="15" customHeight="1" x14ac:dyDescent="0.15">
      <c r="A40" s="24" t="s">
        <v>2259</v>
      </c>
      <c r="B40" s="24"/>
      <c r="C40" s="24"/>
      <c r="D40" s="24">
        <v>20</v>
      </c>
    </row>
    <row r="41" spans="1:4" ht="15" customHeight="1" x14ac:dyDescent="0.15">
      <c r="A41" s="24" t="s">
        <v>2273</v>
      </c>
      <c r="B41" s="31">
        <v>1054</v>
      </c>
      <c r="C41" s="31">
        <v>1051</v>
      </c>
      <c r="D41" s="24">
        <v>10</v>
      </c>
    </row>
    <row r="42" spans="1:4" ht="15" customHeight="1" x14ac:dyDescent="0.15">
      <c r="A42" s="24"/>
      <c r="B42" s="24"/>
      <c r="C42" s="31">
        <v>1116</v>
      </c>
      <c r="D42" s="24">
        <v>2</v>
      </c>
    </row>
    <row r="43" spans="1:4" ht="15" customHeight="1" x14ac:dyDescent="0.15">
      <c r="A43" s="24"/>
      <c r="B43" s="24" t="s">
        <v>2274</v>
      </c>
      <c r="C43" s="24"/>
      <c r="D43" s="24">
        <v>12</v>
      </c>
    </row>
    <row r="44" spans="1:4" ht="15" customHeight="1" x14ac:dyDescent="0.15">
      <c r="A44" s="24"/>
      <c r="B44" s="31">
        <v>2626</v>
      </c>
      <c r="C44" s="31">
        <v>2631</v>
      </c>
      <c r="D44" s="24">
        <v>2</v>
      </c>
    </row>
    <row r="45" spans="1:4" ht="15" customHeight="1" x14ac:dyDescent="0.15">
      <c r="A45" s="24"/>
      <c r="B45" s="24" t="s">
        <v>2275</v>
      </c>
      <c r="C45" s="24"/>
      <c r="D45" s="24">
        <v>2</v>
      </c>
    </row>
    <row r="46" spans="1:4" ht="15" customHeight="1" x14ac:dyDescent="0.15">
      <c r="A46" s="24"/>
      <c r="B46" s="31">
        <v>1120</v>
      </c>
      <c r="C46" s="31">
        <v>1116</v>
      </c>
      <c r="D46" s="24">
        <v>2</v>
      </c>
    </row>
    <row r="47" spans="1:4" ht="15" customHeight="1" x14ac:dyDescent="0.15">
      <c r="A47" s="24"/>
      <c r="B47" s="24" t="s">
        <v>2352</v>
      </c>
      <c r="C47" s="24"/>
      <c r="D47" s="24">
        <v>2</v>
      </c>
    </row>
    <row r="48" spans="1:4" ht="15" customHeight="1" x14ac:dyDescent="0.15">
      <c r="A48" s="24"/>
      <c r="B48" s="31">
        <v>1024</v>
      </c>
      <c r="C48" s="31">
        <v>1030</v>
      </c>
      <c r="D48" s="24">
        <v>1</v>
      </c>
    </row>
    <row r="49" spans="1:4" ht="15" customHeight="1" x14ac:dyDescent="0.15">
      <c r="A49" s="24"/>
      <c r="B49" s="24" t="s">
        <v>2353</v>
      </c>
      <c r="C49" s="24"/>
      <c r="D49" s="24">
        <v>1</v>
      </c>
    </row>
    <row r="50" spans="1:4" ht="15" customHeight="1" x14ac:dyDescent="0.15">
      <c r="A50" s="24" t="s">
        <v>2276</v>
      </c>
      <c r="B50" s="24"/>
      <c r="C50" s="24"/>
      <c r="D50" s="24">
        <v>17</v>
      </c>
    </row>
    <row r="51" spans="1:4" ht="15" customHeight="1" x14ac:dyDescent="0.15">
      <c r="A51" s="24" t="s">
        <v>2270</v>
      </c>
      <c r="B51" s="31">
        <v>1124</v>
      </c>
      <c r="C51" s="31">
        <v>1125</v>
      </c>
      <c r="D51" s="24">
        <v>16</v>
      </c>
    </row>
    <row r="52" spans="1:4" ht="15" customHeight="1" x14ac:dyDescent="0.15">
      <c r="A52" s="24"/>
      <c r="B52" s="24" t="s">
        <v>2271</v>
      </c>
      <c r="C52" s="24"/>
      <c r="D52" s="24">
        <v>16</v>
      </c>
    </row>
    <row r="53" spans="1:4" ht="15" customHeight="1" x14ac:dyDescent="0.15">
      <c r="A53" s="24" t="s">
        <v>2272</v>
      </c>
      <c r="B53" s="24"/>
      <c r="C53" s="24"/>
      <c r="D53" s="24">
        <v>16</v>
      </c>
    </row>
    <row r="54" spans="1:4" ht="15" customHeight="1" x14ac:dyDescent="0.15">
      <c r="A54" s="24" t="s">
        <v>1535</v>
      </c>
      <c r="B54" s="31">
        <v>1040</v>
      </c>
      <c r="C54" s="31">
        <v>1041</v>
      </c>
      <c r="D54" s="24">
        <v>13</v>
      </c>
    </row>
    <row r="55" spans="1:4" ht="15" customHeight="1" x14ac:dyDescent="0.15">
      <c r="A55" s="24"/>
      <c r="B55" s="24" t="s">
        <v>2354</v>
      </c>
      <c r="C55" s="24"/>
      <c r="D55" s="24">
        <v>13</v>
      </c>
    </row>
    <row r="56" spans="1:4" ht="15" customHeight="1" x14ac:dyDescent="0.15">
      <c r="A56" s="24"/>
      <c r="B56" s="31">
        <v>2436</v>
      </c>
      <c r="C56" s="31">
        <v>1130</v>
      </c>
      <c r="D56" s="24">
        <v>3</v>
      </c>
    </row>
    <row r="57" spans="1:4" ht="15" customHeight="1" x14ac:dyDescent="0.15">
      <c r="A57" s="24"/>
      <c r="B57" s="24" t="s">
        <v>2281</v>
      </c>
      <c r="C57" s="24"/>
      <c r="D57" s="24">
        <v>3</v>
      </c>
    </row>
    <row r="58" spans="1:4" ht="15" customHeight="1" x14ac:dyDescent="0.15">
      <c r="A58" s="24" t="s">
        <v>2282</v>
      </c>
      <c r="B58" s="24"/>
      <c r="C58" s="24"/>
      <c r="D58" s="24">
        <v>16</v>
      </c>
    </row>
    <row r="59" spans="1:4" ht="15" customHeight="1" x14ac:dyDescent="0.15">
      <c r="A59" s="24" t="s">
        <v>2277</v>
      </c>
      <c r="B59" s="31">
        <v>1127</v>
      </c>
      <c r="C59" s="31">
        <v>1102</v>
      </c>
      <c r="D59" s="24">
        <v>4</v>
      </c>
    </row>
    <row r="60" spans="1:4" ht="15" customHeight="1" x14ac:dyDescent="0.15">
      <c r="A60" s="24"/>
      <c r="B60" s="24" t="s">
        <v>2279</v>
      </c>
      <c r="C60" s="24"/>
      <c r="D60" s="24">
        <v>4</v>
      </c>
    </row>
    <row r="61" spans="1:4" ht="15" customHeight="1" x14ac:dyDescent="0.15">
      <c r="A61" s="24"/>
      <c r="B61" s="31">
        <v>1088</v>
      </c>
      <c r="C61" s="31">
        <v>1064</v>
      </c>
      <c r="D61" s="24">
        <v>3</v>
      </c>
    </row>
    <row r="62" spans="1:4" ht="15" customHeight="1" x14ac:dyDescent="0.15">
      <c r="A62" s="24"/>
      <c r="B62" s="24" t="s">
        <v>2355</v>
      </c>
      <c r="C62" s="24"/>
      <c r="D62" s="24">
        <v>3</v>
      </c>
    </row>
    <row r="63" spans="1:4" ht="15" customHeight="1" x14ac:dyDescent="0.15">
      <c r="A63" s="24" t="s">
        <v>2280</v>
      </c>
      <c r="B63" s="24"/>
      <c r="C63" s="24"/>
      <c r="D63" s="24">
        <v>7</v>
      </c>
    </row>
    <row r="64" spans="1:4" ht="15" customHeight="1" x14ac:dyDescent="0.15">
      <c r="A64" s="24" t="s">
        <v>2286</v>
      </c>
      <c r="B64" s="31">
        <v>1126</v>
      </c>
      <c r="C64" s="31">
        <v>2208</v>
      </c>
      <c r="D64" s="24">
        <v>7</v>
      </c>
    </row>
    <row r="65" spans="1:4" ht="15" customHeight="1" x14ac:dyDescent="0.15">
      <c r="A65" s="24"/>
      <c r="B65" s="24" t="s">
        <v>2356</v>
      </c>
      <c r="C65" s="24"/>
      <c r="D65" s="24">
        <v>7</v>
      </c>
    </row>
    <row r="66" spans="1:4" ht="15" customHeight="1" x14ac:dyDescent="0.15">
      <c r="A66" s="24" t="s">
        <v>2288</v>
      </c>
      <c r="B66" s="24"/>
      <c r="C66" s="24"/>
      <c r="D66" s="24">
        <v>7</v>
      </c>
    </row>
    <row r="67" spans="1:4" ht="15" customHeight="1" x14ac:dyDescent="0.15">
      <c r="A67" s="24" t="s">
        <v>1393</v>
      </c>
      <c r="B67" s="31">
        <v>2423</v>
      </c>
      <c r="C67" s="31">
        <v>2417</v>
      </c>
      <c r="D67" s="24">
        <v>4</v>
      </c>
    </row>
    <row r="68" spans="1:4" ht="15" customHeight="1" x14ac:dyDescent="0.15">
      <c r="A68" s="24"/>
      <c r="B68" s="24" t="s">
        <v>2284</v>
      </c>
      <c r="C68" s="24"/>
      <c r="D68" s="24">
        <v>4</v>
      </c>
    </row>
    <row r="69" spans="1:4" ht="15" customHeight="1" x14ac:dyDescent="0.15">
      <c r="A69" s="24"/>
      <c r="B69" s="31">
        <v>2640</v>
      </c>
      <c r="C69" s="31">
        <v>2623</v>
      </c>
      <c r="D69" s="24">
        <v>2</v>
      </c>
    </row>
    <row r="70" spans="1:4" ht="15" customHeight="1" x14ac:dyDescent="0.15">
      <c r="A70" s="24"/>
      <c r="B70" s="24" t="s">
        <v>2283</v>
      </c>
      <c r="C70" s="24"/>
      <c r="D70" s="24">
        <v>2</v>
      </c>
    </row>
    <row r="71" spans="1:4" ht="15" customHeight="1" x14ac:dyDescent="0.15">
      <c r="A71" s="24" t="s">
        <v>2285</v>
      </c>
      <c r="B71" s="24"/>
      <c r="C71" s="24"/>
      <c r="D71" s="24">
        <v>6</v>
      </c>
    </row>
    <row r="72" spans="1:4" ht="15" customHeight="1" x14ac:dyDescent="0.15">
      <c r="A72" s="24" t="s">
        <v>2309</v>
      </c>
      <c r="B72" s="31">
        <v>1145</v>
      </c>
      <c r="C72" s="31">
        <v>1121</v>
      </c>
      <c r="D72" s="24">
        <v>4</v>
      </c>
    </row>
    <row r="73" spans="1:4" ht="15" customHeight="1" x14ac:dyDescent="0.15">
      <c r="A73" s="24"/>
      <c r="B73" s="24" t="s">
        <v>2310</v>
      </c>
      <c r="C73" s="24"/>
      <c r="D73" s="24">
        <v>4</v>
      </c>
    </row>
    <row r="74" spans="1:4" ht="15" customHeight="1" x14ac:dyDescent="0.15">
      <c r="A74" s="24"/>
      <c r="B74" s="31">
        <v>2638</v>
      </c>
      <c r="C74" s="31">
        <v>2649</v>
      </c>
      <c r="D74" s="24">
        <v>1</v>
      </c>
    </row>
    <row r="75" spans="1:4" ht="15" customHeight="1" x14ac:dyDescent="0.15">
      <c r="A75" s="24"/>
      <c r="B75" s="24" t="s">
        <v>2357</v>
      </c>
      <c r="C75" s="24"/>
      <c r="D75" s="24">
        <v>1</v>
      </c>
    </row>
    <row r="76" spans="1:4" ht="15" customHeight="1" x14ac:dyDescent="0.15">
      <c r="A76" s="24"/>
      <c r="B76" s="31">
        <v>2630</v>
      </c>
      <c r="C76" s="31">
        <v>2649</v>
      </c>
      <c r="D76" s="24">
        <v>1</v>
      </c>
    </row>
    <row r="77" spans="1:4" ht="15" customHeight="1" x14ac:dyDescent="0.15">
      <c r="A77" s="24"/>
      <c r="B77" s="24" t="s">
        <v>2358</v>
      </c>
      <c r="C77" s="24"/>
      <c r="D77" s="24">
        <v>1</v>
      </c>
    </row>
    <row r="78" spans="1:4" ht="15" customHeight="1" x14ac:dyDescent="0.15">
      <c r="A78" s="24" t="s">
        <v>2311</v>
      </c>
      <c r="B78" s="24"/>
      <c r="C78" s="24"/>
      <c r="D78" s="24">
        <v>6</v>
      </c>
    </row>
    <row r="79" spans="1:4" ht="15" customHeight="1" x14ac:dyDescent="0.15">
      <c r="A79" s="24" t="s">
        <v>2293</v>
      </c>
      <c r="B79" s="31">
        <v>2340</v>
      </c>
      <c r="C79" s="31">
        <v>2338</v>
      </c>
      <c r="D79" s="24">
        <v>6</v>
      </c>
    </row>
    <row r="80" spans="1:4" ht="15" customHeight="1" x14ac:dyDescent="0.15">
      <c r="A80" s="24"/>
      <c r="B80" s="24" t="s">
        <v>2294</v>
      </c>
      <c r="C80" s="24"/>
      <c r="D80" s="24">
        <v>6</v>
      </c>
    </row>
    <row r="81" spans="1:4" ht="15" customHeight="1" x14ac:dyDescent="0.15">
      <c r="A81" s="24" t="s">
        <v>2295</v>
      </c>
      <c r="B81" s="24"/>
      <c r="C81" s="24"/>
      <c r="D81" s="24">
        <v>6</v>
      </c>
    </row>
    <row r="82" spans="1:4" ht="13" x14ac:dyDescent="0.15">
      <c r="A82" s="24" t="s">
        <v>2359</v>
      </c>
      <c r="B82" s="31">
        <v>2403</v>
      </c>
      <c r="C82" s="31">
        <v>1131</v>
      </c>
      <c r="D82" s="24">
        <v>4</v>
      </c>
    </row>
    <row r="83" spans="1:4" ht="13" x14ac:dyDescent="0.15">
      <c r="A83" s="24"/>
      <c r="B83" s="24" t="s">
        <v>2261</v>
      </c>
      <c r="C83" s="24"/>
      <c r="D83" s="24">
        <v>4</v>
      </c>
    </row>
    <row r="84" spans="1:4" ht="13" x14ac:dyDescent="0.15">
      <c r="A84" s="24"/>
      <c r="B84" s="31">
        <v>2414</v>
      </c>
      <c r="C84" s="24" t="s">
        <v>2360</v>
      </c>
      <c r="D84" s="24">
        <v>1</v>
      </c>
    </row>
    <row r="85" spans="1:4" ht="13" x14ac:dyDescent="0.15">
      <c r="A85" s="24"/>
      <c r="B85" s="24"/>
      <c r="C85" s="31">
        <v>1131</v>
      </c>
      <c r="D85" s="24">
        <v>1</v>
      </c>
    </row>
    <row r="86" spans="1:4" ht="13" x14ac:dyDescent="0.15">
      <c r="A86" s="24"/>
      <c r="B86" s="24" t="s">
        <v>2361</v>
      </c>
      <c r="C86" s="24"/>
      <c r="D86" s="24">
        <v>2</v>
      </c>
    </row>
    <row r="87" spans="1:4" ht="13" x14ac:dyDescent="0.15">
      <c r="A87" s="24" t="s">
        <v>2362</v>
      </c>
      <c r="B87" s="24"/>
      <c r="C87" s="24"/>
      <c r="D87" s="24">
        <v>6</v>
      </c>
    </row>
    <row r="88" spans="1:4" ht="13" x14ac:dyDescent="0.15">
      <c r="A88" s="24" t="s">
        <v>2363</v>
      </c>
      <c r="B88" s="31">
        <v>1014</v>
      </c>
      <c r="C88" s="31">
        <v>1015</v>
      </c>
      <c r="D88" s="24">
        <v>5</v>
      </c>
    </row>
    <row r="89" spans="1:4" ht="13" x14ac:dyDescent="0.15">
      <c r="A89" s="24"/>
      <c r="B89" s="24" t="s">
        <v>2364</v>
      </c>
      <c r="C89" s="24"/>
      <c r="D89" s="24">
        <v>5</v>
      </c>
    </row>
    <row r="90" spans="1:4" ht="13" x14ac:dyDescent="0.15">
      <c r="A90" s="24" t="s">
        <v>2365</v>
      </c>
      <c r="B90" s="24"/>
      <c r="C90" s="24"/>
      <c r="D90" s="24">
        <v>5</v>
      </c>
    </row>
    <row r="91" spans="1:4" ht="13" x14ac:dyDescent="0.15">
      <c r="A91" s="24" t="s">
        <v>1075</v>
      </c>
      <c r="B91" s="31">
        <v>1088</v>
      </c>
      <c r="C91" s="31">
        <v>1078</v>
      </c>
      <c r="D91" s="24">
        <v>2</v>
      </c>
    </row>
    <row r="92" spans="1:4" ht="13" x14ac:dyDescent="0.15">
      <c r="A92" s="24"/>
      <c r="B92" s="24" t="s">
        <v>2355</v>
      </c>
      <c r="C92" s="24"/>
      <c r="D92" s="24">
        <v>2</v>
      </c>
    </row>
    <row r="93" spans="1:4" ht="13" x14ac:dyDescent="0.15">
      <c r="A93" s="24"/>
      <c r="B93" s="31">
        <v>2506</v>
      </c>
      <c r="C93" s="31">
        <v>1138</v>
      </c>
      <c r="D93" s="24">
        <v>1</v>
      </c>
    </row>
    <row r="94" spans="1:4" ht="13" x14ac:dyDescent="0.15">
      <c r="A94" s="24"/>
      <c r="B94" s="24" t="s">
        <v>2366</v>
      </c>
      <c r="C94" s="24"/>
      <c r="D94" s="24">
        <v>1</v>
      </c>
    </row>
    <row r="95" spans="1:4" ht="13" x14ac:dyDescent="0.15">
      <c r="A95" s="24"/>
      <c r="B95" s="31">
        <v>2414</v>
      </c>
      <c r="C95" s="31">
        <v>2450</v>
      </c>
      <c r="D95" s="24">
        <v>1</v>
      </c>
    </row>
    <row r="96" spans="1:4" ht="13" x14ac:dyDescent="0.15">
      <c r="A96" s="24"/>
      <c r="B96" s="24" t="s">
        <v>2361</v>
      </c>
      <c r="C96" s="24"/>
      <c r="D96" s="24">
        <v>1</v>
      </c>
    </row>
    <row r="97" spans="1:4" ht="13" x14ac:dyDescent="0.15">
      <c r="A97" s="24"/>
      <c r="B97" s="31">
        <v>2413</v>
      </c>
      <c r="C97" s="31">
        <v>1138</v>
      </c>
      <c r="D97" s="24">
        <v>1</v>
      </c>
    </row>
    <row r="98" spans="1:4" ht="13" x14ac:dyDescent="0.15">
      <c r="A98" s="24"/>
      <c r="B98" s="24" t="s">
        <v>2260</v>
      </c>
      <c r="C98" s="24"/>
      <c r="D98" s="24">
        <v>1</v>
      </c>
    </row>
    <row r="99" spans="1:4" ht="13" x14ac:dyDescent="0.15">
      <c r="A99" s="24" t="s">
        <v>2263</v>
      </c>
      <c r="B99" s="24"/>
      <c r="C99" s="24"/>
      <c r="D99" s="24">
        <v>5</v>
      </c>
    </row>
    <row r="100" spans="1:4" ht="13" x14ac:dyDescent="0.15">
      <c r="A100" s="24" t="s">
        <v>2367</v>
      </c>
      <c r="B100" s="31">
        <v>1067</v>
      </c>
      <c r="C100" s="31">
        <v>1042</v>
      </c>
      <c r="D100" s="24">
        <v>2</v>
      </c>
    </row>
    <row r="101" spans="1:4" ht="13" x14ac:dyDescent="0.15">
      <c r="A101" s="24"/>
      <c r="B101" s="24" t="s">
        <v>2368</v>
      </c>
      <c r="C101" s="24"/>
      <c r="D101" s="24">
        <v>2</v>
      </c>
    </row>
    <row r="102" spans="1:4" ht="13" x14ac:dyDescent="0.15">
      <c r="A102" s="24"/>
      <c r="B102" s="31">
        <v>1046</v>
      </c>
      <c r="C102" s="31">
        <v>1045</v>
      </c>
      <c r="D102" s="24">
        <v>2</v>
      </c>
    </row>
    <row r="103" spans="1:4" ht="13" x14ac:dyDescent="0.15">
      <c r="A103" s="24"/>
      <c r="B103" s="24" t="s">
        <v>2369</v>
      </c>
      <c r="C103" s="24"/>
      <c r="D103" s="24">
        <v>2</v>
      </c>
    </row>
    <row r="104" spans="1:4" ht="13" x14ac:dyDescent="0.15">
      <c r="A104" s="24" t="s">
        <v>2370</v>
      </c>
      <c r="B104" s="24"/>
      <c r="C104" s="24"/>
      <c r="D104" s="24">
        <v>4</v>
      </c>
    </row>
    <row r="105" spans="1:4" ht="13" x14ac:dyDescent="0.15">
      <c r="A105" s="24" t="s">
        <v>2306</v>
      </c>
      <c r="B105" s="31">
        <v>2637</v>
      </c>
      <c r="C105" s="31">
        <v>2646</v>
      </c>
      <c r="D105" s="24">
        <v>4</v>
      </c>
    </row>
    <row r="106" spans="1:4" ht="13" x14ac:dyDescent="0.15">
      <c r="A106" s="24"/>
      <c r="B106" s="24" t="s">
        <v>2371</v>
      </c>
      <c r="C106" s="24"/>
      <c r="D106" s="24">
        <v>4</v>
      </c>
    </row>
    <row r="107" spans="1:4" ht="13" x14ac:dyDescent="0.15">
      <c r="A107" s="24" t="s">
        <v>2308</v>
      </c>
      <c r="B107" s="24"/>
      <c r="C107" s="24"/>
      <c r="D107" s="24">
        <v>4</v>
      </c>
    </row>
    <row r="108" spans="1:4" ht="13" x14ac:dyDescent="0.15">
      <c r="A108" s="24" t="s">
        <v>992</v>
      </c>
      <c r="B108" s="31">
        <v>2400</v>
      </c>
      <c r="C108" s="31">
        <v>2408</v>
      </c>
      <c r="D108" s="24">
        <v>4</v>
      </c>
    </row>
    <row r="109" spans="1:4" ht="13" x14ac:dyDescent="0.15">
      <c r="A109" s="24"/>
      <c r="B109" s="24" t="s">
        <v>2296</v>
      </c>
      <c r="C109" s="24"/>
      <c r="D109" s="24">
        <v>4</v>
      </c>
    </row>
    <row r="110" spans="1:4" ht="13" x14ac:dyDescent="0.15">
      <c r="A110" s="24" t="s">
        <v>2298</v>
      </c>
      <c r="B110" s="24"/>
      <c r="C110" s="24"/>
      <c r="D110" s="24">
        <v>4</v>
      </c>
    </row>
    <row r="111" spans="1:4" ht="13" x14ac:dyDescent="0.15">
      <c r="A111" s="24" t="s">
        <v>2188</v>
      </c>
      <c r="B111" s="31">
        <v>1008</v>
      </c>
      <c r="C111" s="24" t="s">
        <v>2360</v>
      </c>
      <c r="D111" s="24">
        <v>1</v>
      </c>
    </row>
    <row r="112" spans="1:4" ht="13" x14ac:dyDescent="0.15">
      <c r="A112" s="24"/>
      <c r="B112" s="24" t="s">
        <v>2258</v>
      </c>
      <c r="C112" s="24"/>
      <c r="D112" s="24">
        <v>1</v>
      </c>
    </row>
    <row r="113" spans="1:4" ht="13" x14ac:dyDescent="0.15">
      <c r="A113" s="24"/>
      <c r="B113" s="31">
        <v>1001</v>
      </c>
      <c r="C113" s="31">
        <v>1013</v>
      </c>
      <c r="D113" s="24">
        <v>1</v>
      </c>
    </row>
    <row r="114" spans="1:4" ht="13" x14ac:dyDescent="0.15">
      <c r="A114" s="24"/>
      <c r="B114" s="24" t="s">
        <v>2372</v>
      </c>
      <c r="C114" s="24"/>
      <c r="D114" s="24">
        <v>1</v>
      </c>
    </row>
    <row r="115" spans="1:4" ht="13" x14ac:dyDescent="0.15">
      <c r="A115" s="24"/>
      <c r="B115" s="31">
        <v>1000</v>
      </c>
      <c r="C115" s="31">
        <v>1029</v>
      </c>
      <c r="D115" s="24">
        <v>1</v>
      </c>
    </row>
    <row r="116" spans="1:4" ht="13" x14ac:dyDescent="0.15">
      <c r="A116" s="24"/>
      <c r="B116" s="24" t="s">
        <v>2373</v>
      </c>
      <c r="C116" s="24"/>
      <c r="D116" s="24">
        <v>1</v>
      </c>
    </row>
    <row r="117" spans="1:4" ht="13" x14ac:dyDescent="0.15">
      <c r="A117" s="24" t="s">
        <v>2374</v>
      </c>
      <c r="B117" s="24"/>
      <c r="C117" s="24"/>
      <c r="D117" s="24">
        <v>3</v>
      </c>
    </row>
    <row r="118" spans="1:4" ht="13" x14ac:dyDescent="0.15">
      <c r="A118" s="24" t="s">
        <v>2375</v>
      </c>
      <c r="B118" s="31">
        <v>2632</v>
      </c>
      <c r="C118" s="31">
        <v>2449</v>
      </c>
      <c r="D118" s="24">
        <v>3</v>
      </c>
    </row>
    <row r="119" spans="1:4" ht="13" x14ac:dyDescent="0.15">
      <c r="A119" s="24"/>
      <c r="B119" s="24" t="s">
        <v>2376</v>
      </c>
      <c r="C119" s="24"/>
      <c r="D119" s="24">
        <v>3</v>
      </c>
    </row>
    <row r="120" spans="1:4" ht="13" x14ac:dyDescent="0.15">
      <c r="A120" s="24" t="s">
        <v>2377</v>
      </c>
      <c r="B120" s="24"/>
      <c r="C120" s="24"/>
      <c r="D120" s="24">
        <v>3</v>
      </c>
    </row>
    <row r="121" spans="1:4" ht="13" x14ac:dyDescent="0.15">
      <c r="A121" s="24" t="s">
        <v>2378</v>
      </c>
      <c r="B121" s="31">
        <v>2422</v>
      </c>
      <c r="C121" s="24" t="s">
        <v>2379</v>
      </c>
      <c r="D121" s="24">
        <v>2</v>
      </c>
    </row>
    <row r="122" spans="1:4" ht="13" x14ac:dyDescent="0.15">
      <c r="A122" s="24"/>
      <c r="B122" s="24" t="s">
        <v>2380</v>
      </c>
      <c r="C122" s="24"/>
      <c r="D122" s="24">
        <v>2</v>
      </c>
    </row>
    <row r="123" spans="1:4" ht="13" x14ac:dyDescent="0.15">
      <c r="A123" s="24" t="s">
        <v>2381</v>
      </c>
      <c r="B123" s="24"/>
      <c r="C123" s="24"/>
      <c r="D123" s="24">
        <v>2</v>
      </c>
    </row>
    <row r="124" spans="1:4" ht="13" x14ac:dyDescent="0.15">
      <c r="A124" s="24" t="s">
        <v>2382</v>
      </c>
      <c r="B124" s="31">
        <v>1035</v>
      </c>
      <c r="C124" s="24" t="s">
        <v>2360</v>
      </c>
      <c r="D124" s="24">
        <v>1</v>
      </c>
    </row>
    <row r="125" spans="1:4" ht="13" x14ac:dyDescent="0.15">
      <c r="A125" s="24"/>
      <c r="B125" s="24" t="s">
        <v>2383</v>
      </c>
      <c r="C125" s="24"/>
      <c r="D125" s="24">
        <v>1</v>
      </c>
    </row>
    <row r="126" spans="1:4" ht="13" x14ac:dyDescent="0.15">
      <c r="A126" s="24"/>
      <c r="B126" s="31">
        <v>1034</v>
      </c>
      <c r="C126" s="24" t="s">
        <v>2360</v>
      </c>
      <c r="D126" s="24">
        <v>1</v>
      </c>
    </row>
    <row r="127" spans="1:4" ht="13" x14ac:dyDescent="0.15">
      <c r="A127" s="24"/>
      <c r="B127" s="24" t="s">
        <v>2384</v>
      </c>
      <c r="C127" s="24"/>
      <c r="D127" s="24">
        <v>1</v>
      </c>
    </row>
    <row r="128" spans="1:4" ht="13" x14ac:dyDescent="0.15">
      <c r="A128" s="24" t="s">
        <v>2385</v>
      </c>
      <c r="B128" s="24"/>
      <c r="C128" s="24"/>
      <c r="D128" s="24">
        <v>2</v>
      </c>
    </row>
    <row r="129" spans="1:4" ht="13" x14ac:dyDescent="0.15">
      <c r="A129" s="24" t="s">
        <v>2299</v>
      </c>
      <c r="B129" s="31">
        <v>1115</v>
      </c>
      <c r="C129" s="31">
        <v>1104</v>
      </c>
      <c r="D129" s="24">
        <v>2</v>
      </c>
    </row>
    <row r="130" spans="1:4" ht="13" x14ac:dyDescent="0.15">
      <c r="A130" s="24"/>
      <c r="B130" s="24" t="s">
        <v>2386</v>
      </c>
      <c r="C130" s="24"/>
      <c r="D130" s="24">
        <v>2</v>
      </c>
    </row>
    <row r="131" spans="1:4" ht="13" x14ac:dyDescent="0.15">
      <c r="A131" s="24" t="s">
        <v>2302</v>
      </c>
      <c r="B131" s="24"/>
      <c r="C131" s="24"/>
      <c r="D131" s="24">
        <v>2</v>
      </c>
    </row>
    <row r="132" spans="1:4" ht="13" x14ac:dyDescent="0.15">
      <c r="A132" s="24" t="s">
        <v>2387</v>
      </c>
      <c r="B132" s="31">
        <v>2451</v>
      </c>
      <c r="C132" s="31">
        <v>2402</v>
      </c>
      <c r="D132" s="24">
        <v>2</v>
      </c>
    </row>
    <row r="133" spans="1:4" ht="13" x14ac:dyDescent="0.15">
      <c r="A133" s="24"/>
      <c r="B133" s="24" t="s">
        <v>2388</v>
      </c>
      <c r="C133" s="24"/>
      <c r="D133" s="24">
        <v>2</v>
      </c>
    </row>
    <row r="134" spans="1:4" ht="13" x14ac:dyDescent="0.15">
      <c r="A134" s="24" t="s">
        <v>2389</v>
      </c>
      <c r="B134" s="24"/>
      <c r="C134" s="24"/>
      <c r="D134" s="24">
        <v>2</v>
      </c>
    </row>
    <row r="135" spans="1:4" ht="13" x14ac:dyDescent="0.15">
      <c r="A135" s="24" t="s">
        <v>2390</v>
      </c>
      <c r="B135" s="31">
        <v>2129</v>
      </c>
      <c r="C135" s="31">
        <v>2108</v>
      </c>
      <c r="D135" s="24">
        <v>2</v>
      </c>
    </row>
    <row r="136" spans="1:4" ht="13" x14ac:dyDescent="0.15">
      <c r="A136" s="24"/>
      <c r="B136" s="24" t="s">
        <v>2391</v>
      </c>
      <c r="C136" s="24"/>
      <c r="D136" s="24">
        <v>2</v>
      </c>
    </row>
    <row r="137" spans="1:4" ht="13" x14ac:dyDescent="0.15">
      <c r="A137" s="24" t="s">
        <v>2392</v>
      </c>
      <c r="B137" s="24"/>
      <c r="C137" s="24"/>
      <c r="D137" s="24">
        <v>2</v>
      </c>
    </row>
    <row r="138" spans="1:4" ht="13" x14ac:dyDescent="0.15">
      <c r="A138" s="24" t="s">
        <v>1074</v>
      </c>
      <c r="B138" s="31">
        <v>1036</v>
      </c>
      <c r="C138" s="31">
        <v>1032</v>
      </c>
      <c r="D138" s="24">
        <v>1</v>
      </c>
    </row>
    <row r="139" spans="1:4" ht="13" x14ac:dyDescent="0.15">
      <c r="A139" s="24"/>
      <c r="B139" s="24" t="s">
        <v>2312</v>
      </c>
      <c r="C139" s="24"/>
      <c r="D139" s="24">
        <v>1</v>
      </c>
    </row>
    <row r="140" spans="1:4" ht="13" x14ac:dyDescent="0.15">
      <c r="A140" s="24"/>
      <c r="B140" s="31">
        <v>1034</v>
      </c>
      <c r="C140" s="31">
        <v>1026</v>
      </c>
      <c r="D140" s="24">
        <v>1</v>
      </c>
    </row>
    <row r="141" spans="1:4" ht="13" x14ac:dyDescent="0.15">
      <c r="A141" s="24"/>
      <c r="B141" s="24" t="s">
        <v>2384</v>
      </c>
      <c r="C141" s="24"/>
      <c r="D141" s="24">
        <v>1</v>
      </c>
    </row>
    <row r="142" spans="1:4" ht="13" x14ac:dyDescent="0.15">
      <c r="A142" s="24" t="s">
        <v>2313</v>
      </c>
      <c r="B142" s="24"/>
      <c r="C142" s="24"/>
      <c r="D142" s="24">
        <v>2</v>
      </c>
    </row>
    <row r="143" spans="1:4" ht="13" x14ac:dyDescent="0.15">
      <c r="A143" s="24" t="s">
        <v>2393</v>
      </c>
      <c r="B143" s="31">
        <v>2341</v>
      </c>
      <c r="C143" s="31">
        <v>2337</v>
      </c>
      <c r="D143" s="24">
        <v>1</v>
      </c>
    </row>
    <row r="144" spans="1:4" ht="13" x14ac:dyDescent="0.15">
      <c r="A144" s="24"/>
      <c r="B144" s="24" t="s">
        <v>2394</v>
      </c>
      <c r="C144" s="24"/>
      <c r="D144" s="24">
        <v>1</v>
      </c>
    </row>
    <row r="145" spans="1:4" ht="13" x14ac:dyDescent="0.15">
      <c r="A145" s="24" t="s">
        <v>2395</v>
      </c>
      <c r="B145" s="24"/>
      <c r="C145" s="24"/>
      <c r="D145" s="24">
        <v>1</v>
      </c>
    </row>
    <row r="146" spans="1:4" ht="13" x14ac:dyDescent="0.15">
      <c r="A146" s="24" t="s">
        <v>2396</v>
      </c>
      <c r="B146" s="31">
        <v>2097</v>
      </c>
      <c r="C146" s="24" t="s">
        <v>2360</v>
      </c>
      <c r="D146" s="24">
        <v>1</v>
      </c>
    </row>
    <row r="147" spans="1:4" ht="13" x14ac:dyDescent="0.15">
      <c r="A147" s="24"/>
      <c r="B147" s="24" t="s">
        <v>2397</v>
      </c>
      <c r="C147" s="24"/>
      <c r="D147" s="24">
        <v>1</v>
      </c>
    </row>
    <row r="148" spans="1:4" ht="13" x14ac:dyDescent="0.15">
      <c r="A148" s="24" t="s">
        <v>2398</v>
      </c>
      <c r="B148" s="24"/>
      <c r="C148" s="24"/>
      <c r="D148" s="24">
        <v>1</v>
      </c>
    </row>
    <row r="149" spans="1:4" ht="13" x14ac:dyDescent="0.15">
      <c r="A149" s="24" t="s">
        <v>2399</v>
      </c>
      <c r="B149" s="31">
        <v>2502</v>
      </c>
      <c r="C149" s="31">
        <v>2641</v>
      </c>
      <c r="D149" s="24">
        <v>1</v>
      </c>
    </row>
    <row r="150" spans="1:4" ht="13" x14ac:dyDescent="0.15">
      <c r="A150" s="24"/>
      <c r="B150" s="24" t="s">
        <v>2350</v>
      </c>
      <c r="C150" s="24"/>
      <c r="D150" s="24">
        <v>1</v>
      </c>
    </row>
    <row r="151" spans="1:4" ht="13" x14ac:dyDescent="0.15">
      <c r="A151" s="24" t="s">
        <v>2400</v>
      </c>
      <c r="B151" s="24"/>
      <c r="C151" s="24"/>
      <c r="D151" s="24">
        <v>1</v>
      </c>
    </row>
    <row r="152" spans="1:4" ht="13" x14ac:dyDescent="0.15">
      <c r="A152" s="24" t="s">
        <v>2289</v>
      </c>
      <c r="B152" s="31">
        <v>2659</v>
      </c>
      <c r="C152" s="31">
        <v>2639</v>
      </c>
      <c r="D152" s="24">
        <v>1</v>
      </c>
    </row>
    <row r="153" spans="1:4" ht="13" x14ac:dyDescent="0.15">
      <c r="A153" s="24"/>
      <c r="B153" s="24" t="s">
        <v>2291</v>
      </c>
      <c r="C153" s="24"/>
      <c r="D153" s="24">
        <v>1</v>
      </c>
    </row>
    <row r="154" spans="1:4" ht="13" x14ac:dyDescent="0.15">
      <c r="A154" s="24" t="s">
        <v>2292</v>
      </c>
      <c r="B154" s="24"/>
      <c r="C154" s="24"/>
      <c r="D154" s="24">
        <v>1</v>
      </c>
    </row>
    <row r="155" spans="1:4" ht="13" x14ac:dyDescent="0.15">
      <c r="A155" s="24" t="s">
        <v>2314</v>
      </c>
      <c r="B155" s="24"/>
      <c r="C155" s="24"/>
      <c r="D155" s="24">
        <v>178</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13"/>
  <sheetViews>
    <sheetView showGridLines="0" workbookViewId="0"/>
  </sheetViews>
  <sheetFormatPr baseColWidth="10" defaultColWidth="14.3984375" defaultRowHeight="15" customHeight="1" x14ac:dyDescent="0.15"/>
  <sheetData>
    <row r="1" spans="1:3" ht="15" customHeight="1" x14ac:dyDescent="0.15">
      <c r="A1" s="24" t="s">
        <v>2253</v>
      </c>
      <c r="B1" s="24" t="s">
        <v>21</v>
      </c>
      <c r="C1" s="24" t="s">
        <v>2401</v>
      </c>
    </row>
    <row r="2" spans="1:3" ht="15" customHeight="1" x14ac:dyDescent="0.15">
      <c r="A2" s="31">
        <v>1000</v>
      </c>
      <c r="B2" s="24" t="s">
        <v>2188</v>
      </c>
      <c r="C2" s="24">
        <v>1</v>
      </c>
    </row>
    <row r="3" spans="1:3" ht="15" customHeight="1" x14ac:dyDescent="0.15">
      <c r="A3" s="31">
        <v>1001</v>
      </c>
      <c r="B3" s="24" t="s">
        <v>2188</v>
      </c>
      <c r="C3" s="24">
        <v>1</v>
      </c>
    </row>
    <row r="4" spans="1:3" ht="15" customHeight="1" x14ac:dyDescent="0.15">
      <c r="A4" s="31">
        <v>1008</v>
      </c>
      <c r="B4" s="24" t="s">
        <v>2255</v>
      </c>
      <c r="C4" s="24">
        <v>5</v>
      </c>
    </row>
    <row r="5" spans="1:3" ht="15" customHeight="1" x14ac:dyDescent="0.15">
      <c r="A5" s="31">
        <v>1010</v>
      </c>
      <c r="B5" s="24" t="s">
        <v>2255</v>
      </c>
      <c r="C5" s="24">
        <v>3</v>
      </c>
    </row>
    <row r="6" spans="1:3" ht="15" customHeight="1" x14ac:dyDescent="0.15">
      <c r="A6" s="31">
        <v>1014</v>
      </c>
      <c r="B6" s="24" t="s">
        <v>2363</v>
      </c>
      <c r="C6" s="24">
        <v>5</v>
      </c>
    </row>
    <row r="7" spans="1:3" ht="15" customHeight="1" x14ac:dyDescent="0.15">
      <c r="A7" s="31">
        <v>1019</v>
      </c>
      <c r="B7" s="24" t="s">
        <v>2264</v>
      </c>
      <c r="C7" s="24">
        <v>4</v>
      </c>
    </row>
    <row r="8" spans="1:3" ht="15" customHeight="1" x14ac:dyDescent="0.15">
      <c r="A8" s="31">
        <v>1020</v>
      </c>
      <c r="B8" s="24" t="s">
        <v>2264</v>
      </c>
      <c r="C8" s="24">
        <v>2</v>
      </c>
    </row>
    <row r="9" spans="1:3" ht="15" customHeight="1" x14ac:dyDescent="0.15">
      <c r="A9" s="31">
        <v>1021</v>
      </c>
      <c r="B9" s="24" t="s">
        <v>2264</v>
      </c>
      <c r="C9" s="24">
        <v>3</v>
      </c>
    </row>
    <row r="10" spans="1:3" ht="15" customHeight="1" x14ac:dyDescent="0.15">
      <c r="A10" s="31">
        <v>1024</v>
      </c>
      <c r="B10" s="24" t="s">
        <v>2273</v>
      </c>
      <c r="C10" s="24">
        <v>1</v>
      </c>
    </row>
    <row r="11" spans="1:3" ht="15" customHeight="1" x14ac:dyDescent="0.15">
      <c r="A11" s="31">
        <v>1034</v>
      </c>
      <c r="B11" s="24" t="s">
        <v>1074</v>
      </c>
      <c r="C11" s="24">
        <v>1</v>
      </c>
    </row>
    <row r="12" spans="1:3" ht="15" customHeight="1" x14ac:dyDescent="0.15">
      <c r="A12" s="31">
        <v>1035</v>
      </c>
      <c r="B12" s="24" t="s">
        <v>2382</v>
      </c>
      <c r="C12" s="24">
        <v>1</v>
      </c>
    </row>
    <row r="13" spans="1:3" ht="15" customHeight="1" x14ac:dyDescent="0.15">
      <c r="A13" s="31">
        <v>1036</v>
      </c>
      <c r="B13" s="24" t="s">
        <v>1074</v>
      </c>
      <c r="C13" s="24">
        <v>1</v>
      </c>
    </row>
    <row r="14" spans="1:3" ht="15" customHeight="1" x14ac:dyDescent="0.15">
      <c r="A14" s="31">
        <v>1040</v>
      </c>
      <c r="B14" s="24" t="s">
        <v>1535</v>
      </c>
      <c r="C14" s="24">
        <v>13</v>
      </c>
    </row>
    <row r="15" spans="1:3" ht="15" customHeight="1" x14ac:dyDescent="0.15">
      <c r="A15" s="31">
        <v>1044</v>
      </c>
      <c r="B15" s="24" t="s">
        <v>2255</v>
      </c>
      <c r="C15" s="24">
        <v>4</v>
      </c>
    </row>
    <row r="16" spans="1:3" ht="15" customHeight="1" x14ac:dyDescent="0.15">
      <c r="A16" s="31">
        <v>1046</v>
      </c>
      <c r="B16" s="24" t="s">
        <v>2367</v>
      </c>
      <c r="C16" s="24">
        <v>2</v>
      </c>
    </row>
    <row r="17" spans="1:3" ht="15" customHeight="1" x14ac:dyDescent="0.15">
      <c r="A17" s="31">
        <v>1054</v>
      </c>
      <c r="B17" s="24" t="s">
        <v>2273</v>
      </c>
      <c r="C17" s="24">
        <v>12</v>
      </c>
    </row>
    <row r="18" spans="1:3" ht="15" customHeight="1" x14ac:dyDescent="0.15">
      <c r="A18" s="31">
        <v>1058</v>
      </c>
      <c r="B18" s="24" t="s">
        <v>2264</v>
      </c>
      <c r="C18" s="24">
        <v>4</v>
      </c>
    </row>
    <row r="19" spans="1:3" ht="15" customHeight="1" x14ac:dyDescent="0.15">
      <c r="A19" s="31">
        <v>1060</v>
      </c>
      <c r="B19" s="24" t="s">
        <v>2264</v>
      </c>
      <c r="C19" s="24">
        <v>5</v>
      </c>
    </row>
    <row r="20" spans="1:3" ht="15" customHeight="1" x14ac:dyDescent="0.15">
      <c r="A20" s="31">
        <v>1061</v>
      </c>
      <c r="B20" s="24" t="s">
        <v>2264</v>
      </c>
      <c r="C20" s="24">
        <v>1</v>
      </c>
    </row>
    <row r="21" spans="1:3" ht="15" customHeight="1" x14ac:dyDescent="0.15">
      <c r="A21" s="31">
        <v>1067</v>
      </c>
      <c r="B21" s="24" t="s">
        <v>2367</v>
      </c>
      <c r="C21" s="24">
        <v>2</v>
      </c>
    </row>
    <row r="22" spans="1:3" ht="15" customHeight="1" x14ac:dyDescent="0.15">
      <c r="A22" s="31">
        <v>1088</v>
      </c>
      <c r="B22" s="24" t="s">
        <v>1075</v>
      </c>
      <c r="C22" s="24">
        <v>2</v>
      </c>
    </row>
    <row r="23" spans="1:3" ht="15" customHeight="1" x14ac:dyDescent="0.15">
      <c r="A23" s="31">
        <v>1089</v>
      </c>
      <c r="B23" s="24" t="s">
        <v>2264</v>
      </c>
      <c r="C23" s="24">
        <v>6</v>
      </c>
    </row>
    <row r="24" spans="1:3" ht="15" customHeight="1" x14ac:dyDescent="0.15">
      <c r="A24" s="31">
        <v>1097</v>
      </c>
      <c r="B24" s="24" t="s">
        <v>2255</v>
      </c>
      <c r="C24" s="24">
        <v>4</v>
      </c>
    </row>
    <row r="25" spans="1:3" ht="15" customHeight="1" x14ac:dyDescent="0.15">
      <c r="A25" s="31">
        <v>1115</v>
      </c>
      <c r="B25" s="24" t="s">
        <v>2299</v>
      </c>
      <c r="C25" s="24">
        <v>2</v>
      </c>
    </row>
    <row r="26" spans="1:3" ht="15" customHeight="1" x14ac:dyDescent="0.15">
      <c r="A26" s="31">
        <v>1120</v>
      </c>
      <c r="B26" s="24" t="s">
        <v>2273</v>
      </c>
      <c r="C26" s="24">
        <v>2</v>
      </c>
    </row>
    <row r="27" spans="1:3" ht="15" customHeight="1" x14ac:dyDescent="0.15">
      <c r="A27" s="31">
        <v>1124</v>
      </c>
      <c r="B27" s="24" t="s">
        <v>2270</v>
      </c>
      <c r="C27" s="24">
        <v>16</v>
      </c>
    </row>
    <row r="28" spans="1:3" ht="15" customHeight="1" x14ac:dyDescent="0.15">
      <c r="A28" s="31">
        <v>1126</v>
      </c>
      <c r="B28" s="24" t="s">
        <v>2286</v>
      </c>
      <c r="C28" s="24">
        <v>7</v>
      </c>
    </row>
    <row r="29" spans="1:3" ht="15" customHeight="1" x14ac:dyDescent="0.15">
      <c r="A29" s="31">
        <v>1127</v>
      </c>
      <c r="B29" s="24" t="s">
        <v>2277</v>
      </c>
      <c r="C29" s="24">
        <v>4</v>
      </c>
    </row>
    <row r="30" spans="1:3" ht="15" customHeight="1" x14ac:dyDescent="0.15">
      <c r="A30" s="31">
        <v>1135</v>
      </c>
      <c r="B30" s="24" t="s">
        <v>2264</v>
      </c>
      <c r="C30" s="24">
        <v>1</v>
      </c>
    </row>
    <row r="31" spans="1:3" ht="15" customHeight="1" x14ac:dyDescent="0.15">
      <c r="A31" s="31">
        <v>1145</v>
      </c>
      <c r="B31" s="24" t="s">
        <v>2309</v>
      </c>
      <c r="C31" s="24">
        <v>4</v>
      </c>
    </row>
    <row r="32" spans="1:3" ht="15" customHeight="1" x14ac:dyDescent="0.15">
      <c r="A32" s="31">
        <v>1146</v>
      </c>
      <c r="B32" s="24" t="s">
        <v>2264</v>
      </c>
      <c r="C32" s="24">
        <v>1</v>
      </c>
    </row>
    <row r="33" spans="1:3" ht="15" customHeight="1" x14ac:dyDescent="0.15">
      <c r="A33" s="31">
        <v>2097</v>
      </c>
      <c r="B33" s="24" t="s">
        <v>2396</v>
      </c>
      <c r="C33" s="24">
        <v>1</v>
      </c>
    </row>
    <row r="34" spans="1:3" ht="15" customHeight="1" x14ac:dyDescent="0.15">
      <c r="A34" s="31">
        <v>2129</v>
      </c>
      <c r="B34" s="24" t="s">
        <v>2390</v>
      </c>
      <c r="C34" s="24">
        <v>2</v>
      </c>
    </row>
    <row r="35" spans="1:3" ht="15" customHeight="1" x14ac:dyDescent="0.15">
      <c r="A35" s="31">
        <v>2340</v>
      </c>
      <c r="B35" s="24" t="s">
        <v>2293</v>
      </c>
      <c r="C35" s="24">
        <v>6</v>
      </c>
    </row>
    <row r="36" spans="1:3" ht="15" customHeight="1" x14ac:dyDescent="0.15">
      <c r="A36" s="31">
        <v>2341</v>
      </c>
      <c r="B36" s="24" t="s">
        <v>2393</v>
      </c>
      <c r="C36" s="24">
        <v>1</v>
      </c>
    </row>
    <row r="37" spans="1:3" ht="15" customHeight="1" x14ac:dyDescent="0.15">
      <c r="A37" s="31">
        <v>2400</v>
      </c>
      <c r="B37" s="24" t="s">
        <v>992</v>
      </c>
      <c r="C37" s="24">
        <v>4</v>
      </c>
    </row>
    <row r="38" spans="1:3" ht="15" customHeight="1" x14ac:dyDescent="0.15">
      <c r="A38" s="31">
        <v>2403</v>
      </c>
      <c r="B38" s="24" t="s">
        <v>2359</v>
      </c>
      <c r="C38" s="24">
        <v>4</v>
      </c>
    </row>
    <row r="39" spans="1:3" ht="15" customHeight="1" x14ac:dyDescent="0.15">
      <c r="A39" s="31">
        <v>2413</v>
      </c>
      <c r="B39" s="24" t="s">
        <v>1075</v>
      </c>
      <c r="C39" s="24">
        <v>1</v>
      </c>
    </row>
    <row r="40" spans="1:3" ht="15" customHeight="1" x14ac:dyDescent="0.15">
      <c r="A40" s="31">
        <v>2414</v>
      </c>
      <c r="B40" s="24" t="s">
        <v>2359</v>
      </c>
      <c r="C40" s="24">
        <v>2</v>
      </c>
    </row>
    <row r="41" spans="1:3" ht="15" customHeight="1" x14ac:dyDescent="0.15">
      <c r="A41" s="31">
        <v>2422</v>
      </c>
      <c r="B41" s="24" t="s">
        <v>2378</v>
      </c>
      <c r="C41" s="24">
        <v>2</v>
      </c>
    </row>
    <row r="42" spans="1:3" ht="15" customHeight="1" x14ac:dyDescent="0.15">
      <c r="A42" s="31">
        <v>2423</v>
      </c>
      <c r="B42" s="24" t="s">
        <v>1393</v>
      </c>
      <c r="C42" s="24">
        <v>4</v>
      </c>
    </row>
    <row r="43" spans="1:3" ht="15" customHeight="1" x14ac:dyDescent="0.15">
      <c r="A43" s="31">
        <v>2424</v>
      </c>
      <c r="B43" s="24" t="s">
        <v>2255</v>
      </c>
      <c r="C43" s="24">
        <v>2</v>
      </c>
    </row>
    <row r="44" spans="1:3" ht="15" customHeight="1" x14ac:dyDescent="0.15">
      <c r="A44" s="31">
        <v>2436</v>
      </c>
      <c r="B44" s="24" t="s">
        <v>1535</v>
      </c>
      <c r="C44" s="24">
        <v>3</v>
      </c>
    </row>
    <row r="45" spans="1:3" ht="15" customHeight="1" x14ac:dyDescent="0.15">
      <c r="A45" s="31">
        <v>2451</v>
      </c>
      <c r="B45" s="24" t="s">
        <v>2387</v>
      </c>
      <c r="C45" s="24">
        <v>2</v>
      </c>
    </row>
    <row r="46" spans="1:3" ht="15" customHeight="1" x14ac:dyDescent="0.15">
      <c r="A46" s="31">
        <v>2502</v>
      </c>
      <c r="B46" s="24" t="s">
        <v>2255</v>
      </c>
      <c r="C46" s="24">
        <v>2</v>
      </c>
    </row>
    <row r="47" spans="1:3" ht="15" customHeight="1" x14ac:dyDescent="0.15">
      <c r="A47" s="31">
        <v>2506</v>
      </c>
      <c r="B47" s="24" t="s">
        <v>1075</v>
      </c>
      <c r="C47" s="24">
        <v>1</v>
      </c>
    </row>
    <row r="48" spans="1:3" ht="15" customHeight="1" x14ac:dyDescent="0.15">
      <c r="A48" s="31">
        <v>2626</v>
      </c>
      <c r="B48" s="24" t="s">
        <v>2273</v>
      </c>
      <c r="C48" s="24">
        <v>2</v>
      </c>
    </row>
    <row r="49" spans="1:3" ht="15" customHeight="1" x14ac:dyDescent="0.15">
      <c r="A49" s="31">
        <v>2630</v>
      </c>
      <c r="B49" s="24" t="s">
        <v>2309</v>
      </c>
      <c r="C49" s="24">
        <v>1</v>
      </c>
    </row>
    <row r="50" spans="1:3" ht="15" customHeight="1" x14ac:dyDescent="0.15">
      <c r="A50" s="31">
        <v>2632</v>
      </c>
      <c r="B50" s="24" t="s">
        <v>2375</v>
      </c>
      <c r="C50" s="24">
        <v>3</v>
      </c>
    </row>
    <row r="51" spans="1:3" ht="15" customHeight="1" x14ac:dyDescent="0.15">
      <c r="A51" s="31">
        <v>2637</v>
      </c>
      <c r="B51" s="24" t="s">
        <v>2306</v>
      </c>
      <c r="C51" s="24">
        <v>4</v>
      </c>
    </row>
    <row r="52" spans="1:3" ht="15" customHeight="1" x14ac:dyDescent="0.15">
      <c r="A52" s="31">
        <v>2638</v>
      </c>
      <c r="B52" s="24" t="s">
        <v>2309</v>
      </c>
      <c r="C52" s="24">
        <v>1</v>
      </c>
    </row>
    <row r="53" spans="1:3" ht="15" customHeight="1" x14ac:dyDescent="0.15">
      <c r="A53" s="31">
        <v>2640</v>
      </c>
      <c r="B53" s="24" t="s">
        <v>1393</v>
      </c>
      <c r="C53" s="24">
        <v>2</v>
      </c>
    </row>
    <row r="54" spans="1:3" ht="15" customHeight="1" x14ac:dyDescent="0.15">
      <c r="A54" s="31">
        <v>2659</v>
      </c>
      <c r="B54" s="24" t="s">
        <v>2289</v>
      </c>
      <c r="C54" s="24">
        <v>1</v>
      </c>
    </row>
    <row r="55" spans="1:3" ht="15" customHeight="1" x14ac:dyDescent="0.15">
      <c r="A55" s="24" t="s">
        <v>2373</v>
      </c>
      <c r="B55" s="24"/>
      <c r="C55" s="24">
        <v>1</v>
      </c>
    </row>
    <row r="56" spans="1:3" ht="15" customHeight="1" x14ac:dyDescent="0.15">
      <c r="A56" s="24" t="s">
        <v>2372</v>
      </c>
      <c r="B56" s="24"/>
      <c r="C56" s="24">
        <v>1</v>
      </c>
    </row>
    <row r="57" spans="1:3" ht="15" customHeight="1" x14ac:dyDescent="0.15">
      <c r="A57" s="24" t="s">
        <v>2258</v>
      </c>
      <c r="B57" s="24"/>
      <c r="C57" s="24">
        <v>6</v>
      </c>
    </row>
    <row r="58" spans="1:3" ht="15" customHeight="1" x14ac:dyDescent="0.15">
      <c r="A58" s="24" t="s">
        <v>2349</v>
      </c>
      <c r="B58" s="24"/>
      <c r="C58" s="24">
        <v>3</v>
      </c>
    </row>
    <row r="59" spans="1:3" ht="15" customHeight="1" x14ac:dyDescent="0.15">
      <c r="A59" s="24" t="s">
        <v>2364</v>
      </c>
      <c r="B59" s="24"/>
      <c r="C59" s="24">
        <v>5</v>
      </c>
    </row>
    <row r="60" spans="1:3" ht="15" customHeight="1" x14ac:dyDescent="0.15">
      <c r="A60" s="24" t="s">
        <v>2345</v>
      </c>
      <c r="B60" s="24"/>
      <c r="C60" s="24">
        <v>4</v>
      </c>
    </row>
    <row r="61" spans="1:3" ht="15" customHeight="1" x14ac:dyDescent="0.15">
      <c r="A61" s="24" t="s">
        <v>2347</v>
      </c>
      <c r="B61" s="24"/>
      <c r="C61" s="24">
        <v>2</v>
      </c>
    </row>
    <row r="62" spans="1:3" ht="15" customHeight="1" x14ac:dyDescent="0.15">
      <c r="A62" s="24" t="s">
        <v>2346</v>
      </c>
      <c r="B62" s="24"/>
      <c r="C62" s="24">
        <v>3</v>
      </c>
    </row>
    <row r="63" spans="1:3" ht="15" customHeight="1" x14ac:dyDescent="0.15">
      <c r="A63" s="24" t="s">
        <v>2353</v>
      </c>
      <c r="B63" s="24"/>
      <c r="C63" s="24">
        <v>1</v>
      </c>
    </row>
    <row r="64" spans="1:3" ht="15" customHeight="1" x14ac:dyDescent="0.15">
      <c r="A64" s="24" t="s">
        <v>2384</v>
      </c>
      <c r="B64" s="24"/>
      <c r="C64" s="24">
        <v>2</v>
      </c>
    </row>
    <row r="65" spans="1:3" ht="15" customHeight="1" x14ac:dyDescent="0.15">
      <c r="A65" s="24" t="s">
        <v>2383</v>
      </c>
      <c r="B65" s="24"/>
      <c r="C65" s="24">
        <v>1</v>
      </c>
    </row>
    <row r="66" spans="1:3" ht="15" customHeight="1" x14ac:dyDescent="0.15">
      <c r="A66" s="24" t="s">
        <v>2312</v>
      </c>
      <c r="B66" s="24"/>
      <c r="C66" s="24">
        <v>1</v>
      </c>
    </row>
    <row r="67" spans="1:3" ht="15" customHeight="1" x14ac:dyDescent="0.15">
      <c r="A67" s="24" t="s">
        <v>2354</v>
      </c>
      <c r="B67" s="24"/>
      <c r="C67" s="24">
        <v>13</v>
      </c>
    </row>
    <row r="68" spans="1:3" ht="15" customHeight="1" x14ac:dyDescent="0.15">
      <c r="A68" s="24" t="s">
        <v>2257</v>
      </c>
      <c r="B68" s="24"/>
      <c r="C68" s="24">
        <v>4</v>
      </c>
    </row>
    <row r="69" spans="1:3" ht="15" customHeight="1" x14ac:dyDescent="0.15">
      <c r="A69" s="24" t="s">
        <v>2369</v>
      </c>
      <c r="B69" s="24"/>
      <c r="C69" s="24">
        <v>2</v>
      </c>
    </row>
    <row r="70" spans="1:3" ht="15" customHeight="1" x14ac:dyDescent="0.15">
      <c r="A70" s="24" t="s">
        <v>2274</v>
      </c>
      <c r="B70" s="24"/>
      <c r="C70" s="24">
        <v>12</v>
      </c>
    </row>
    <row r="71" spans="1:3" ht="15" customHeight="1" x14ac:dyDescent="0.15">
      <c r="A71" s="24" t="s">
        <v>2344</v>
      </c>
      <c r="B71" s="24"/>
      <c r="C71" s="24">
        <v>4</v>
      </c>
    </row>
    <row r="72" spans="1:3" ht="15" customHeight="1" x14ac:dyDescent="0.15">
      <c r="A72" s="24" t="s">
        <v>2268</v>
      </c>
      <c r="B72" s="24"/>
      <c r="C72" s="24">
        <v>5</v>
      </c>
    </row>
    <row r="73" spans="1:3" ht="15" customHeight="1" x14ac:dyDescent="0.15">
      <c r="A73" s="24" t="s">
        <v>2348</v>
      </c>
      <c r="B73" s="24"/>
      <c r="C73" s="24">
        <v>1</v>
      </c>
    </row>
    <row r="74" spans="1:3" ht="15" customHeight="1" x14ac:dyDescent="0.15">
      <c r="A74" s="24" t="s">
        <v>2368</v>
      </c>
      <c r="B74" s="24"/>
      <c r="C74" s="24">
        <v>2</v>
      </c>
    </row>
    <row r="75" spans="1:3" ht="15" customHeight="1" x14ac:dyDescent="0.15">
      <c r="A75" s="24" t="s">
        <v>2355</v>
      </c>
      <c r="B75" s="24"/>
      <c r="C75" s="24">
        <v>5</v>
      </c>
    </row>
    <row r="76" spans="1:3" ht="15" customHeight="1" x14ac:dyDescent="0.15">
      <c r="A76" s="24" t="s">
        <v>2343</v>
      </c>
      <c r="B76" s="24"/>
      <c r="C76" s="24">
        <v>6</v>
      </c>
    </row>
    <row r="77" spans="1:3" ht="15" customHeight="1" x14ac:dyDescent="0.15">
      <c r="A77" s="24" t="s">
        <v>2256</v>
      </c>
      <c r="B77" s="24"/>
      <c r="C77" s="24">
        <v>4</v>
      </c>
    </row>
    <row r="78" spans="1:3" ht="15" customHeight="1" x14ac:dyDescent="0.15">
      <c r="A78" s="24" t="s">
        <v>2386</v>
      </c>
      <c r="B78" s="24"/>
      <c r="C78" s="24">
        <v>2</v>
      </c>
    </row>
    <row r="79" spans="1:3" ht="15" customHeight="1" x14ac:dyDescent="0.15">
      <c r="A79" s="24" t="s">
        <v>2352</v>
      </c>
      <c r="B79" s="24"/>
      <c r="C79" s="24">
        <v>2</v>
      </c>
    </row>
    <row r="80" spans="1:3" ht="15" customHeight="1" x14ac:dyDescent="0.15">
      <c r="A80" s="24" t="s">
        <v>2271</v>
      </c>
      <c r="B80" s="24"/>
      <c r="C80" s="24">
        <v>16</v>
      </c>
    </row>
    <row r="81" spans="1:3" ht="15" customHeight="1" x14ac:dyDescent="0.15">
      <c r="A81" s="24" t="s">
        <v>2356</v>
      </c>
      <c r="B81" s="24"/>
      <c r="C81" s="24">
        <v>7</v>
      </c>
    </row>
    <row r="82" spans="1:3" ht="13" x14ac:dyDescent="0.15">
      <c r="A82" s="24" t="s">
        <v>2279</v>
      </c>
      <c r="B82" s="24"/>
      <c r="C82" s="24">
        <v>4</v>
      </c>
    </row>
    <row r="83" spans="1:3" ht="13" x14ac:dyDescent="0.15">
      <c r="A83" s="24" t="s">
        <v>2267</v>
      </c>
      <c r="B83" s="24"/>
      <c r="C83" s="24">
        <v>1</v>
      </c>
    </row>
    <row r="84" spans="1:3" ht="13" x14ac:dyDescent="0.15">
      <c r="A84" s="24" t="s">
        <v>2310</v>
      </c>
      <c r="B84" s="24"/>
      <c r="C84" s="24">
        <v>4</v>
      </c>
    </row>
    <row r="85" spans="1:3" ht="13" x14ac:dyDescent="0.15">
      <c r="A85" s="24" t="s">
        <v>2265</v>
      </c>
      <c r="B85" s="24"/>
      <c r="C85" s="24">
        <v>1</v>
      </c>
    </row>
    <row r="86" spans="1:3" ht="13" x14ac:dyDescent="0.15">
      <c r="A86" s="24" t="s">
        <v>2397</v>
      </c>
      <c r="B86" s="24"/>
      <c r="C86" s="24">
        <v>1</v>
      </c>
    </row>
    <row r="87" spans="1:3" ht="13" x14ac:dyDescent="0.15">
      <c r="A87" s="24" t="s">
        <v>2391</v>
      </c>
      <c r="B87" s="24"/>
      <c r="C87" s="24">
        <v>2</v>
      </c>
    </row>
    <row r="88" spans="1:3" ht="13" x14ac:dyDescent="0.15">
      <c r="A88" s="24" t="s">
        <v>2294</v>
      </c>
      <c r="B88" s="24"/>
      <c r="C88" s="24">
        <v>6</v>
      </c>
    </row>
    <row r="89" spans="1:3" ht="13" x14ac:dyDescent="0.15">
      <c r="A89" s="24" t="s">
        <v>2394</v>
      </c>
      <c r="B89" s="24"/>
      <c r="C89" s="24">
        <v>1</v>
      </c>
    </row>
    <row r="90" spans="1:3" ht="13" x14ac:dyDescent="0.15">
      <c r="A90" s="24" t="s">
        <v>2296</v>
      </c>
      <c r="B90" s="24"/>
      <c r="C90" s="24">
        <v>4</v>
      </c>
    </row>
    <row r="91" spans="1:3" ht="13" x14ac:dyDescent="0.15">
      <c r="A91" s="24" t="s">
        <v>2261</v>
      </c>
      <c r="B91" s="24"/>
      <c r="C91" s="24">
        <v>4</v>
      </c>
    </row>
    <row r="92" spans="1:3" ht="13" x14ac:dyDescent="0.15">
      <c r="A92" s="24" t="s">
        <v>2260</v>
      </c>
      <c r="B92" s="24"/>
      <c r="C92" s="24">
        <v>1</v>
      </c>
    </row>
    <row r="93" spans="1:3" ht="13" x14ac:dyDescent="0.15">
      <c r="A93" s="24" t="s">
        <v>2361</v>
      </c>
      <c r="B93" s="24"/>
      <c r="C93" s="24">
        <v>3</v>
      </c>
    </row>
    <row r="94" spans="1:3" ht="13" x14ac:dyDescent="0.15">
      <c r="A94" s="24" t="s">
        <v>2380</v>
      </c>
      <c r="B94" s="24"/>
      <c r="C94" s="24">
        <v>2</v>
      </c>
    </row>
    <row r="95" spans="1:3" ht="13" x14ac:dyDescent="0.15">
      <c r="A95" s="24" t="s">
        <v>2284</v>
      </c>
      <c r="B95" s="24"/>
      <c r="C95" s="24">
        <v>4</v>
      </c>
    </row>
    <row r="96" spans="1:3" ht="13" x14ac:dyDescent="0.15">
      <c r="A96" s="24" t="s">
        <v>2351</v>
      </c>
      <c r="B96" s="24"/>
      <c r="C96" s="24">
        <v>2</v>
      </c>
    </row>
    <row r="97" spans="1:3" ht="13" x14ac:dyDescent="0.15">
      <c r="A97" s="24" t="s">
        <v>2281</v>
      </c>
      <c r="B97" s="24"/>
      <c r="C97" s="24">
        <v>3</v>
      </c>
    </row>
    <row r="98" spans="1:3" ht="13" x14ac:dyDescent="0.15">
      <c r="A98" s="24" t="s">
        <v>2388</v>
      </c>
      <c r="B98" s="24"/>
      <c r="C98" s="24">
        <v>2</v>
      </c>
    </row>
    <row r="99" spans="1:3" ht="13" x14ac:dyDescent="0.15">
      <c r="A99" s="24" t="s">
        <v>2350</v>
      </c>
      <c r="B99" s="24"/>
      <c r="C99" s="24">
        <v>3</v>
      </c>
    </row>
    <row r="100" spans="1:3" ht="13" x14ac:dyDescent="0.15">
      <c r="A100" s="24" t="s">
        <v>2366</v>
      </c>
      <c r="B100" s="24"/>
      <c r="C100" s="24">
        <v>1</v>
      </c>
    </row>
    <row r="101" spans="1:3" ht="13" x14ac:dyDescent="0.15">
      <c r="A101" s="24" t="s">
        <v>2275</v>
      </c>
      <c r="B101" s="24"/>
      <c r="C101" s="24">
        <v>2</v>
      </c>
    </row>
    <row r="102" spans="1:3" ht="13" x14ac:dyDescent="0.15">
      <c r="A102" s="24" t="s">
        <v>2358</v>
      </c>
      <c r="B102" s="24"/>
      <c r="C102" s="24">
        <v>1</v>
      </c>
    </row>
    <row r="103" spans="1:3" ht="13" x14ac:dyDescent="0.15">
      <c r="A103" s="24" t="s">
        <v>2376</v>
      </c>
      <c r="B103" s="24"/>
      <c r="C103" s="24">
        <v>3</v>
      </c>
    </row>
    <row r="104" spans="1:3" ht="13" x14ac:dyDescent="0.15">
      <c r="A104" s="24" t="s">
        <v>2371</v>
      </c>
      <c r="B104" s="24"/>
      <c r="C104" s="24">
        <v>4</v>
      </c>
    </row>
    <row r="105" spans="1:3" ht="13" x14ac:dyDescent="0.15">
      <c r="A105" s="24" t="s">
        <v>2357</v>
      </c>
      <c r="B105" s="24"/>
      <c r="C105" s="24">
        <v>1</v>
      </c>
    </row>
    <row r="106" spans="1:3" ht="13" x14ac:dyDescent="0.15">
      <c r="A106" s="24" t="s">
        <v>2283</v>
      </c>
      <c r="B106" s="24"/>
      <c r="C106" s="24">
        <v>2</v>
      </c>
    </row>
    <row r="107" spans="1:3" ht="13" x14ac:dyDescent="0.15">
      <c r="A107" s="24" t="s">
        <v>2291</v>
      </c>
      <c r="B107" s="24"/>
      <c r="C107" s="24">
        <v>1</v>
      </c>
    </row>
    <row r="108" spans="1:3" ht="13" x14ac:dyDescent="0.15">
      <c r="A108" s="24" t="s">
        <v>2314</v>
      </c>
      <c r="B108" s="24"/>
      <c r="C108" s="24">
        <v>178</v>
      </c>
    </row>
    <row r="109" spans="1:3" ht="13" x14ac:dyDescent="0.15">
      <c r="A109" s="24"/>
      <c r="B109" s="24" t="s">
        <v>2188</v>
      </c>
      <c r="C109" s="24">
        <v>1</v>
      </c>
    </row>
    <row r="110" spans="1:3" ht="13" x14ac:dyDescent="0.15">
      <c r="A110" s="24"/>
      <c r="B110" s="24" t="s">
        <v>2277</v>
      </c>
      <c r="C110" s="24">
        <v>3</v>
      </c>
    </row>
    <row r="111" spans="1:3" ht="13" x14ac:dyDescent="0.15">
      <c r="A111" s="24"/>
      <c r="B111" s="24" t="s">
        <v>2399</v>
      </c>
      <c r="C111" s="24">
        <v>1</v>
      </c>
    </row>
    <row r="112" spans="1:3" ht="13" x14ac:dyDescent="0.15">
      <c r="A112" s="24"/>
      <c r="B112" s="24" t="s">
        <v>1075</v>
      </c>
      <c r="C112" s="24">
        <v>1</v>
      </c>
    </row>
    <row r="113" spans="1:3" ht="13" x14ac:dyDescent="0.15">
      <c r="A113" s="24"/>
      <c r="B113" s="24" t="s">
        <v>2382</v>
      </c>
      <c r="C113" s="24">
        <v>1</v>
      </c>
    </row>
  </sheetData>
  <autoFilter ref="A1:AQ1000" xr:uid="{00000000-0009-0000-0000-000004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62"/>
  <sheetViews>
    <sheetView showGridLines="0" workbookViewId="0"/>
  </sheetViews>
  <sheetFormatPr baseColWidth="10" defaultColWidth="14.3984375" defaultRowHeight="15" customHeight="1" x14ac:dyDescent="0.15"/>
  <sheetData>
    <row r="1" spans="1:2" ht="15" customHeight="1" x14ac:dyDescent="0.15">
      <c r="A1" s="24" t="s">
        <v>12</v>
      </c>
      <c r="B1" s="24" t="s">
        <v>2342</v>
      </c>
    </row>
    <row r="2" spans="1:2" ht="15" customHeight="1" x14ac:dyDescent="0.15">
      <c r="A2" s="31">
        <v>1012</v>
      </c>
      <c r="B2" s="24">
        <v>10</v>
      </c>
    </row>
    <row r="3" spans="1:2" ht="15" customHeight="1" x14ac:dyDescent="0.15">
      <c r="A3" s="31">
        <v>1013</v>
      </c>
      <c r="B3" s="24">
        <v>1</v>
      </c>
    </row>
    <row r="4" spans="1:2" ht="15" customHeight="1" x14ac:dyDescent="0.15">
      <c r="A4" s="31">
        <v>1015</v>
      </c>
      <c r="B4" s="24">
        <v>5</v>
      </c>
    </row>
    <row r="5" spans="1:2" ht="15" customHeight="1" x14ac:dyDescent="0.15">
      <c r="A5" s="31">
        <v>1016</v>
      </c>
      <c r="B5" s="24">
        <v>3</v>
      </c>
    </row>
    <row r="6" spans="1:2" ht="15" customHeight="1" x14ac:dyDescent="0.15">
      <c r="A6" s="31">
        <v>1017</v>
      </c>
      <c r="B6" s="24">
        <v>6</v>
      </c>
    </row>
    <row r="7" spans="1:2" ht="15" customHeight="1" x14ac:dyDescent="0.15">
      <c r="A7" s="31">
        <v>1018</v>
      </c>
      <c r="B7" s="24">
        <v>2</v>
      </c>
    </row>
    <row r="8" spans="1:2" ht="15" customHeight="1" x14ac:dyDescent="0.15">
      <c r="A8" s="31">
        <v>1022</v>
      </c>
      <c r="B8" s="24">
        <v>1</v>
      </c>
    </row>
    <row r="9" spans="1:2" ht="15" customHeight="1" x14ac:dyDescent="0.15">
      <c r="A9" s="31">
        <v>1023</v>
      </c>
      <c r="B9" s="24">
        <v>4</v>
      </c>
    </row>
    <row r="10" spans="1:2" ht="15" customHeight="1" x14ac:dyDescent="0.15">
      <c r="A10" s="31">
        <v>1026</v>
      </c>
      <c r="B10" s="24">
        <v>1</v>
      </c>
    </row>
    <row r="11" spans="1:2" ht="15" customHeight="1" x14ac:dyDescent="0.15">
      <c r="A11" s="31">
        <v>1029</v>
      </c>
      <c r="B11" s="24">
        <v>1</v>
      </c>
    </row>
    <row r="12" spans="1:2" ht="15" customHeight="1" x14ac:dyDescent="0.15">
      <c r="A12" s="31">
        <v>1030</v>
      </c>
      <c r="B12" s="24">
        <v>1</v>
      </c>
    </row>
    <row r="13" spans="1:2" ht="15" customHeight="1" x14ac:dyDescent="0.15">
      <c r="A13" s="31">
        <v>1032</v>
      </c>
      <c r="B13" s="24">
        <v>2</v>
      </c>
    </row>
    <row r="14" spans="1:2" ht="15" customHeight="1" x14ac:dyDescent="0.15">
      <c r="A14" s="31">
        <v>1041</v>
      </c>
      <c r="B14" s="24">
        <v>13</v>
      </c>
    </row>
    <row r="15" spans="1:2" ht="15" customHeight="1" x14ac:dyDescent="0.15">
      <c r="A15" s="31">
        <v>1042</v>
      </c>
      <c r="B15" s="24">
        <v>2</v>
      </c>
    </row>
    <row r="16" spans="1:2" ht="15" customHeight="1" x14ac:dyDescent="0.15">
      <c r="A16" s="31">
        <v>1045</v>
      </c>
      <c r="B16" s="24">
        <v>2</v>
      </c>
    </row>
    <row r="17" spans="1:2" ht="15" customHeight="1" x14ac:dyDescent="0.15">
      <c r="A17" s="31">
        <v>1051</v>
      </c>
      <c r="B17" s="24">
        <v>13</v>
      </c>
    </row>
    <row r="18" spans="1:2" ht="15" customHeight="1" x14ac:dyDescent="0.15">
      <c r="A18" s="31">
        <v>1056</v>
      </c>
      <c r="B18" s="24">
        <v>1</v>
      </c>
    </row>
    <row r="19" spans="1:2" ht="15" customHeight="1" x14ac:dyDescent="0.15">
      <c r="A19" s="31">
        <v>1057</v>
      </c>
      <c r="B19" s="24">
        <v>4</v>
      </c>
    </row>
    <row r="20" spans="1:2" ht="15" customHeight="1" x14ac:dyDescent="0.15">
      <c r="A20" s="31">
        <v>1059</v>
      </c>
      <c r="B20" s="24">
        <v>6</v>
      </c>
    </row>
    <row r="21" spans="1:2" ht="15" customHeight="1" x14ac:dyDescent="0.15">
      <c r="A21" s="31">
        <v>1064</v>
      </c>
      <c r="B21" s="24">
        <v>5</v>
      </c>
    </row>
    <row r="22" spans="1:2" ht="15" customHeight="1" x14ac:dyDescent="0.15">
      <c r="A22" s="31">
        <v>1065</v>
      </c>
      <c r="B22" s="24">
        <v>1</v>
      </c>
    </row>
    <row r="23" spans="1:2" ht="15" customHeight="1" x14ac:dyDescent="0.15">
      <c r="A23" s="31">
        <v>1078</v>
      </c>
      <c r="B23" s="24">
        <v>2</v>
      </c>
    </row>
    <row r="24" spans="1:2" ht="15" customHeight="1" x14ac:dyDescent="0.15">
      <c r="A24" s="31">
        <v>1102</v>
      </c>
      <c r="B24" s="24">
        <v>5</v>
      </c>
    </row>
    <row r="25" spans="1:2" ht="15" customHeight="1" x14ac:dyDescent="0.15">
      <c r="A25" s="31">
        <v>1103</v>
      </c>
      <c r="B25" s="24">
        <v>7</v>
      </c>
    </row>
    <row r="26" spans="1:2" ht="15" customHeight="1" x14ac:dyDescent="0.15">
      <c r="A26" s="31">
        <v>1104</v>
      </c>
      <c r="B26" s="24">
        <v>2</v>
      </c>
    </row>
    <row r="27" spans="1:2" ht="15" customHeight="1" x14ac:dyDescent="0.15">
      <c r="A27" s="31">
        <v>1108</v>
      </c>
      <c r="B27" s="24">
        <v>4</v>
      </c>
    </row>
    <row r="28" spans="1:2" ht="15" customHeight="1" x14ac:dyDescent="0.15">
      <c r="A28" s="31">
        <v>1113</v>
      </c>
      <c r="B28" s="24">
        <v>4</v>
      </c>
    </row>
    <row r="29" spans="1:2" ht="15" customHeight="1" x14ac:dyDescent="0.15">
      <c r="A29" s="31">
        <v>1116</v>
      </c>
      <c r="B29" s="24">
        <v>4</v>
      </c>
    </row>
    <row r="30" spans="1:2" ht="15" customHeight="1" x14ac:dyDescent="0.15">
      <c r="A30" s="31">
        <v>1121</v>
      </c>
      <c r="B30" s="24">
        <v>9</v>
      </c>
    </row>
    <row r="31" spans="1:2" ht="15" customHeight="1" x14ac:dyDescent="0.15">
      <c r="A31" s="31">
        <v>1125</v>
      </c>
      <c r="B31" s="24">
        <v>21</v>
      </c>
    </row>
    <row r="32" spans="1:2" ht="15" customHeight="1" x14ac:dyDescent="0.15">
      <c r="A32" s="31">
        <v>1130</v>
      </c>
      <c r="B32" s="24">
        <v>9</v>
      </c>
    </row>
    <row r="33" spans="1:2" ht="15" customHeight="1" x14ac:dyDescent="0.15">
      <c r="A33" s="31">
        <v>1131</v>
      </c>
      <c r="B33" s="24">
        <v>8</v>
      </c>
    </row>
    <row r="34" spans="1:2" ht="15" customHeight="1" x14ac:dyDescent="0.15">
      <c r="A34" s="31">
        <v>1138</v>
      </c>
      <c r="B34" s="24">
        <v>7</v>
      </c>
    </row>
    <row r="35" spans="1:2" ht="15" customHeight="1" x14ac:dyDescent="0.15">
      <c r="A35" s="31">
        <v>1142</v>
      </c>
      <c r="B35" s="24">
        <v>2</v>
      </c>
    </row>
    <row r="36" spans="1:2" ht="15" customHeight="1" x14ac:dyDescent="0.15">
      <c r="A36" s="31">
        <v>2108</v>
      </c>
      <c r="B36" s="24">
        <v>2</v>
      </c>
    </row>
    <row r="37" spans="1:2" ht="15" customHeight="1" x14ac:dyDescent="0.15">
      <c r="A37" s="31">
        <v>2208</v>
      </c>
      <c r="B37" s="24">
        <v>10</v>
      </c>
    </row>
    <row r="38" spans="1:2" ht="15" customHeight="1" x14ac:dyDescent="0.15">
      <c r="A38" s="31">
        <v>2337</v>
      </c>
      <c r="B38" s="24">
        <v>3</v>
      </c>
    </row>
    <row r="39" spans="1:2" ht="15" customHeight="1" x14ac:dyDescent="0.15">
      <c r="A39" s="31">
        <v>2338</v>
      </c>
      <c r="B39" s="24">
        <v>9</v>
      </c>
    </row>
    <row r="40" spans="1:2" ht="15" customHeight="1" x14ac:dyDescent="0.15">
      <c r="A40" s="31">
        <v>2402</v>
      </c>
      <c r="B40" s="24">
        <v>5</v>
      </c>
    </row>
    <row r="41" spans="1:2" ht="15" customHeight="1" x14ac:dyDescent="0.15">
      <c r="A41" s="31">
        <v>2406</v>
      </c>
      <c r="B41" s="24">
        <v>3</v>
      </c>
    </row>
    <row r="42" spans="1:2" ht="15" customHeight="1" x14ac:dyDescent="0.15">
      <c r="A42" s="31">
        <v>2408</v>
      </c>
      <c r="B42" s="24">
        <v>7</v>
      </c>
    </row>
    <row r="43" spans="1:2" ht="15" customHeight="1" x14ac:dyDescent="0.15">
      <c r="A43" s="31">
        <v>2409</v>
      </c>
      <c r="B43" s="24">
        <v>2</v>
      </c>
    </row>
    <row r="44" spans="1:2" ht="15" customHeight="1" x14ac:dyDescent="0.15">
      <c r="A44" s="31">
        <v>2415</v>
      </c>
      <c r="B44" s="24">
        <v>2</v>
      </c>
    </row>
    <row r="45" spans="1:2" ht="15" customHeight="1" x14ac:dyDescent="0.15">
      <c r="A45" s="31">
        <v>2417</v>
      </c>
      <c r="B45" s="24">
        <v>5</v>
      </c>
    </row>
    <row r="46" spans="1:2" ht="15" customHeight="1" x14ac:dyDescent="0.15">
      <c r="A46" s="31">
        <v>2420</v>
      </c>
      <c r="B46" s="24">
        <v>2</v>
      </c>
    </row>
    <row r="47" spans="1:2" ht="15" customHeight="1" x14ac:dyDescent="0.15">
      <c r="A47" s="31">
        <v>2449</v>
      </c>
      <c r="B47" s="24">
        <v>7</v>
      </c>
    </row>
    <row r="48" spans="1:2" ht="15" customHeight="1" x14ac:dyDescent="0.15">
      <c r="A48" s="31">
        <v>2450</v>
      </c>
      <c r="B48" s="24">
        <v>2</v>
      </c>
    </row>
    <row r="49" spans="1:2" ht="15" customHeight="1" x14ac:dyDescent="0.15">
      <c r="A49" s="31">
        <v>2496</v>
      </c>
      <c r="B49" s="24">
        <v>5</v>
      </c>
    </row>
    <row r="50" spans="1:2" ht="15" customHeight="1" x14ac:dyDescent="0.15">
      <c r="A50" s="31">
        <v>2498</v>
      </c>
      <c r="B50" s="24">
        <v>4</v>
      </c>
    </row>
    <row r="51" spans="1:2" ht="15" customHeight="1" x14ac:dyDescent="0.15">
      <c r="A51" s="31">
        <v>2623</v>
      </c>
      <c r="B51" s="24">
        <v>5</v>
      </c>
    </row>
    <row r="52" spans="1:2" ht="15" customHeight="1" x14ac:dyDescent="0.15">
      <c r="A52" s="31">
        <v>2631</v>
      </c>
      <c r="B52" s="24">
        <v>6</v>
      </c>
    </row>
    <row r="53" spans="1:2" ht="15" customHeight="1" x14ac:dyDescent="0.15">
      <c r="A53" s="31">
        <v>2634</v>
      </c>
      <c r="B53" s="24">
        <v>2</v>
      </c>
    </row>
    <row r="54" spans="1:2" ht="15" customHeight="1" x14ac:dyDescent="0.15">
      <c r="A54" s="31">
        <v>2639</v>
      </c>
      <c r="B54" s="24">
        <v>11</v>
      </c>
    </row>
    <row r="55" spans="1:2" ht="15" customHeight="1" x14ac:dyDescent="0.15">
      <c r="A55" s="31">
        <v>2641</v>
      </c>
      <c r="B55" s="24">
        <v>1</v>
      </c>
    </row>
    <row r="56" spans="1:2" ht="15" customHeight="1" x14ac:dyDescent="0.15">
      <c r="A56" s="31">
        <v>2646</v>
      </c>
      <c r="B56" s="24">
        <v>5</v>
      </c>
    </row>
    <row r="57" spans="1:2" ht="15" customHeight="1" x14ac:dyDescent="0.15">
      <c r="A57" s="31">
        <v>2649</v>
      </c>
      <c r="B57" s="24">
        <v>4</v>
      </c>
    </row>
    <row r="58" spans="1:2" ht="15" customHeight="1" x14ac:dyDescent="0.15">
      <c r="A58" s="31">
        <v>2653</v>
      </c>
      <c r="B58" s="24">
        <v>1</v>
      </c>
    </row>
    <row r="59" spans="1:2" ht="15" customHeight="1" x14ac:dyDescent="0.15">
      <c r="A59" s="31">
        <v>2667</v>
      </c>
      <c r="B59" s="24">
        <v>1</v>
      </c>
    </row>
    <row r="60" spans="1:2" ht="15" customHeight="1" x14ac:dyDescent="0.15">
      <c r="A60" s="24" t="s">
        <v>2314</v>
      </c>
      <c r="B60" s="24">
        <v>343</v>
      </c>
    </row>
    <row r="61" spans="1:2" ht="15" customHeight="1" x14ac:dyDescent="0.15">
      <c r="A61" s="24" t="s">
        <v>2360</v>
      </c>
      <c r="B61" s="24">
        <v>6</v>
      </c>
    </row>
    <row r="62" spans="1:2" ht="15" customHeight="1" x14ac:dyDescent="0.15">
      <c r="A62" s="24" t="s">
        <v>2379</v>
      </c>
      <c r="B62" s="24">
        <v>65</v>
      </c>
    </row>
  </sheetData>
  <autoFilter ref="A1:Z1000"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00"/>
  <sheetViews>
    <sheetView workbookViewId="0">
      <pane ySplit="1" topLeftCell="A2" activePane="bottomLeft" state="frozen"/>
      <selection pane="bottomLeft" activeCell="B3" sqref="B3"/>
    </sheetView>
  </sheetViews>
  <sheetFormatPr baseColWidth="10" defaultColWidth="14.3984375" defaultRowHeight="15" customHeight="1" x14ac:dyDescent="0.15"/>
  <cols>
    <col min="1" max="1" width="59.796875" customWidth="1"/>
    <col min="3" max="3" width="19.59765625" customWidth="1"/>
    <col min="4" max="4" width="5.796875" customWidth="1"/>
    <col min="5" max="5" width="6" customWidth="1"/>
    <col min="6" max="6" width="5.59765625" customWidth="1"/>
    <col min="7" max="7" width="5.796875" customWidth="1"/>
    <col min="8" max="8" width="13.19921875" customWidth="1"/>
    <col min="9" max="10" width="11.19921875" customWidth="1"/>
    <col min="11" max="11" width="13.796875" customWidth="1"/>
    <col min="12" max="12" width="11.19921875" customWidth="1"/>
    <col min="13" max="13" width="10.19921875" customWidth="1"/>
    <col min="14" max="14" width="8.3984375" customWidth="1"/>
    <col min="15" max="15" width="9.796875" customWidth="1"/>
    <col min="16" max="16" width="11.19921875" customWidth="1"/>
    <col min="17" max="17" width="11.796875" customWidth="1"/>
    <col min="18" max="19" width="9.59765625" customWidth="1"/>
    <col min="20" max="20" width="9.796875" customWidth="1"/>
    <col min="21" max="21" width="15.3984375" customWidth="1"/>
    <col min="22" max="22" width="11.19921875" customWidth="1"/>
    <col min="23" max="23" width="8.59765625" customWidth="1"/>
    <col min="24" max="24" width="8.3984375" customWidth="1"/>
    <col min="25" max="25" width="9" customWidth="1"/>
    <col min="26" max="27" width="9.796875" customWidth="1"/>
    <col min="28" max="28" width="12.59765625" customWidth="1"/>
    <col min="29" max="29" width="10.3984375" customWidth="1"/>
    <col min="30" max="31" width="9.796875" customWidth="1"/>
  </cols>
  <sheetData>
    <row r="1" spans="1:31" ht="12.75" customHeight="1" x14ac:dyDescent="0.15">
      <c r="A1" s="33" t="s">
        <v>2402</v>
      </c>
      <c r="B1" s="34" t="s">
        <v>2403</v>
      </c>
      <c r="C1" s="34" t="s">
        <v>2404</v>
      </c>
      <c r="D1" s="34" t="s">
        <v>79</v>
      </c>
      <c r="E1" s="34" t="s">
        <v>2405</v>
      </c>
      <c r="F1" s="34" t="s">
        <v>2406</v>
      </c>
      <c r="G1" s="34" t="s">
        <v>2407</v>
      </c>
      <c r="H1" s="35" t="s">
        <v>2408</v>
      </c>
      <c r="I1" s="35" t="s">
        <v>2409</v>
      </c>
      <c r="J1" s="35" t="s">
        <v>2410</v>
      </c>
      <c r="K1" s="35" t="s">
        <v>2411</v>
      </c>
      <c r="L1" s="36" t="s">
        <v>2412</v>
      </c>
      <c r="M1" s="34" t="s">
        <v>2413</v>
      </c>
      <c r="N1" s="34" t="s">
        <v>2414</v>
      </c>
      <c r="O1" s="34" t="s">
        <v>2415</v>
      </c>
      <c r="P1" s="34" t="s">
        <v>2416</v>
      </c>
      <c r="Q1" s="34" t="s">
        <v>2417</v>
      </c>
      <c r="R1" s="34" t="s">
        <v>2418</v>
      </c>
      <c r="S1" s="34" t="s">
        <v>2419</v>
      </c>
      <c r="T1" s="34" t="s">
        <v>2420</v>
      </c>
      <c r="U1" s="34" t="s">
        <v>2421</v>
      </c>
      <c r="V1" s="34" t="s">
        <v>2422</v>
      </c>
      <c r="W1" s="34" t="s">
        <v>2423</v>
      </c>
      <c r="X1" s="34" t="s">
        <v>2424</v>
      </c>
      <c r="Y1" s="34" t="s">
        <v>2425</v>
      </c>
      <c r="Z1" s="34" t="s">
        <v>2426</v>
      </c>
      <c r="AA1" s="34" t="s">
        <v>2427</v>
      </c>
      <c r="AB1" s="34" t="s">
        <v>2428</v>
      </c>
      <c r="AC1" s="34" t="s">
        <v>2429</v>
      </c>
      <c r="AD1" s="34" t="s">
        <v>2430</v>
      </c>
      <c r="AE1" s="34" t="s">
        <v>2431</v>
      </c>
    </row>
    <row r="2" spans="1:31" ht="12.75" customHeight="1" x14ac:dyDescent="0.15">
      <c r="A2" s="37" t="s">
        <v>2432</v>
      </c>
      <c r="B2" s="38" t="s">
        <v>2433</v>
      </c>
      <c r="C2" s="39" t="s">
        <v>2434</v>
      </c>
      <c r="D2" s="39">
        <v>0</v>
      </c>
      <c r="E2" s="39">
        <v>0</v>
      </c>
      <c r="F2" s="39">
        <v>0</v>
      </c>
      <c r="G2" s="39">
        <v>0</v>
      </c>
      <c r="H2" s="38">
        <v>14</v>
      </c>
      <c r="I2" s="38">
        <v>8</v>
      </c>
      <c r="J2" s="38">
        <v>5</v>
      </c>
      <c r="K2" s="38">
        <v>1</v>
      </c>
      <c r="L2" s="40" t="s">
        <v>79</v>
      </c>
      <c r="M2" s="38" t="s">
        <v>852</v>
      </c>
      <c r="N2" s="38" t="s">
        <v>852</v>
      </c>
      <c r="O2" s="38"/>
      <c r="P2" s="38"/>
      <c r="Q2" s="38"/>
      <c r="R2" s="38"/>
      <c r="S2" s="38"/>
      <c r="T2" s="38"/>
      <c r="U2" s="38"/>
      <c r="V2" s="38"/>
      <c r="W2" s="38"/>
      <c r="X2" s="38"/>
      <c r="Y2" s="38"/>
      <c r="Z2" s="38"/>
      <c r="AA2" s="38"/>
      <c r="AB2" s="38"/>
      <c r="AC2" s="38"/>
      <c r="AD2" s="38"/>
      <c r="AE2" s="38"/>
    </row>
    <row r="3" spans="1:31" ht="12.75" customHeight="1" x14ac:dyDescent="0.15">
      <c r="A3" s="37" t="s">
        <v>2435</v>
      </c>
      <c r="B3" s="38" t="s">
        <v>2436</v>
      </c>
      <c r="C3" s="39" t="s">
        <v>2437</v>
      </c>
      <c r="D3" s="39">
        <v>2</v>
      </c>
      <c r="E3" s="39">
        <v>1</v>
      </c>
      <c r="F3" s="39">
        <v>1</v>
      </c>
      <c r="G3" s="39">
        <v>0</v>
      </c>
      <c r="H3" s="38">
        <v>14</v>
      </c>
      <c r="I3" s="38">
        <v>5</v>
      </c>
      <c r="J3" s="38">
        <v>5</v>
      </c>
      <c r="K3" s="38">
        <v>4</v>
      </c>
      <c r="L3" s="40" t="s">
        <v>852</v>
      </c>
      <c r="M3" s="38" t="s">
        <v>852</v>
      </c>
      <c r="N3" s="38" t="s">
        <v>852</v>
      </c>
      <c r="O3" s="38"/>
      <c r="P3" s="38"/>
      <c r="Q3" s="38"/>
      <c r="R3" s="38"/>
      <c r="S3" s="38"/>
      <c r="T3" s="38"/>
      <c r="U3" s="38"/>
      <c r="V3" s="38"/>
      <c r="W3" s="38"/>
      <c r="X3" s="38"/>
      <c r="Y3" s="38"/>
      <c r="Z3" s="38"/>
      <c r="AA3" s="38"/>
      <c r="AB3" s="38"/>
      <c r="AC3" s="38"/>
      <c r="AD3" s="38"/>
      <c r="AE3" s="38"/>
    </row>
    <row r="4" spans="1:31" ht="12.75" customHeight="1" x14ac:dyDescent="0.15">
      <c r="A4" s="37" t="s">
        <v>2438</v>
      </c>
      <c r="B4" s="38" t="s">
        <v>2439</v>
      </c>
      <c r="C4" s="39" t="s">
        <v>2440</v>
      </c>
      <c r="D4" s="39">
        <v>0</v>
      </c>
      <c r="E4" s="39">
        <v>0</v>
      </c>
      <c r="F4" s="39">
        <v>0</v>
      </c>
      <c r="G4" s="39">
        <v>0</v>
      </c>
      <c r="H4" s="38">
        <v>2</v>
      </c>
      <c r="I4" s="38">
        <v>0</v>
      </c>
      <c r="J4" s="38">
        <v>1</v>
      </c>
      <c r="K4" s="38">
        <v>0</v>
      </c>
      <c r="L4" s="40" t="s">
        <v>79</v>
      </c>
      <c r="M4" s="38"/>
      <c r="N4" s="38" t="s">
        <v>852</v>
      </c>
      <c r="O4" s="38"/>
      <c r="P4" s="38"/>
      <c r="Q4" s="38"/>
      <c r="R4" s="38"/>
      <c r="S4" s="38"/>
      <c r="T4" s="38"/>
      <c r="U4" s="38"/>
      <c r="V4" s="38"/>
      <c r="W4" s="38"/>
      <c r="X4" s="38"/>
      <c r="Y4" s="38"/>
      <c r="Z4" s="38"/>
      <c r="AA4" s="38"/>
      <c r="AB4" s="38"/>
      <c r="AC4" s="38"/>
      <c r="AD4" s="38"/>
      <c r="AE4" s="38"/>
    </row>
    <row r="5" spans="1:31" ht="12.75" customHeight="1" x14ac:dyDescent="0.15">
      <c r="A5" s="37" t="s">
        <v>2441</v>
      </c>
      <c r="B5" s="38" t="s">
        <v>2442</v>
      </c>
      <c r="C5" s="39" t="s">
        <v>2443</v>
      </c>
      <c r="D5" s="39">
        <v>0</v>
      </c>
      <c r="E5" s="39">
        <v>0</v>
      </c>
      <c r="F5" s="39">
        <v>0</v>
      </c>
      <c r="G5" s="39">
        <v>0</v>
      </c>
      <c r="H5" s="38">
        <v>3</v>
      </c>
      <c r="I5" s="38">
        <v>0</v>
      </c>
      <c r="J5" s="38">
        <v>3</v>
      </c>
      <c r="K5" s="38">
        <v>0</v>
      </c>
      <c r="L5" s="40" t="s">
        <v>79</v>
      </c>
      <c r="M5" s="38" t="s">
        <v>852</v>
      </c>
      <c r="N5" s="38" t="s">
        <v>852</v>
      </c>
      <c r="O5" s="38"/>
      <c r="P5" s="38"/>
      <c r="Q5" s="38"/>
      <c r="R5" s="38"/>
      <c r="S5" s="38"/>
      <c r="T5" s="38"/>
      <c r="U5" s="38"/>
      <c r="V5" s="38"/>
      <c r="W5" s="38"/>
      <c r="X5" s="38"/>
      <c r="Y5" s="38"/>
      <c r="Z5" s="38"/>
      <c r="AA5" s="38"/>
      <c r="AB5" s="38"/>
      <c r="AC5" s="38"/>
      <c r="AD5" s="38"/>
      <c r="AE5" s="38"/>
    </row>
    <row r="6" spans="1:31" ht="12.75" customHeight="1" x14ac:dyDescent="0.15">
      <c r="A6" s="41" t="s">
        <v>2444</v>
      </c>
      <c r="B6" s="39" t="s">
        <v>2445</v>
      </c>
      <c r="C6" s="39" t="s">
        <v>2446</v>
      </c>
      <c r="D6" s="39">
        <v>0</v>
      </c>
      <c r="E6" s="39">
        <v>0</v>
      </c>
      <c r="F6" s="39">
        <v>0</v>
      </c>
      <c r="G6" s="39">
        <v>0</v>
      </c>
      <c r="H6" s="39">
        <v>1</v>
      </c>
      <c r="I6" s="39">
        <v>0</v>
      </c>
      <c r="J6" s="39">
        <v>1</v>
      </c>
      <c r="K6" s="39">
        <v>0</v>
      </c>
      <c r="L6" s="40" t="s">
        <v>79</v>
      </c>
      <c r="M6" s="39"/>
      <c r="N6" s="39"/>
      <c r="O6" s="39"/>
      <c r="P6" s="39"/>
      <c r="Q6" s="39"/>
      <c r="R6" s="39"/>
      <c r="S6" s="39"/>
      <c r="T6" s="39"/>
      <c r="U6" s="39"/>
      <c r="V6" s="39" t="s">
        <v>852</v>
      </c>
      <c r="W6" s="39" t="s">
        <v>852</v>
      </c>
      <c r="X6" s="39"/>
      <c r="Y6" s="39"/>
      <c r="Z6" s="39"/>
      <c r="AA6" s="39"/>
      <c r="AB6" s="39"/>
      <c r="AC6" s="39"/>
      <c r="AD6" s="39"/>
      <c r="AE6" s="39"/>
    </row>
    <row r="7" spans="1:31" ht="12.75" customHeight="1" x14ac:dyDescent="0.15">
      <c r="A7" s="37" t="s">
        <v>2447</v>
      </c>
      <c r="B7" s="38" t="s">
        <v>2448</v>
      </c>
      <c r="C7" s="39" t="s">
        <v>2449</v>
      </c>
      <c r="D7" s="42">
        <v>2</v>
      </c>
      <c r="E7" s="39">
        <v>1</v>
      </c>
      <c r="F7" s="39">
        <v>1</v>
      </c>
      <c r="G7" s="39">
        <v>0</v>
      </c>
      <c r="H7" s="38">
        <v>3</v>
      </c>
      <c r="I7" s="38">
        <v>2</v>
      </c>
      <c r="J7" s="38">
        <v>1</v>
      </c>
      <c r="K7" s="38">
        <v>0</v>
      </c>
      <c r="L7" s="40" t="s">
        <v>852</v>
      </c>
      <c r="M7" s="38"/>
      <c r="N7" s="38" t="s">
        <v>852</v>
      </c>
      <c r="O7" s="38"/>
      <c r="P7" s="38"/>
      <c r="Q7" s="38"/>
      <c r="R7" s="38"/>
      <c r="S7" s="38"/>
      <c r="T7" s="38"/>
      <c r="U7" s="38"/>
      <c r="V7" s="38"/>
      <c r="W7" s="38"/>
      <c r="X7" s="38"/>
      <c r="Y7" s="38"/>
      <c r="Z7" s="38"/>
      <c r="AA7" s="38"/>
      <c r="AB7" s="38"/>
      <c r="AC7" s="38"/>
      <c r="AD7" s="38"/>
      <c r="AE7" s="38"/>
    </row>
    <row r="8" spans="1:31" ht="12.75" customHeight="1" x14ac:dyDescent="0.15">
      <c r="A8" s="41" t="s">
        <v>2450</v>
      </c>
      <c r="B8" s="39" t="s">
        <v>2451</v>
      </c>
      <c r="C8" s="39" t="s">
        <v>2452</v>
      </c>
      <c r="D8" s="39">
        <v>0</v>
      </c>
      <c r="E8" s="39">
        <v>0</v>
      </c>
      <c r="F8" s="39">
        <v>0</v>
      </c>
      <c r="G8" s="39">
        <v>0</v>
      </c>
      <c r="H8" s="38">
        <v>4</v>
      </c>
      <c r="I8" s="38">
        <v>2</v>
      </c>
      <c r="J8" s="38">
        <v>2</v>
      </c>
      <c r="K8" s="38">
        <v>0</v>
      </c>
      <c r="L8" s="40" t="s">
        <v>79</v>
      </c>
      <c r="M8" s="39"/>
      <c r="N8" s="39"/>
      <c r="O8" s="39"/>
      <c r="P8" s="39"/>
      <c r="Q8" s="39"/>
      <c r="R8" s="39"/>
      <c r="S8" s="39"/>
      <c r="T8" s="39" t="s">
        <v>852</v>
      </c>
      <c r="U8" s="39"/>
      <c r="V8" s="39"/>
      <c r="W8" s="39"/>
      <c r="X8" s="39"/>
      <c r="Y8" s="39"/>
      <c r="Z8" s="39"/>
      <c r="AA8" s="39"/>
      <c r="AB8" s="39"/>
      <c r="AC8" s="39"/>
      <c r="AD8" s="39"/>
      <c r="AE8" s="39"/>
    </row>
    <row r="9" spans="1:31" ht="12.75" customHeight="1" x14ac:dyDescent="0.15">
      <c r="A9" s="37" t="s">
        <v>2453</v>
      </c>
      <c r="B9" s="38" t="s">
        <v>2454</v>
      </c>
      <c r="C9" s="39" t="s">
        <v>2455</v>
      </c>
      <c r="D9" s="39">
        <v>0</v>
      </c>
      <c r="E9" s="39">
        <v>0</v>
      </c>
      <c r="F9" s="39">
        <v>0</v>
      </c>
      <c r="G9" s="39">
        <v>0</v>
      </c>
      <c r="H9" s="38">
        <v>3</v>
      </c>
      <c r="I9" s="38">
        <v>1</v>
      </c>
      <c r="J9" s="38">
        <v>2</v>
      </c>
      <c r="K9" s="38">
        <v>0</v>
      </c>
      <c r="L9" s="40" t="s">
        <v>79</v>
      </c>
      <c r="M9" s="38" t="s">
        <v>852</v>
      </c>
      <c r="N9" s="38" t="s">
        <v>852</v>
      </c>
      <c r="O9" s="38"/>
      <c r="P9" s="38"/>
      <c r="Q9" s="38"/>
      <c r="R9" s="38"/>
      <c r="S9" s="38" t="s">
        <v>852</v>
      </c>
      <c r="T9" s="38"/>
      <c r="U9" s="38"/>
      <c r="V9" s="38"/>
      <c r="W9" s="38"/>
      <c r="X9" s="38"/>
      <c r="Y9" s="38"/>
      <c r="Z9" s="38"/>
      <c r="AA9" s="38"/>
      <c r="AB9" s="38"/>
      <c r="AC9" s="38"/>
      <c r="AD9" s="38"/>
      <c r="AE9" s="38"/>
    </row>
    <row r="10" spans="1:31" ht="12.75" customHeight="1" x14ac:dyDescent="0.15">
      <c r="A10" s="37" t="s">
        <v>2456</v>
      </c>
      <c r="B10" s="38" t="s">
        <v>2457</v>
      </c>
      <c r="C10" s="39" t="s">
        <v>2458</v>
      </c>
      <c r="D10" s="39">
        <v>0</v>
      </c>
      <c r="E10" s="39">
        <v>0</v>
      </c>
      <c r="F10" s="39">
        <v>0</v>
      </c>
      <c r="G10" s="39">
        <v>0</v>
      </c>
      <c r="H10" s="38">
        <v>2</v>
      </c>
      <c r="I10" s="38">
        <v>0</v>
      </c>
      <c r="J10" s="38">
        <v>2</v>
      </c>
      <c r="K10" s="38">
        <v>0</v>
      </c>
      <c r="L10" s="40" t="s">
        <v>79</v>
      </c>
      <c r="M10" s="43"/>
      <c r="N10" s="43"/>
      <c r="O10" s="43"/>
      <c r="P10" s="43"/>
      <c r="Q10" s="43"/>
      <c r="R10" s="43"/>
      <c r="S10" s="43"/>
      <c r="T10" s="43"/>
      <c r="U10" s="43"/>
      <c r="V10" s="43"/>
      <c r="W10" s="43"/>
      <c r="X10" s="43"/>
      <c r="Y10" s="43"/>
      <c r="Z10" s="43"/>
      <c r="AA10" s="43"/>
      <c r="AB10" s="43"/>
      <c r="AC10" s="43"/>
      <c r="AD10" s="43"/>
      <c r="AE10" s="43"/>
    </row>
    <row r="11" spans="1:31" ht="12.75" customHeight="1" x14ac:dyDescent="0.15">
      <c r="A11" s="41" t="s">
        <v>2459</v>
      </c>
      <c r="B11" s="38" t="s">
        <v>2460</v>
      </c>
      <c r="C11" s="38" t="s">
        <v>2461</v>
      </c>
      <c r="D11" s="38">
        <v>0</v>
      </c>
      <c r="E11" s="39">
        <v>0</v>
      </c>
      <c r="F11" s="39">
        <v>0</v>
      </c>
      <c r="G11" s="39">
        <v>0</v>
      </c>
      <c r="H11" s="38">
        <v>16</v>
      </c>
      <c r="I11" s="38">
        <v>7</v>
      </c>
      <c r="J11" s="38">
        <v>7</v>
      </c>
      <c r="K11" s="38">
        <v>2</v>
      </c>
      <c r="L11" s="40" t="s">
        <v>79</v>
      </c>
      <c r="M11" s="38"/>
      <c r="N11" s="38" t="s">
        <v>852</v>
      </c>
      <c r="O11" s="38"/>
      <c r="P11" s="38"/>
      <c r="Q11" s="38"/>
      <c r="R11" s="38"/>
      <c r="S11" s="38"/>
      <c r="T11" s="38" t="s">
        <v>852</v>
      </c>
      <c r="U11" s="38"/>
      <c r="V11" s="38"/>
      <c r="W11" s="38"/>
      <c r="X11" s="38"/>
      <c r="Y11" s="38"/>
      <c r="Z11" s="38"/>
      <c r="AA11" s="38"/>
      <c r="AB11" s="38"/>
      <c r="AC11" s="38"/>
      <c r="AD11" s="38"/>
      <c r="AE11" s="38"/>
    </row>
    <row r="12" spans="1:31" ht="12.75" customHeight="1" x14ac:dyDescent="0.15">
      <c r="A12" s="41" t="s">
        <v>2462</v>
      </c>
      <c r="B12" s="38" t="s">
        <v>2463</v>
      </c>
      <c r="C12" s="39" t="s">
        <v>2464</v>
      </c>
      <c r="D12" s="39">
        <v>4</v>
      </c>
      <c r="E12" s="39">
        <v>1</v>
      </c>
      <c r="F12" s="39">
        <v>3</v>
      </c>
      <c r="G12" s="39">
        <v>0</v>
      </c>
      <c r="H12" s="38">
        <v>34</v>
      </c>
      <c r="I12" s="38">
        <v>16</v>
      </c>
      <c r="J12" s="38">
        <v>16</v>
      </c>
      <c r="K12" s="38">
        <v>2</v>
      </c>
      <c r="L12" s="40" t="s">
        <v>852</v>
      </c>
      <c r="M12" s="38" t="s">
        <v>852</v>
      </c>
      <c r="N12" s="39" t="s">
        <v>852</v>
      </c>
      <c r="O12" s="39"/>
      <c r="P12" s="39"/>
      <c r="Q12" s="39" t="s">
        <v>852</v>
      </c>
      <c r="R12" s="39"/>
      <c r="S12" s="39"/>
      <c r="T12" s="39"/>
      <c r="U12" s="39"/>
      <c r="V12" s="39"/>
      <c r="W12" s="39"/>
      <c r="X12" s="39"/>
      <c r="Y12" s="39"/>
      <c r="Z12" s="39"/>
      <c r="AA12" s="39"/>
      <c r="AB12" s="39"/>
      <c r="AC12" s="39"/>
      <c r="AD12" s="39"/>
      <c r="AE12" s="39"/>
    </row>
    <row r="13" spans="1:31" ht="12.75" customHeight="1" x14ac:dyDescent="0.15">
      <c r="A13" s="41" t="s">
        <v>2465</v>
      </c>
      <c r="B13" s="38" t="s">
        <v>2466</v>
      </c>
      <c r="C13" s="39" t="s">
        <v>2467</v>
      </c>
      <c r="D13" s="42">
        <v>2</v>
      </c>
      <c r="E13" s="39">
        <v>1</v>
      </c>
      <c r="F13" s="39">
        <v>1</v>
      </c>
      <c r="G13" s="39">
        <v>0</v>
      </c>
      <c r="H13" s="38">
        <v>12</v>
      </c>
      <c r="I13" s="38">
        <v>7</v>
      </c>
      <c r="J13" s="38">
        <v>3</v>
      </c>
      <c r="K13" s="38">
        <v>2</v>
      </c>
      <c r="L13" s="40" t="s">
        <v>852</v>
      </c>
      <c r="M13" s="38" t="s">
        <v>852</v>
      </c>
      <c r="N13" s="38" t="s">
        <v>852</v>
      </c>
      <c r="O13" s="38"/>
      <c r="P13" s="38"/>
      <c r="Q13" s="38"/>
      <c r="R13" s="38"/>
      <c r="S13" s="38"/>
      <c r="T13" s="38"/>
      <c r="U13" s="38"/>
      <c r="V13" s="38"/>
      <c r="W13" s="38"/>
      <c r="X13" s="38"/>
      <c r="Y13" s="38"/>
      <c r="Z13" s="38"/>
      <c r="AA13" s="38"/>
      <c r="AB13" s="38"/>
      <c r="AC13" s="38"/>
      <c r="AD13" s="38"/>
      <c r="AE13" s="38"/>
    </row>
    <row r="14" spans="1:31" ht="12.75" customHeight="1" x14ac:dyDescent="0.15">
      <c r="A14" s="41" t="s">
        <v>2468</v>
      </c>
      <c r="B14" s="38" t="s">
        <v>2469</v>
      </c>
      <c r="C14" s="39" t="s">
        <v>2470</v>
      </c>
      <c r="D14" s="39">
        <v>1</v>
      </c>
      <c r="E14" s="39">
        <v>1</v>
      </c>
      <c r="F14" s="39">
        <v>0</v>
      </c>
      <c r="G14" s="39">
        <v>0</v>
      </c>
      <c r="H14" s="38">
        <v>24</v>
      </c>
      <c r="I14" s="38">
        <v>12</v>
      </c>
      <c r="J14" s="38">
        <v>10</v>
      </c>
      <c r="K14" s="38">
        <v>2</v>
      </c>
      <c r="L14" s="40" t="s">
        <v>852</v>
      </c>
      <c r="M14" s="38" t="s">
        <v>852</v>
      </c>
      <c r="N14" s="38" t="s">
        <v>852</v>
      </c>
      <c r="O14" s="38"/>
      <c r="P14" s="38"/>
      <c r="Q14" s="38"/>
      <c r="R14" s="38"/>
      <c r="S14" s="38"/>
      <c r="T14" s="38"/>
      <c r="U14" s="38"/>
      <c r="V14" s="38"/>
      <c r="W14" s="38"/>
      <c r="X14" s="38"/>
      <c r="Y14" s="38"/>
      <c r="Z14" s="38"/>
      <c r="AA14" s="38"/>
      <c r="AB14" s="38"/>
      <c r="AC14" s="38"/>
      <c r="AD14" s="38"/>
      <c r="AE14" s="38"/>
    </row>
    <row r="15" spans="1:31" ht="12.75" customHeight="1" x14ac:dyDescent="0.15">
      <c r="A15" s="44" t="s">
        <v>2471</v>
      </c>
      <c r="B15" s="38" t="s">
        <v>2472</v>
      </c>
      <c r="C15" s="39" t="s">
        <v>2473</v>
      </c>
      <c r="D15" s="42">
        <v>2</v>
      </c>
      <c r="E15" s="42">
        <v>2</v>
      </c>
      <c r="F15" s="42">
        <v>0</v>
      </c>
      <c r="G15" s="42">
        <v>0</v>
      </c>
      <c r="H15" s="38">
        <v>29</v>
      </c>
      <c r="I15" s="38">
        <v>12</v>
      </c>
      <c r="J15" s="38">
        <v>10</v>
      </c>
      <c r="K15" s="38">
        <v>7</v>
      </c>
      <c r="L15" s="40" t="s">
        <v>852</v>
      </c>
      <c r="M15" s="38"/>
      <c r="N15" s="38" t="s">
        <v>852</v>
      </c>
      <c r="O15" s="38"/>
      <c r="P15" s="38"/>
      <c r="Q15" s="38"/>
      <c r="R15" s="38"/>
      <c r="S15" s="38"/>
      <c r="T15" s="38"/>
      <c r="U15" s="38"/>
      <c r="V15" s="38"/>
      <c r="W15" s="38"/>
      <c r="X15" s="38"/>
      <c r="Y15" s="38"/>
      <c r="Z15" s="38"/>
      <c r="AA15" s="38"/>
      <c r="AB15" s="38"/>
      <c r="AC15" s="38"/>
      <c r="AD15" s="38"/>
      <c r="AE15" s="38"/>
    </row>
    <row r="16" spans="1:31" ht="12.75" customHeight="1" x14ac:dyDescent="0.15">
      <c r="A16" s="44" t="s">
        <v>2474</v>
      </c>
      <c r="B16" s="38" t="s">
        <v>2475</v>
      </c>
      <c r="C16" s="39" t="s">
        <v>2476</v>
      </c>
      <c r="D16" s="39">
        <v>4</v>
      </c>
      <c r="E16" s="39">
        <v>1</v>
      </c>
      <c r="F16" s="39">
        <v>2</v>
      </c>
      <c r="G16" s="39">
        <v>1</v>
      </c>
      <c r="H16" s="38">
        <v>17</v>
      </c>
      <c r="I16" s="38">
        <v>7</v>
      </c>
      <c r="J16" s="38">
        <v>7</v>
      </c>
      <c r="K16" s="38">
        <v>3</v>
      </c>
      <c r="L16" s="40" t="s">
        <v>852</v>
      </c>
      <c r="M16" s="38" t="s">
        <v>852</v>
      </c>
      <c r="N16" s="38" t="s">
        <v>852</v>
      </c>
      <c r="O16" s="38"/>
      <c r="P16" s="38"/>
      <c r="Q16" s="38"/>
      <c r="R16" s="38"/>
      <c r="S16" s="38"/>
      <c r="T16" s="38"/>
      <c r="U16" s="38"/>
      <c r="V16" s="38"/>
      <c r="W16" s="38"/>
      <c r="X16" s="38"/>
      <c r="Y16" s="38"/>
      <c r="Z16" s="38"/>
      <c r="AA16" s="38"/>
      <c r="AB16" s="38"/>
      <c r="AC16" s="38"/>
      <c r="AD16" s="38"/>
      <c r="AE16" s="38"/>
    </row>
    <row r="17" spans="1:31" ht="12.75" customHeight="1" x14ac:dyDescent="0.15">
      <c r="A17" s="44" t="s">
        <v>2477</v>
      </c>
      <c r="B17" s="38" t="s">
        <v>2478</v>
      </c>
      <c r="C17" s="38" t="s">
        <v>2479</v>
      </c>
      <c r="D17" s="38">
        <v>0</v>
      </c>
      <c r="E17" s="39">
        <v>0</v>
      </c>
      <c r="F17" s="39">
        <v>0</v>
      </c>
      <c r="G17" s="39">
        <v>0</v>
      </c>
      <c r="H17" s="38">
        <v>10</v>
      </c>
      <c r="I17" s="38">
        <v>4</v>
      </c>
      <c r="J17" s="38">
        <v>5</v>
      </c>
      <c r="K17" s="38">
        <v>1</v>
      </c>
      <c r="L17" s="40" t="s">
        <v>79</v>
      </c>
      <c r="M17" s="43"/>
      <c r="N17" s="43"/>
      <c r="O17" s="43"/>
      <c r="P17" s="43"/>
      <c r="Q17" s="43"/>
      <c r="R17" s="43"/>
      <c r="S17" s="43"/>
      <c r="T17" s="43"/>
      <c r="U17" s="43"/>
      <c r="V17" s="43"/>
      <c r="W17" s="43"/>
      <c r="X17" s="43"/>
      <c r="Y17" s="43"/>
      <c r="Z17" s="43"/>
      <c r="AA17" s="43"/>
      <c r="AB17" s="43"/>
      <c r="AC17" s="43"/>
      <c r="AD17" s="43"/>
      <c r="AE17" s="43"/>
    </row>
    <row r="18" spans="1:31" ht="12.75" customHeight="1" x14ac:dyDescent="0.15">
      <c r="A18" s="45" t="s">
        <v>2480</v>
      </c>
      <c r="B18" s="38" t="s">
        <v>2481</v>
      </c>
      <c r="C18" s="39" t="s">
        <v>2482</v>
      </c>
      <c r="D18" s="42">
        <v>0</v>
      </c>
      <c r="E18" s="39">
        <v>0</v>
      </c>
      <c r="F18" s="39">
        <v>0</v>
      </c>
      <c r="G18" s="39">
        <v>0</v>
      </c>
      <c r="H18" s="38">
        <v>51</v>
      </c>
      <c r="I18" s="38">
        <v>25</v>
      </c>
      <c r="J18" s="38">
        <v>23</v>
      </c>
      <c r="K18" s="38">
        <v>3</v>
      </c>
      <c r="L18" s="40" t="s">
        <v>79</v>
      </c>
      <c r="M18" s="38"/>
      <c r="N18" s="38" t="s">
        <v>852</v>
      </c>
      <c r="O18" s="38"/>
      <c r="P18" s="38"/>
      <c r="Q18" s="38"/>
      <c r="R18" s="38"/>
      <c r="S18" s="38"/>
      <c r="T18" s="38"/>
      <c r="U18" s="38"/>
      <c r="V18" s="38"/>
      <c r="W18" s="38"/>
      <c r="X18" s="38"/>
      <c r="Y18" s="38"/>
      <c r="Z18" s="38"/>
      <c r="AA18" s="38"/>
      <c r="AB18" s="38"/>
      <c r="AC18" s="38"/>
      <c r="AD18" s="38"/>
      <c r="AE18" s="38"/>
    </row>
    <row r="19" spans="1:31" ht="12.75" customHeight="1" x14ac:dyDescent="0.15">
      <c r="A19" s="44" t="s">
        <v>2483</v>
      </c>
      <c r="B19" s="38" t="s">
        <v>2484</v>
      </c>
      <c r="C19" s="39" t="s">
        <v>2485</v>
      </c>
      <c r="D19" s="39">
        <v>2</v>
      </c>
      <c r="E19" s="39">
        <v>1</v>
      </c>
      <c r="F19" s="39">
        <v>1</v>
      </c>
      <c r="G19" s="39">
        <v>0</v>
      </c>
      <c r="H19" s="38">
        <v>2</v>
      </c>
      <c r="I19" s="38">
        <v>1</v>
      </c>
      <c r="J19" s="38">
        <v>1</v>
      </c>
      <c r="K19" s="38">
        <v>0</v>
      </c>
      <c r="L19" s="40" t="s">
        <v>852</v>
      </c>
      <c r="M19" s="38"/>
      <c r="N19" s="38" t="s">
        <v>852</v>
      </c>
      <c r="O19" s="38"/>
      <c r="P19" s="38"/>
      <c r="Q19" s="38"/>
      <c r="R19" s="38"/>
      <c r="S19" s="38"/>
      <c r="T19" s="38"/>
      <c r="U19" s="38"/>
      <c r="V19" s="38"/>
      <c r="W19" s="38"/>
      <c r="X19" s="38"/>
      <c r="Y19" s="38"/>
      <c r="Z19" s="38"/>
      <c r="AA19" s="38"/>
      <c r="AB19" s="38"/>
      <c r="AC19" s="38"/>
      <c r="AD19" s="38"/>
      <c r="AE19" s="38"/>
    </row>
    <row r="20" spans="1:31" ht="12.75" customHeight="1" x14ac:dyDescent="0.15">
      <c r="A20" s="45" t="s">
        <v>2486</v>
      </c>
      <c r="B20" s="38" t="s">
        <v>2487</v>
      </c>
      <c r="C20" s="39" t="s">
        <v>2488</v>
      </c>
      <c r="D20" s="39">
        <v>2</v>
      </c>
      <c r="E20" s="39">
        <v>1</v>
      </c>
      <c r="F20" s="39">
        <v>1</v>
      </c>
      <c r="G20" s="39">
        <v>0</v>
      </c>
      <c r="H20" s="38">
        <v>11</v>
      </c>
      <c r="I20" s="38">
        <v>5</v>
      </c>
      <c r="J20" s="38">
        <v>5</v>
      </c>
      <c r="K20" s="38">
        <v>1</v>
      </c>
      <c r="L20" s="40" t="s">
        <v>852</v>
      </c>
      <c r="M20" s="38"/>
      <c r="N20" s="38" t="s">
        <v>852</v>
      </c>
      <c r="O20" s="38"/>
      <c r="P20" s="38"/>
      <c r="Q20" s="38"/>
      <c r="R20" s="38"/>
      <c r="S20" s="38"/>
      <c r="T20" s="38"/>
      <c r="U20" s="38"/>
      <c r="V20" s="38"/>
      <c r="W20" s="38"/>
      <c r="X20" s="38"/>
      <c r="Y20" s="38"/>
      <c r="Z20" s="38"/>
      <c r="AA20" s="38"/>
      <c r="AB20" s="38"/>
      <c r="AC20" s="38"/>
      <c r="AD20" s="38"/>
      <c r="AE20" s="38"/>
    </row>
    <row r="21" spans="1:31" ht="12.75" customHeight="1" x14ac:dyDescent="0.15">
      <c r="A21" s="45" t="s">
        <v>2489</v>
      </c>
      <c r="B21" s="38" t="s">
        <v>2490</v>
      </c>
      <c r="C21" s="39" t="s">
        <v>2491</v>
      </c>
      <c r="D21" s="42">
        <v>2</v>
      </c>
      <c r="E21" s="39">
        <v>1</v>
      </c>
      <c r="F21" s="39">
        <v>1</v>
      </c>
      <c r="G21" s="39">
        <v>0</v>
      </c>
      <c r="H21" s="38">
        <v>7</v>
      </c>
      <c r="I21" s="39">
        <v>3</v>
      </c>
      <c r="J21" s="39">
        <v>3</v>
      </c>
      <c r="K21" s="39">
        <v>1</v>
      </c>
      <c r="L21" s="40" t="s">
        <v>852</v>
      </c>
      <c r="M21" s="38"/>
      <c r="N21" s="38" t="s">
        <v>852</v>
      </c>
      <c r="O21" s="38"/>
      <c r="P21" s="38"/>
      <c r="Q21" s="38"/>
      <c r="R21" s="38"/>
      <c r="S21" s="38"/>
      <c r="T21" s="38"/>
      <c r="U21" s="38"/>
      <c r="V21" s="38"/>
      <c r="W21" s="38"/>
      <c r="X21" s="38"/>
      <c r="Y21" s="38"/>
      <c r="Z21" s="38"/>
      <c r="AA21" s="38"/>
      <c r="AB21" s="38"/>
      <c r="AC21" s="38"/>
      <c r="AD21" s="38"/>
      <c r="AE21" s="38"/>
    </row>
    <row r="22" spans="1:31" ht="12.75" customHeight="1" x14ac:dyDescent="0.15">
      <c r="A22" s="44" t="s">
        <v>2492</v>
      </c>
      <c r="B22" s="38" t="s">
        <v>2493</v>
      </c>
      <c r="C22" s="39" t="s">
        <v>2494</v>
      </c>
      <c r="D22" s="39">
        <v>0</v>
      </c>
      <c r="E22" s="39">
        <v>0</v>
      </c>
      <c r="F22" s="39">
        <v>0</v>
      </c>
      <c r="G22" s="39">
        <v>0</v>
      </c>
      <c r="H22" s="39">
        <v>1</v>
      </c>
      <c r="I22" s="39">
        <v>0</v>
      </c>
      <c r="J22" s="39">
        <v>1</v>
      </c>
      <c r="K22" s="39">
        <v>0</v>
      </c>
      <c r="L22" s="40" t="s">
        <v>79</v>
      </c>
      <c r="M22" s="43"/>
      <c r="N22" s="43"/>
      <c r="O22" s="43"/>
      <c r="P22" s="43"/>
      <c r="Q22" s="43"/>
      <c r="R22" s="43"/>
      <c r="S22" s="43"/>
      <c r="T22" s="43"/>
      <c r="U22" s="43"/>
      <c r="V22" s="43"/>
      <c r="W22" s="43"/>
      <c r="X22" s="43"/>
      <c r="Y22" s="43"/>
      <c r="Z22" s="43"/>
      <c r="AA22" s="43"/>
      <c r="AB22" s="43"/>
      <c r="AC22" s="43"/>
      <c r="AD22" s="43"/>
      <c r="AE22" s="43"/>
    </row>
    <row r="23" spans="1:31" ht="12.75" customHeight="1" x14ac:dyDescent="0.15">
      <c r="A23" s="45" t="s">
        <v>2495</v>
      </c>
      <c r="B23" s="38" t="s">
        <v>2496</v>
      </c>
      <c r="C23" s="39" t="s">
        <v>2497</v>
      </c>
      <c r="D23" s="39">
        <v>0</v>
      </c>
      <c r="E23" s="39">
        <v>0</v>
      </c>
      <c r="F23" s="39">
        <v>0</v>
      </c>
      <c r="G23" s="39">
        <v>0</v>
      </c>
      <c r="H23" s="39">
        <v>1</v>
      </c>
      <c r="I23" s="39">
        <v>1</v>
      </c>
      <c r="J23" s="39">
        <v>0</v>
      </c>
      <c r="K23" s="39">
        <v>0</v>
      </c>
      <c r="L23" s="40" t="s">
        <v>79</v>
      </c>
      <c r="M23" s="43"/>
      <c r="N23" s="43"/>
      <c r="O23" s="43"/>
      <c r="P23" s="43"/>
      <c r="Q23" s="43"/>
      <c r="R23" s="43"/>
      <c r="S23" s="43"/>
      <c r="T23" s="43"/>
      <c r="U23" s="43"/>
      <c r="V23" s="43"/>
      <c r="W23" s="43"/>
      <c r="X23" s="43"/>
      <c r="Y23" s="43"/>
      <c r="Z23" s="43"/>
      <c r="AA23" s="43"/>
      <c r="AB23" s="43"/>
      <c r="AC23" s="43"/>
      <c r="AD23" s="43"/>
      <c r="AE23" s="43"/>
    </row>
    <row r="24" spans="1:31" ht="12.75" customHeight="1" x14ac:dyDescent="0.15">
      <c r="A24" s="44" t="s">
        <v>2498</v>
      </c>
      <c r="B24" s="38" t="s">
        <v>2499</v>
      </c>
      <c r="C24" s="39" t="s">
        <v>2500</v>
      </c>
      <c r="D24" s="39">
        <v>0</v>
      </c>
      <c r="E24" s="39">
        <v>0</v>
      </c>
      <c r="F24" s="39">
        <v>0</v>
      </c>
      <c r="G24" s="39">
        <v>0</v>
      </c>
      <c r="H24" s="38">
        <v>3</v>
      </c>
      <c r="I24" s="38">
        <v>0</v>
      </c>
      <c r="J24" s="38">
        <v>3</v>
      </c>
      <c r="K24" s="38">
        <v>0</v>
      </c>
      <c r="L24" s="40" t="s">
        <v>79</v>
      </c>
      <c r="M24" s="43"/>
      <c r="N24" s="43"/>
      <c r="O24" s="43"/>
      <c r="P24" s="43"/>
      <c r="Q24" s="43"/>
      <c r="R24" s="43"/>
      <c r="S24" s="43"/>
      <c r="T24" s="43"/>
      <c r="U24" s="43"/>
      <c r="V24" s="43"/>
      <c r="W24" s="43"/>
      <c r="X24" s="43" t="s">
        <v>852</v>
      </c>
      <c r="Y24" s="43"/>
      <c r="Z24" s="43"/>
      <c r="AA24" s="43"/>
      <c r="AB24" s="43"/>
      <c r="AC24" s="43"/>
      <c r="AD24" s="43"/>
      <c r="AE24" s="43"/>
    </row>
    <row r="25" spans="1:31" ht="12.75" customHeight="1" x14ac:dyDescent="0.15">
      <c r="A25" s="45" t="s">
        <v>2501</v>
      </c>
      <c r="B25" s="38" t="s">
        <v>2502</v>
      </c>
      <c r="C25" s="39" t="s">
        <v>2503</v>
      </c>
      <c r="D25" s="39">
        <v>0</v>
      </c>
      <c r="E25" s="39">
        <v>0</v>
      </c>
      <c r="F25" s="39">
        <v>0</v>
      </c>
      <c r="G25" s="39">
        <v>0</v>
      </c>
      <c r="H25" s="39">
        <v>6</v>
      </c>
      <c r="I25" s="39">
        <v>3</v>
      </c>
      <c r="J25" s="39">
        <v>3</v>
      </c>
      <c r="K25" s="39">
        <v>0</v>
      </c>
      <c r="L25" s="40" t="s">
        <v>79</v>
      </c>
      <c r="M25" s="38" t="s">
        <v>852</v>
      </c>
      <c r="N25" s="38"/>
      <c r="O25" s="38" t="s">
        <v>852</v>
      </c>
      <c r="P25" s="38"/>
      <c r="Q25" s="38"/>
      <c r="R25" s="38"/>
      <c r="S25" s="38"/>
      <c r="T25" s="38"/>
      <c r="U25" s="38"/>
      <c r="V25" s="38"/>
      <c r="W25" s="38"/>
      <c r="X25" s="38" t="s">
        <v>852</v>
      </c>
      <c r="Y25" s="38"/>
      <c r="Z25" s="38"/>
      <c r="AA25" s="38"/>
      <c r="AB25" s="38"/>
      <c r="AC25" s="38"/>
      <c r="AD25" s="38"/>
      <c r="AE25" s="38"/>
    </row>
    <row r="26" spans="1:31" ht="12.75" customHeight="1" x14ac:dyDescent="0.15">
      <c r="A26" s="45" t="s">
        <v>2504</v>
      </c>
      <c r="B26" s="39" t="s">
        <v>2387</v>
      </c>
      <c r="C26" s="39" t="s">
        <v>2505</v>
      </c>
      <c r="D26" s="39">
        <v>2</v>
      </c>
      <c r="E26" s="39">
        <v>1</v>
      </c>
      <c r="F26" s="39">
        <v>1</v>
      </c>
      <c r="G26" s="39">
        <v>0</v>
      </c>
      <c r="H26" s="38">
        <v>9</v>
      </c>
      <c r="I26" s="38">
        <v>3</v>
      </c>
      <c r="J26" s="38">
        <v>6</v>
      </c>
      <c r="K26" s="38">
        <v>0</v>
      </c>
      <c r="L26" s="40" t="s">
        <v>852</v>
      </c>
      <c r="M26" s="38"/>
      <c r="N26" s="38" t="s">
        <v>852</v>
      </c>
      <c r="O26" s="38"/>
      <c r="P26" s="38"/>
      <c r="Q26" s="38"/>
      <c r="R26" s="38"/>
      <c r="S26" s="38"/>
      <c r="T26" s="38"/>
      <c r="U26" s="38"/>
      <c r="V26" s="38"/>
      <c r="W26" s="38"/>
      <c r="X26" s="38"/>
      <c r="Y26" s="38"/>
      <c r="Z26" s="38"/>
      <c r="AA26" s="38"/>
      <c r="AB26" s="38"/>
      <c r="AC26" s="38"/>
      <c r="AD26" s="38"/>
      <c r="AE26" s="38"/>
    </row>
    <row r="27" spans="1:31" ht="12.75" customHeight="1" x14ac:dyDescent="0.15">
      <c r="A27" s="45" t="s">
        <v>2506</v>
      </c>
      <c r="B27" s="38" t="s">
        <v>2507</v>
      </c>
      <c r="C27" s="38" t="s">
        <v>2508</v>
      </c>
      <c r="D27" s="39">
        <v>0</v>
      </c>
      <c r="E27" s="39">
        <v>0</v>
      </c>
      <c r="F27" s="39">
        <v>0</v>
      </c>
      <c r="G27" s="39">
        <v>0</v>
      </c>
      <c r="H27" s="38">
        <v>3</v>
      </c>
      <c r="I27" s="38">
        <v>1</v>
      </c>
      <c r="J27" s="38">
        <v>2</v>
      </c>
      <c r="K27" s="38">
        <v>0</v>
      </c>
      <c r="L27" s="40" t="s">
        <v>79</v>
      </c>
      <c r="M27" s="38" t="s">
        <v>852</v>
      </c>
      <c r="N27" s="38" t="s">
        <v>852</v>
      </c>
      <c r="O27" s="39"/>
      <c r="P27" s="39"/>
      <c r="Q27" s="39"/>
      <c r="R27" s="39"/>
      <c r="S27" s="39"/>
      <c r="T27" s="39" t="s">
        <v>852</v>
      </c>
      <c r="U27" s="39"/>
      <c r="V27" s="39"/>
      <c r="W27" s="39"/>
      <c r="X27" s="39"/>
      <c r="Y27" s="39" t="s">
        <v>852</v>
      </c>
      <c r="Z27" s="39"/>
      <c r="AA27" s="39"/>
      <c r="AB27" s="39"/>
      <c r="AC27" s="39"/>
      <c r="AD27" s="39"/>
      <c r="AE27" s="39"/>
    </row>
    <row r="28" spans="1:31" ht="12.75" customHeight="1" x14ac:dyDescent="0.15">
      <c r="A28" s="44" t="s">
        <v>2509</v>
      </c>
      <c r="B28" s="38" t="s">
        <v>2510</v>
      </c>
      <c r="C28" s="39" t="s">
        <v>2511</v>
      </c>
      <c r="D28" s="39">
        <v>0</v>
      </c>
      <c r="E28" s="39">
        <v>0</v>
      </c>
      <c r="F28" s="39">
        <v>0</v>
      </c>
      <c r="G28" s="39">
        <v>0</v>
      </c>
      <c r="H28" s="39">
        <v>1</v>
      </c>
      <c r="I28" s="39">
        <v>1</v>
      </c>
      <c r="J28" s="39">
        <v>0</v>
      </c>
      <c r="K28" s="39">
        <v>0</v>
      </c>
      <c r="L28" s="40" t="s">
        <v>79</v>
      </c>
      <c r="M28" s="38"/>
      <c r="N28" s="38" t="s">
        <v>852</v>
      </c>
      <c r="O28" s="38"/>
      <c r="P28" s="38"/>
      <c r="Q28" s="38"/>
      <c r="R28" s="38"/>
      <c r="S28" s="38"/>
      <c r="T28" s="38"/>
      <c r="U28" s="38"/>
      <c r="V28" s="38"/>
      <c r="W28" s="38"/>
      <c r="X28" s="38"/>
      <c r="Y28" s="38"/>
      <c r="Z28" s="38"/>
      <c r="AA28" s="38"/>
      <c r="AB28" s="38"/>
      <c r="AC28" s="38"/>
      <c r="AD28" s="38"/>
      <c r="AE28" s="38"/>
    </row>
    <row r="29" spans="1:31" ht="12.75" customHeight="1" x14ac:dyDescent="0.15">
      <c r="A29" s="45" t="s">
        <v>2512</v>
      </c>
      <c r="B29" s="38" t="s">
        <v>2513</v>
      </c>
      <c r="C29" s="39" t="s">
        <v>2514</v>
      </c>
      <c r="D29" s="39">
        <v>0</v>
      </c>
      <c r="E29" s="39">
        <v>0</v>
      </c>
      <c r="F29" s="39">
        <v>0</v>
      </c>
      <c r="G29" s="39">
        <v>0</v>
      </c>
      <c r="H29" s="39">
        <v>1</v>
      </c>
      <c r="I29" s="39">
        <v>1</v>
      </c>
      <c r="J29" s="39">
        <v>0</v>
      </c>
      <c r="K29" s="39">
        <v>0</v>
      </c>
      <c r="L29" s="40" t="s">
        <v>79</v>
      </c>
      <c r="M29" s="38" t="s">
        <v>852</v>
      </c>
      <c r="N29" s="38" t="s">
        <v>852</v>
      </c>
      <c r="O29" s="38"/>
      <c r="P29" s="38"/>
      <c r="Q29" s="38"/>
      <c r="R29" s="38"/>
      <c r="S29" s="38"/>
      <c r="T29" s="38"/>
      <c r="U29" s="38"/>
      <c r="V29" s="38"/>
      <c r="W29" s="38"/>
      <c r="X29" s="38"/>
      <c r="Y29" s="38"/>
      <c r="Z29" s="38"/>
      <c r="AA29" s="38"/>
      <c r="AB29" s="38"/>
      <c r="AC29" s="38"/>
      <c r="AD29" s="38"/>
      <c r="AE29" s="38"/>
    </row>
    <row r="30" spans="1:31" ht="12.75" customHeight="1" x14ac:dyDescent="0.15">
      <c r="A30" s="45" t="s">
        <v>2515</v>
      </c>
      <c r="B30" s="38" t="s">
        <v>2516</v>
      </c>
      <c r="C30" s="39" t="s">
        <v>2517</v>
      </c>
      <c r="D30" s="39">
        <v>0</v>
      </c>
      <c r="E30" s="39">
        <v>0</v>
      </c>
      <c r="F30" s="39">
        <v>0</v>
      </c>
      <c r="G30" s="39">
        <v>0</v>
      </c>
      <c r="H30" s="38">
        <v>4</v>
      </c>
      <c r="I30" s="38">
        <v>1</v>
      </c>
      <c r="J30" s="38">
        <v>2</v>
      </c>
      <c r="K30" s="38">
        <v>1</v>
      </c>
      <c r="L30" s="40" t="s">
        <v>79</v>
      </c>
      <c r="M30" s="38"/>
      <c r="N30" s="38" t="s">
        <v>852</v>
      </c>
      <c r="O30" s="38"/>
      <c r="P30" s="38"/>
      <c r="Q30" s="38"/>
      <c r="R30" s="38"/>
      <c r="S30" s="38"/>
      <c r="T30" s="38"/>
      <c r="U30" s="38"/>
      <c r="V30" s="38"/>
      <c r="W30" s="38"/>
      <c r="X30" s="38"/>
      <c r="Y30" s="38"/>
      <c r="Z30" s="38"/>
      <c r="AA30" s="38"/>
      <c r="AB30" s="38"/>
      <c r="AC30" s="38"/>
      <c r="AD30" s="38"/>
      <c r="AE30" s="38"/>
    </row>
    <row r="31" spans="1:31" ht="12.75" customHeight="1" x14ac:dyDescent="0.15">
      <c r="A31" s="45" t="s">
        <v>2518</v>
      </c>
      <c r="B31" s="38" t="s">
        <v>2519</v>
      </c>
      <c r="C31" s="39" t="s">
        <v>2520</v>
      </c>
      <c r="D31" s="39">
        <v>0</v>
      </c>
      <c r="E31" s="39">
        <v>0</v>
      </c>
      <c r="F31" s="39">
        <v>0</v>
      </c>
      <c r="G31" s="39">
        <v>0</v>
      </c>
      <c r="H31" s="38">
        <v>13</v>
      </c>
      <c r="I31" s="38">
        <v>6</v>
      </c>
      <c r="J31" s="38">
        <v>7</v>
      </c>
      <c r="K31" s="38">
        <v>0</v>
      </c>
      <c r="L31" s="40" t="s">
        <v>79</v>
      </c>
      <c r="M31" s="38" t="s">
        <v>852</v>
      </c>
      <c r="N31" s="38" t="s">
        <v>852</v>
      </c>
      <c r="O31" s="38"/>
      <c r="P31" s="38"/>
      <c r="Q31" s="38"/>
      <c r="R31" s="38"/>
      <c r="S31" s="38"/>
      <c r="T31" s="38"/>
      <c r="U31" s="38"/>
      <c r="V31" s="38"/>
      <c r="W31" s="38"/>
      <c r="X31" s="38"/>
      <c r="Y31" s="38"/>
      <c r="Z31" s="38"/>
      <c r="AA31" s="38"/>
      <c r="AB31" s="38"/>
      <c r="AC31" s="38"/>
      <c r="AD31" s="38"/>
      <c r="AE31" s="38"/>
    </row>
    <row r="32" spans="1:31" ht="12.75" customHeight="1" x14ac:dyDescent="0.15">
      <c r="A32" s="44" t="s">
        <v>2521</v>
      </c>
      <c r="B32" s="39" t="s">
        <v>2522</v>
      </c>
      <c r="C32" s="39" t="s">
        <v>2523</v>
      </c>
      <c r="D32" s="39">
        <v>0</v>
      </c>
      <c r="E32" s="39">
        <v>0</v>
      </c>
      <c r="F32" s="39">
        <v>0</v>
      </c>
      <c r="G32" s="39">
        <v>0</v>
      </c>
      <c r="H32" s="38">
        <v>2</v>
      </c>
      <c r="I32" s="38">
        <v>1</v>
      </c>
      <c r="J32" s="38">
        <v>1</v>
      </c>
      <c r="K32" s="38">
        <v>0</v>
      </c>
      <c r="L32" s="40" t="s">
        <v>79</v>
      </c>
      <c r="M32" s="39"/>
      <c r="N32" s="39"/>
      <c r="O32" s="39"/>
      <c r="P32" s="39"/>
      <c r="Q32" s="39"/>
      <c r="R32" s="39"/>
      <c r="S32" s="39"/>
      <c r="T32" s="39" t="s">
        <v>852</v>
      </c>
      <c r="U32" s="39"/>
      <c r="V32" s="39"/>
      <c r="W32" s="39"/>
      <c r="X32" s="39"/>
      <c r="Y32" s="39"/>
      <c r="Z32" s="39"/>
      <c r="AA32" s="39"/>
      <c r="AB32" s="39"/>
      <c r="AC32" s="39"/>
      <c r="AD32" s="39"/>
      <c r="AE32" s="39"/>
    </row>
    <row r="33" spans="1:31" ht="12.75" customHeight="1" x14ac:dyDescent="0.15">
      <c r="A33" s="46" t="s">
        <v>2524</v>
      </c>
      <c r="B33" s="47" t="s">
        <v>2396</v>
      </c>
      <c r="C33" s="39" t="s">
        <v>2525</v>
      </c>
      <c r="D33" s="39">
        <v>0</v>
      </c>
      <c r="E33" s="39">
        <v>0</v>
      </c>
      <c r="F33" s="39">
        <v>0</v>
      </c>
      <c r="G33" s="39">
        <v>0</v>
      </c>
      <c r="H33" s="38">
        <v>2</v>
      </c>
      <c r="I33" s="38">
        <v>1</v>
      </c>
      <c r="J33" s="38">
        <v>1</v>
      </c>
      <c r="K33" s="38">
        <v>0</v>
      </c>
      <c r="L33" s="40" t="s">
        <v>79</v>
      </c>
      <c r="M33" s="43"/>
      <c r="N33" s="43"/>
      <c r="O33" s="43"/>
      <c r="P33" s="43"/>
      <c r="Q33" s="43"/>
      <c r="R33" s="43"/>
      <c r="S33" s="43"/>
      <c r="T33" s="43"/>
      <c r="U33" s="43"/>
      <c r="V33" s="43"/>
      <c r="W33" s="43"/>
      <c r="X33" s="43"/>
      <c r="Y33" s="43"/>
      <c r="Z33" s="43"/>
      <c r="AA33" s="43"/>
      <c r="AB33" s="43"/>
      <c r="AC33" s="43"/>
      <c r="AD33" s="43"/>
      <c r="AE33" s="43"/>
    </row>
    <row r="34" spans="1:31" ht="12.75" customHeight="1" x14ac:dyDescent="0.15">
      <c r="A34" s="45" t="s">
        <v>2526</v>
      </c>
      <c r="B34" s="38" t="s">
        <v>2527</v>
      </c>
      <c r="C34" s="39" t="s">
        <v>2503</v>
      </c>
      <c r="D34" s="39">
        <v>0</v>
      </c>
      <c r="E34" s="39">
        <v>0</v>
      </c>
      <c r="F34" s="39">
        <v>0</v>
      </c>
      <c r="G34" s="39">
        <v>0</v>
      </c>
      <c r="H34" s="38">
        <v>2</v>
      </c>
      <c r="I34" s="38">
        <v>1</v>
      </c>
      <c r="J34" s="38">
        <v>1</v>
      </c>
      <c r="K34" s="38">
        <v>0</v>
      </c>
      <c r="L34" s="40" t="s">
        <v>79</v>
      </c>
      <c r="M34" s="38" t="s">
        <v>852</v>
      </c>
      <c r="N34" s="38"/>
      <c r="O34" s="38" t="s">
        <v>852</v>
      </c>
      <c r="P34" s="38"/>
      <c r="Q34" s="38"/>
      <c r="R34" s="38"/>
      <c r="S34" s="38"/>
      <c r="T34" s="38"/>
      <c r="U34" s="38"/>
      <c r="V34" s="38"/>
      <c r="W34" s="38"/>
      <c r="X34" s="38" t="s">
        <v>852</v>
      </c>
      <c r="Y34" s="38"/>
      <c r="Z34" s="38"/>
      <c r="AA34" s="38"/>
      <c r="AB34" s="38"/>
      <c r="AC34" s="38"/>
      <c r="AD34" s="38"/>
      <c r="AE34" s="38"/>
    </row>
    <row r="35" spans="1:31" ht="12.75" customHeight="1" x14ac:dyDescent="0.15">
      <c r="A35" s="44" t="s">
        <v>2528</v>
      </c>
      <c r="B35" s="38" t="s">
        <v>2529</v>
      </c>
      <c r="C35" s="38" t="s">
        <v>2530</v>
      </c>
      <c r="D35" s="39">
        <v>0</v>
      </c>
      <c r="E35" s="39">
        <v>0</v>
      </c>
      <c r="F35" s="39">
        <v>0</v>
      </c>
      <c r="G35" s="39">
        <v>0</v>
      </c>
      <c r="H35" s="39">
        <v>5</v>
      </c>
      <c r="I35" s="39">
        <v>3</v>
      </c>
      <c r="J35" s="39">
        <v>2</v>
      </c>
      <c r="K35" s="39">
        <v>0</v>
      </c>
      <c r="L35" s="40" t="s">
        <v>79</v>
      </c>
      <c r="M35" s="43"/>
      <c r="N35" s="43"/>
      <c r="O35" s="43"/>
      <c r="P35" s="43"/>
      <c r="Q35" s="43"/>
      <c r="R35" s="43"/>
      <c r="S35" s="43"/>
      <c r="T35" s="43"/>
      <c r="U35" s="43"/>
      <c r="V35" s="43"/>
      <c r="W35" s="43"/>
      <c r="X35" s="43"/>
      <c r="Y35" s="43"/>
      <c r="Z35" s="43"/>
      <c r="AA35" s="43"/>
      <c r="AB35" s="43"/>
      <c r="AC35" s="43"/>
      <c r="AD35" s="43"/>
      <c r="AE35" s="43"/>
    </row>
    <row r="36" spans="1:31" ht="12.75" customHeight="1" x14ac:dyDescent="0.15">
      <c r="A36" s="44" t="s">
        <v>2531</v>
      </c>
      <c r="B36" s="38" t="s">
        <v>2532</v>
      </c>
      <c r="C36" s="39" t="s">
        <v>2533</v>
      </c>
      <c r="D36" s="42">
        <v>2</v>
      </c>
      <c r="E36" s="39">
        <v>1</v>
      </c>
      <c r="F36" s="39">
        <v>1</v>
      </c>
      <c r="G36" s="39">
        <v>0</v>
      </c>
      <c r="H36" s="39">
        <v>6</v>
      </c>
      <c r="I36" s="39">
        <v>3</v>
      </c>
      <c r="J36" s="39">
        <v>3</v>
      </c>
      <c r="K36" s="39">
        <v>0</v>
      </c>
      <c r="L36" s="40" t="s">
        <v>852</v>
      </c>
      <c r="M36" s="38"/>
      <c r="N36" s="38" t="s">
        <v>852</v>
      </c>
      <c r="O36" s="38"/>
      <c r="P36" s="38"/>
      <c r="Q36" s="38"/>
      <c r="R36" s="38"/>
      <c r="S36" s="38"/>
      <c r="T36" s="38"/>
      <c r="U36" s="38"/>
      <c r="V36" s="38"/>
      <c r="W36" s="38"/>
      <c r="X36" s="38"/>
      <c r="Y36" s="38"/>
      <c r="Z36" s="38"/>
      <c r="AA36" s="38"/>
      <c r="AB36" s="38"/>
      <c r="AC36" s="38"/>
      <c r="AD36" s="38"/>
      <c r="AE36" s="38"/>
    </row>
    <row r="37" spans="1:31" ht="12.75" customHeight="1" x14ac:dyDescent="0.15">
      <c r="A37" s="44" t="s">
        <v>2534</v>
      </c>
      <c r="B37" s="38" t="s">
        <v>2535</v>
      </c>
      <c r="C37" s="39" t="s">
        <v>2536</v>
      </c>
      <c r="D37" s="39">
        <v>0</v>
      </c>
      <c r="E37" s="39">
        <v>0</v>
      </c>
      <c r="F37" s="39">
        <v>0</v>
      </c>
      <c r="G37" s="39">
        <v>0</v>
      </c>
      <c r="H37" s="38">
        <v>3</v>
      </c>
      <c r="I37" s="38">
        <v>1</v>
      </c>
      <c r="J37" s="38">
        <v>2</v>
      </c>
      <c r="K37" s="38">
        <v>0</v>
      </c>
      <c r="L37" s="40" t="s">
        <v>79</v>
      </c>
      <c r="M37" s="38" t="s">
        <v>852</v>
      </c>
      <c r="N37" s="38" t="s">
        <v>852</v>
      </c>
      <c r="O37" s="38"/>
      <c r="P37" s="38"/>
      <c r="Q37" s="38"/>
      <c r="R37" s="38"/>
      <c r="S37" s="38"/>
      <c r="T37" s="38"/>
      <c r="U37" s="38"/>
      <c r="V37" s="38"/>
      <c r="W37" s="38"/>
      <c r="X37" s="38"/>
      <c r="Y37" s="38"/>
      <c r="Z37" s="38"/>
      <c r="AA37" s="38"/>
      <c r="AB37" s="38"/>
      <c r="AC37" s="38"/>
      <c r="AD37" s="38"/>
      <c r="AE37" s="38"/>
    </row>
    <row r="38" spans="1:31" ht="12.75" customHeight="1" x14ac:dyDescent="0.15">
      <c r="A38" s="44" t="s">
        <v>2537</v>
      </c>
      <c r="B38" s="38" t="s">
        <v>2538</v>
      </c>
      <c r="C38" s="39" t="s">
        <v>2539</v>
      </c>
      <c r="D38" s="39">
        <v>2</v>
      </c>
      <c r="E38" s="39">
        <v>1</v>
      </c>
      <c r="F38" s="39">
        <v>1</v>
      </c>
      <c r="G38" s="39">
        <v>0</v>
      </c>
      <c r="H38" s="38">
        <v>11</v>
      </c>
      <c r="I38" s="38">
        <v>6</v>
      </c>
      <c r="J38" s="38">
        <v>3</v>
      </c>
      <c r="K38" s="38">
        <v>2</v>
      </c>
      <c r="L38" s="40" t="s">
        <v>852</v>
      </c>
      <c r="M38" s="38" t="s">
        <v>852</v>
      </c>
      <c r="N38" s="38" t="s">
        <v>852</v>
      </c>
      <c r="O38" s="38"/>
      <c r="P38" s="38"/>
      <c r="Q38" s="38"/>
      <c r="R38" s="38"/>
      <c r="S38" s="38"/>
      <c r="T38" s="38"/>
      <c r="U38" s="38"/>
      <c r="V38" s="38"/>
      <c r="W38" s="38"/>
      <c r="X38" s="38"/>
      <c r="Y38" s="38"/>
      <c r="Z38" s="38"/>
      <c r="AA38" s="38"/>
      <c r="AB38" s="38"/>
      <c r="AC38" s="38"/>
      <c r="AD38" s="38"/>
      <c r="AE38" s="38"/>
    </row>
    <row r="39" spans="1:31" ht="12.75" customHeight="1" x14ac:dyDescent="0.15">
      <c r="A39" s="45" t="s">
        <v>2540</v>
      </c>
      <c r="B39" s="38" t="s">
        <v>2541</v>
      </c>
      <c r="C39" s="39" t="s">
        <v>2542</v>
      </c>
      <c r="D39" s="39">
        <v>0</v>
      </c>
      <c r="E39" s="39">
        <v>0</v>
      </c>
      <c r="F39" s="39">
        <v>0</v>
      </c>
      <c r="G39" s="39">
        <v>0</v>
      </c>
      <c r="H39" s="38">
        <v>15</v>
      </c>
      <c r="I39" s="38">
        <v>4</v>
      </c>
      <c r="J39" s="38">
        <v>7</v>
      </c>
      <c r="K39" s="38">
        <v>4</v>
      </c>
      <c r="L39" s="40" t="s">
        <v>79</v>
      </c>
      <c r="M39" s="38" t="s">
        <v>852</v>
      </c>
      <c r="N39" s="38" t="s">
        <v>852</v>
      </c>
      <c r="O39" s="39"/>
      <c r="P39" s="39"/>
      <c r="Q39" s="39" t="s">
        <v>852</v>
      </c>
      <c r="R39" s="39"/>
      <c r="S39" s="39"/>
      <c r="T39" s="39"/>
      <c r="U39" s="39"/>
      <c r="V39" s="39"/>
      <c r="W39" s="39"/>
      <c r="X39" s="39"/>
      <c r="Y39" s="39"/>
      <c r="Z39" s="39"/>
      <c r="AA39" s="39"/>
      <c r="AB39" s="39"/>
      <c r="AC39" s="39"/>
      <c r="AD39" s="39"/>
      <c r="AE39" s="39"/>
    </row>
    <row r="40" spans="1:31" ht="12.75" customHeight="1" x14ac:dyDescent="0.15">
      <c r="A40" s="44" t="s">
        <v>2543</v>
      </c>
      <c r="B40" s="38" t="s">
        <v>2544</v>
      </c>
      <c r="C40" s="39" t="s">
        <v>2545</v>
      </c>
      <c r="D40" s="42">
        <v>3</v>
      </c>
      <c r="E40" s="42">
        <v>1</v>
      </c>
      <c r="F40" s="42">
        <v>2</v>
      </c>
      <c r="G40" s="42">
        <v>0</v>
      </c>
      <c r="H40" s="38">
        <v>16</v>
      </c>
      <c r="I40" s="38">
        <v>9</v>
      </c>
      <c r="J40" s="38">
        <v>6</v>
      </c>
      <c r="K40" s="38">
        <v>1</v>
      </c>
      <c r="L40" s="40" t="s">
        <v>852</v>
      </c>
      <c r="M40" s="38"/>
      <c r="N40" s="38" t="s">
        <v>852</v>
      </c>
      <c r="O40" s="38"/>
      <c r="P40" s="38"/>
      <c r="Q40" s="38"/>
      <c r="R40" s="38"/>
      <c r="S40" s="38"/>
      <c r="T40" s="38"/>
      <c r="U40" s="38"/>
      <c r="V40" s="38"/>
      <c r="W40" s="38"/>
      <c r="X40" s="38"/>
      <c r="Y40" s="38"/>
      <c r="Z40" s="38"/>
      <c r="AA40" s="38"/>
      <c r="AB40" s="38"/>
      <c r="AC40" s="38"/>
      <c r="AD40" s="38"/>
      <c r="AE40" s="38"/>
    </row>
    <row r="41" spans="1:31" ht="12.75" customHeight="1" x14ac:dyDescent="0.15">
      <c r="A41" s="45" t="s">
        <v>2546</v>
      </c>
      <c r="B41" s="38" t="s">
        <v>2547</v>
      </c>
      <c r="C41" s="39" t="s">
        <v>2548</v>
      </c>
      <c r="D41" s="39">
        <v>0</v>
      </c>
      <c r="E41" s="39">
        <v>0</v>
      </c>
      <c r="F41" s="39">
        <v>0</v>
      </c>
      <c r="G41" s="39">
        <v>0</v>
      </c>
      <c r="H41" s="38">
        <v>2</v>
      </c>
      <c r="I41" s="38">
        <v>1</v>
      </c>
      <c r="J41" s="38">
        <v>1</v>
      </c>
      <c r="K41" s="38">
        <v>0</v>
      </c>
      <c r="L41" s="40" t="s">
        <v>79</v>
      </c>
      <c r="M41" s="38" t="s">
        <v>852</v>
      </c>
      <c r="N41" s="39"/>
      <c r="O41" s="39" t="s">
        <v>852</v>
      </c>
      <c r="P41" s="39"/>
      <c r="Q41" s="39"/>
      <c r="R41" s="39"/>
      <c r="S41" s="39"/>
      <c r="T41" s="39"/>
      <c r="U41" s="39"/>
      <c r="V41" s="39"/>
      <c r="W41" s="39"/>
      <c r="X41" s="39"/>
      <c r="Y41" s="39"/>
      <c r="Z41" s="39"/>
      <c r="AA41" s="39" t="s">
        <v>852</v>
      </c>
      <c r="AB41" s="39" t="s">
        <v>852</v>
      </c>
      <c r="AC41" s="39"/>
      <c r="AD41" s="39"/>
      <c r="AE41" s="39"/>
    </row>
    <row r="42" spans="1:31" ht="12.75" customHeight="1" x14ac:dyDescent="0.15">
      <c r="A42" s="45" t="s">
        <v>2549</v>
      </c>
      <c r="B42" s="38" t="s">
        <v>2550</v>
      </c>
      <c r="C42" s="39" t="s">
        <v>2551</v>
      </c>
      <c r="D42" s="39">
        <v>0</v>
      </c>
      <c r="E42" s="39">
        <v>0</v>
      </c>
      <c r="F42" s="39">
        <v>0</v>
      </c>
      <c r="G42" s="39">
        <v>0</v>
      </c>
      <c r="H42" s="38">
        <v>2</v>
      </c>
      <c r="I42" s="38">
        <v>0</v>
      </c>
      <c r="J42" s="38">
        <v>2</v>
      </c>
      <c r="K42" s="38">
        <v>0</v>
      </c>
      <c r="L42" s="40" t="s">
        <v>79</v>
      </c>
      <c r="M42" s="38"/>
      <c r="N42" s="38" t="s">
        <v>852</v>
      </c>
      <c r="O42" s="38"/>
      <c r="P42" s="38"/>
      <c r="Q42" s="38"/>
      <c r="R42" s="38"/>
      <c r="S42" s="38" t="s">
        <v>852</v>
      </c>
      <c r="T42" s="38"/>
      <c r="U42" s="38"/>
      <c r="V42" s="38"/>
      <c r="W42" s="38"/>
      <c r="X42" s="38"/>
      <c r="Y42" s="38"/>
      <c r="Z42" s="38"/>
      <c r="AA42" s="38"/>
      <c r="AB42" s="38"/>
      <c r="AC42" s="38"/>
      <c r="AD42" s="38"/>
      <c r="AE42" s="38"/>
    </row>
    <row r="43" spans="1:31" ht="12.75" customHeight="1" x14ac:dyDescent="0.15">
      <c r="A43" s="44" t="s">
        <v>2552</v>
      </c>
      <c r="B43" s="38" t="s">
        <v>2553</v>
      </c>
      <c r="C43" s="39" t="s">
        <v>2554</v>
      </c>
      <c r="D43" s="39">
        <v>3</v>
      </c>
      <c r="E43" s="39">
        <v>2</v>
      </c>
      <c r="F43" s="39">
        <v>1</v>
      </c>
      <c r="G43" s="39">
        <v>0</v>
      </c>
      <c r="H43" s="38">
        <v>18</v>
      </c>
      <c r="I43" s="38">
        <v>7</v>
      </c>
      <c r="J43" s="38">
        <v>8</v>
      </c>
      <c r="K43" s="38">
        <v>3</v>
      </c>
      <c r="L43" s="40" t="s">
        <v>852</v>
      </c>
      <c r="M43" s="38" t="s">
        <v>852</v>
      </c>
      <c r="N43" s="38" t="s">
        <v>852</v>
      </c>
      <c r="O43" s="38"/>
      <c r="P43" s="38"/>
      <c r="Q43" s="38"/>
      <c r="R43" s="38"/>
      <c r="S43" s="38"/>
      <c r="T43" s="38"/>
      <c r="U43" s="38"/>
      <c r="V43" s="38"/>
      <c r="W43" s="38"/>
      <c r="X43" s="38"/>
      <c r="Y43" s="38"/>
      <c r="Z43" s="38"/>
      <c r="AA43" s="38"/>
      <c r="AB43" s="38"/>
      <c r="AC43" s="38"/>
      <c r="AD43" s="38"/>
      <c r="AE43" s="38"/>
    </row>
    <row r="44" spans="1:31" ht="12.75" customHeight="1" x14ac:dyDescent="0.15">
      <c r="A44" s="44" t="s">
        <v>2555</v>
      </c>
      <c r="B44" s="39" t="s">
        <v>2556</v>
      </c>
      <c r="C44" s="39" t="s">
        <v>2557</v>
      </c>
      <c r="D44" s="39">
        <v>0</v>
      </c>
      <c r="E44" s="39">
        <v>0</v>
      </c>
      <c r="F44" s="39">
        <v>0</v>
      </c>
      <c r="G44" s="39">
        <v>0</v>
      </c>
      <c r="H44" s="38">
        <v>2</v>
      </c>
      <c r="I44" s="38">
        <v>1</v>
      </c>
      <c r="J44" s="38">
        <v>1</v>
      </c>
      <c r="K44" s="38">
        <v>0</v>
      </c>
      <c r="L44" s="40" t="s">
        <v>79</v>
      </c>
      <c r="M44" s="48"/>
      <c r="N44" s="48"/>
      <c r="O44" s="48"/>
      <c r="P44" s="48"/>
      <c r="Q44" s="48"/>
      <c r="R44" s="48"/>
      <c r="S44" s="48"/>
      <c r="T44" s="48"/>
      <c r="U44" s="48"/>
      <c r="V44" s="48"/>
      <c r="W44" s="48"/>
      <c r="X44" s="48"/>
      <c r="Y44" s="48"/>
      <c r="Z44" s="48"/>
      <c r="AA44" s="48"/>
      <c r="AB44" s="48"/>
      <c r="AC44" s="48"/>
      <c r="AD44" s="48"/>
      <c r="AE44" s="48"/>
    </row>
    <row r="45" spans="1:31" ht="12.75" customHeight="1" x14ac:dyDescent="0.15">
      <c r="A45" s="44" t="s">
        <v>2558</v>
      </c>
      <c r="B45" s="38" t="s">
        <v>2559</v>
      </c>
      <c r="C45" s="39" t="s">
        <v>2560</v>
      </c>
      <c r="D45" s="42">
        <v>2</v>
      </c>
      <c r="E45" s="39">
        <v>1</v>
      </c>
      <c r="F45" s="39">
        <v>1</v>
      </c>
      <c r="G45" s="39">
        <v>0</v>
      </c>
      <c r="H45" s="38">
        <v>18</v>
      </c>
      <c r="I45" s="38">
        <v>8</v>
      </c>
      <c r="J45" s="38">
        <v>8</v>
      </c>
      <c r="K45" s="38">
        <v>2</v>
      </c>
      <c r="L45" s="40" t="s">
        <v>852</v>
      </c>
      <c r="M45" s="38" t="s">
        <v>852</v>
      </c>
      <c r="N45" s="38" t="s">
        <v>852</v>
      </c>
      <c r="O45" s="42"/>
      <c r="P45" s="42"/>
      <c r="Q45" s="42"/>
      <c r="R45" s="42" t="s">
        <v>852</v>
      </c>
      <c r="S45" s="42"/>
      <c r="T45" s="42"/>
      <c r="U45" s="42"/>
      <c r="V45" s="42"/>
      <c r="W45" s="42"/>
      <c r="X45" s="42"/>
      <c r="Y45" s="42"/>
      <c r="Z45" s="42"/>
      <c r="AA45" s="42"/>
      <c r="AB45" s="42"/>
      <c r="AC45" s="42"/>
      <c r="AD45" s="42"/>
      <c r="AE45" s="42"/>
    </row>
    <row r="46" spans="1:31" ht="12.75" customHeight="1" x14ac:dyDescent="0.15">
      <c r="A46" s="49" t="s">
        <v>2561</v>
      </c>
      <c r="B46" s="47" t="s">
        <v>2562</v>
      </c>
      <c r="C46" s="39" t="s">
        <v>2563</v>
      </c>
      <c r="D46" s="39">
        <v>0</v>
      </c>
      <c r="E46" s="39">
        <v>0</v>
      </c>
      <c r="F46" s="39">
        <v>0</v>
      </c>
      <c r="G46" s="39">
        <v>0</v>
      </c>
      <c r="H46" s="38">
        <v>3</v>
      </c>
      <c r="I46" s="38">
        <v>3</v>
      </c>
      <c r="J46" s="38">
        <v>0</v>
      </c>
      <c r="K46" s="38">
        <v>0</v>
      </c>
      <c r="L46" s="40" t="s">
        <v>79</v>
      </c>
      <c r="M46" s="38" t="s">
        <v>852</v>
      </c>
      <c r="N46" s="39"/>
      <c r="O46" s="39" t="s">
        <v>852</v>
      </c>
      <c r="P46" s="39"/>
      <c r="Q46" s="39"/>
      <c r="R46" s="39"/>
      <c r="S46" s="39"/>
      <c r="T46" s="39"/>
      <c r="U46" s="39"/>
      <c r="V46" s="39"/>
      <c r="W46" s="39"/>
      <c r="X46" s="39"/>
      <c r="Y46" s="39"/>
      <c r="Z46" s="39"/>
      <c r="AA46" s="39"/>
      <c r="AB46" s="39"/>
      <c r="AC46" s="39" t="s">
        <v>852</v>
      </c>
      <c r="AD46" s="39"/>
      <c r="AE46" s="39"/>
    </row>
    <row r="47" spans="1:31" ht="12.75" customHeight="1" x14ac:dyDescent="0.15">
      <c r="A47" s="45" t="s">
        <v>2564</v>
      </c>
      <c r="B47" s="38" t="s">
        <v>2565</v>
      </c>
      <c r="C47" s="39" t="s">
        <v>2566</v>
      </c>
      <c r="D47" s="39">
        <v>2</v>
      </c>
      <c r="E47" s="39">
        <v>1</v>
      </c>
      <c r="F47" s="39">
        <v>1</v>
      </c>
      <c r="G47" s="39">
        <v>0</v>
      </c>
      <c r="H47" s="38">
        <v>27</v>
      </c>
      <c r="I47" s="38">
        <v>13</v>
      </c>
      <c r="J47" s="38">
        <v>10</v>
      </c>
      <c r="K47" s="38">
        <v>4</v>
      </c>
      <c r="L47" s="40" t="s">
        <v>852</v>
      </c>
      <c r="M47" s="38"/>
      <c r="N47" s="38" t="s">
        <v>852</v>
      </c>
      <c r="O47" s="38"/>
      <c r="P47" s="38"/>
      <c r="Q47" s="38"/>
      <c r="R47" s="38"/>
      <c r="S47" s="38"/>
      <c r="T47" s="38"/>
      <c r="U47" s="38"/>
      <c r="V47" s="38"/>
      <c r="W47" s="38"/>
      <c r="X47" s="38"/>
      <c r="Y47" s="38"/>
      <c r="Z47" s="38"/>
      <c r="AA47" s="38"/>
      <c r="AB47" s="38"/>
      <c r="AC47" s="38"/>
      <c r="AD47" s="38"/>
      <c r="AE47" s="38"/>
    </row>
    <row r="48" spans="1:31" ht="12.75" customHeight="1" x14ac:dyDescent="0.15">
      <c r="A48" s="44" t="s">
        <v>2567</v>
      </c>
      <c r="B48" s="39" t="s">
        <v>2568</v>
      </c>
      <c r="C48" s="39" t="s">
        <v>2569</v>
      </c>
      <c r="D48" s="39">
        <v>0</v>
      </c>
      <c r="E48" s="39">
        <v>0</v>
      </c>
      <c r="F48" s="39">
        <v>0</v>
      </c>
      <c r="G48" s="39">
        <v>0</v>
      </c>
      <c r="H48" s="39">
        <v>5</v>
      </c>
      <c r="I48" s="39">
        <v>1</v>
      </c>
      <c r="J48" s="39">
        <v>4</v>
      </c>
      <c r="K48" s="39">
        <v>0</v>
      </c>
      <c r="L48" s="40" t="s">
        <v>79</v>
      </c>
      <c r="M48" s="39"/>
      <c r="N48" s="39"/>
      <c r="O48" s="39"/>
      <c r="P48" s="39"/>
      <c r="Q48" s="39"/>
      <c r="R48" s="39"/>
      <c r="S48" s="39"/>
      <c r="T48" s="39"/>
      <c r="U48" s="39"/>
      <c r="V48" s="39"/>
      <c r="W48" s="39"/>
      <c r="X48" s="39"/>
      <c r="Y48" s="39"/>
      <c r="Z48" s="39"/>
      <c r="AA48" s="39"/>
      <c r="AB48" s="39"/>
      <c r="AC48" s="39"/>
      <c r="AD48" s="39" t="s">
        <v>852</v>
      </c>
      <c r="AE48" s="39"/>
    </row>
    <row r="49" spans="1:31" ht="12.75" customHeight="1" x14ac:dyDescent="0.15">
      <c r="A49" s="45" t="s">
        <v>2570</v>
      </c>
      <c r="B49" s="39" t="s">
        <v>991</v>
      </c>
      <c r="C49" s="39" t="s">
        <v>2571</v>
      </c>
      <c r="D49" s="42">
        <v>2</v>
      </c>
      <c r="E49" s="39">
        <v>1</v>
      </c>
      <c r="F49" s="39">
        <v>1</v>
      </c>
      <c r="G49" s="39">
        <v>0</v>
      </c>
      <c r="H49" s="38">
        <v>3</v>
      </c>
      <c r="I49" s="38">
        <v>1</v>
      </c>
      <c r="J49" s="38">
        <v>2</v>
      </c>
      <c r="K49" s="38">
        <v>0</v>
      </c>
      <c r="L49" s="40" t="s">
        <v>852</v>
      </c>
      <c r="M49" s="38"/>
      <c r="N49" s="38" t="s">
        <v>852</v>
      </c>
      <c r="O49" s="38"/>
      <c r="P49" s="38"/>
      <c r="Q49" s="38"/>
      <c r="R49" s="38"/>
      <c r="S49" s="38"/>
      <c r="T49" s="38"/>
      <c r="U49" s="38"/>
      <c r="V49" s="38"/>
      <c r="W49" s="38"/>
      <c r="X49" s="38"/>
      <c r="Y49" s="38"/>
      <c r="Z49" s="38"/>
      <c r="AA49" s="38"/>
      <c r="AB49" s="38"/>
      <c r="AC49" s="38"/>
      <c r="AD49" s="38"/>
      <c r="AE49" s="38"/>
    </row>
    <row r="50" spans="1:31" ht="12.75" customHeight="1" x14ac:dyDescent="0.15">
      <c r="A50" s="44" t="s">
        <v>2572</v>
      </c>
      <c r="B50" s="39" t="s">
        <v>2573</v>
      </c>
      <c r="C50" s="48"/>
      <c r="D50" s="39">
        <v>0</v>
      </c>
      <c r="E50" s="39">
        <v>0</v>
      </c>
      <c r="F50" s="39">
        <v>0</v>
      </c>
      <c r="G50" s="39">
        <v>0</v>
      </c>
      <c r="H50" s="39">
        <v>6</v>
      </c>
      <c r="I50" s="39">
        <v>2</v>
      </c>
      <c r="J50" s="39">
        <v>4</v>
      </c>
      <c r="K50" s="39">
        <v>0</v>
      </c>
      <c r="L50" s="40" t="s">
        <v>79</v>
      </c>
      <c r="M50" s="48"/>
      <c r="N50" s="48"/>
      <c r="O50" s="48"/>
      <c r="P50" s="48"/>
      <c r="Q50" s="48"/>
      <c r="R50" s="48"/>
      <c r="S50" s="48"/>
      <c r="T50" s="48"/>
      <c r="U50" s="48"/>
      <c r="V50" s="48"/>
      <c r="W50" s="48"/>
      <c r="X50" s="48"/>
      <c r="Y50" s="48"/>
      <c r="Z50" s="48"/>
      <c r="AA50" s="48"/>
      <c r="AB50" s="48"/>
      <c r="AC50" s="48"/>
      <c r="AD50" s="48"/>
      <c r="AE50" s="48"/>
    </row>
    <row r="51" spans="1:31" ht="12.75" customHeight="1" x14ac:dyDescent="0.15">
      <c r="A51" s="45" t="s">
        <v>2574</v>
      </c>
      <c r="B51" s="38" t="s">
        <v>2575</v>
      </c>
      <c r="C51" s="39" t="s">
        <v>2576</v>
      </c>
      <c r="D51" s="39">
        <v>2</v>
      </c>
      <c r="E51" s="39">
        <v>1</v>
      </c>
      <c r="F51" s="39">
        <v>1</v>
      </c>
      <c r="G51" s="39">
        <v>0</v>
      </c>
      <c r="H51" s="38">
        <v>31</v>
      </c>
      <c r="I51" s="38">
        <v>11</v>
      </c>
      <c r="J51" s="38">
        <v>9</v>
      </c>
      <c r="K51" s="38">
        <v>11</v>
      </c>
      <c r="L51" s="40" t="s">
        <v>852</v>
      </c>
      <c r="M51" s="38"/>
      <c r="N51" s="38" t="s">
        <v>852</v>
      </c>
      <c r="O51" s="38"/>
      <c r="P51" s="38"/>
      <c r="Q51" s="38"/>
      <c r="R51" s="38"/>
      <c r="S51" s="38"/>
      <c r="T51" s="38"/>
      <c r="U51" s="38"/>
      <c r="V51" s="38"/>
      <c r="W51" s="38"/>
      <c r="X51" s="38"/>
      <c r="Y51" s="38"/>
      <c r="Z51" s="38"/>
      <c r="AA51" s="38"/>
      <c r="AB51" s="38"/>
      <c r="AC51" s="38"/>
      <c r="AD51" s="38"/>
      <c r="AE51" s="38"/>
    </row>
    <row r="52" spans="1:31" ht="12.75" customHeight="1" x14ac:dyDescent="0.15">
      <c r="A52" s="44" t="s">
        <v>2577</v>
      </c>
      <c r="B52" s="38" t="s">
        <v>2578</v>
      </c>
      <c r="C52" s="38" t="s">
        <v>2579</v>
      </c>
      <c r="D52" s="39">
        <v>0</v>
      </c>
      <c r="E52" s="39">
        <v>0</v>
      </c>
      <c r="F52" s="39">
        <v>0</v>
      </c>
      <c r="G52" s="39">
        <v>0</v>
      </c>
      <c r="H52" s="39">
        <v>5</v>
      </c>
      <c r="I52" s="39">
        <v>3</v>
      </c>
      <c r="J52" s="39">
        <v>2</v>
      </c>
      <c r="K52" s="39">
        <v>0</v>
      </c>
      <c r="L52" s="40" t="s">
        <v>79</v>
      </c>
      <c r="M52" s="43"/>
      <c r="N52" s="43"/>
      <c r="O52" s="43"/>
      <c r="P52" s="43"/>
      <c r="Q52" s="43"/>
      <c r="R52" s="43"/>
      <c r="S52" s="43"/>
      <c r="T52" s="43"/>
      <c r="U52" s="43"/>
      <c r="V52" s="43"/>
      <c r="W52" s="43"/>
      <c r="X52" s="43"/>
      <c r="Y52" s="43"/>
      <c r="Z52" s="43"/>
      <c r="AA52" s="43"/>
      <c r="AB52" s="43"/>
      <c r="AC52" s="43"/>
      <c r="AD52" s="43"/>
      <c r="AE52" s="43"/>
    </row>
    <row r="53" spans="1:31" ht="12.75" customHeight="1" x14ac:dyDescent="0.15">
      <c r="A53" s="45" t="s">
        <v>2580</v>
      </c>
      <c r="B53" s="38" t="s">
        <v>2581</v>
      </c>
      <c r="C53" s="39" t="s">
        <v>2582</v>
      </c>
      <c r="D53" s="39">
        <v>0</v>
      </c>
      <c r="E53" s="39">
        <v>0</v>
      </c>
      <c r="F53" s="39">
        <v>0</v>
      </c>
      <c r="G53" s="39">
        <v>0</v>
      </c>
      <c r="H53" s="38">
        <v>2</v>
      </c>
      <c r="I53" s="38">
        <v>0</v>
      </c>
      <c r="J53" s="38">
        <v>2</v>
      </c>
      <c r="K53" s="38">
        <v>0</v>
      </c>
      <c r="L53" s="40" t="s">
        <v>79</v>
      </c>
      <c r="M53" s="38" t="s">
        <v>852</v>
      </c>
      <c r="N53" s="38" t="s">
        <v>852</v>
      </c>
      <c r="O53" s="38"/>
      <c r="P53" s="38"/>
      <c r="Q53" s="38"/>
      <c r="R53" s="38"/>
      <c r="S53" s="38"/>
      <c r="T53" s="38"/>
      <c r="U53" s="38"/>
      <c r="V53" s="38"/>
      <c r="W53" s="38"/>
      <c r="X53" s="38"/>
      <c r="Y53" s="38"/>
      <c r="Z53" s="38"/>
      <c r="AA53" s="38"/>
      <c r="AB53" s="38"/>
      <c r="AC53" s="38"/>
      <c r="AD53" s="38"/>
      <c r="AE53" s="38"/>
    </row>
    <row r="54" spans="1:31" ht="12.75" customHeight="1" x14ac:dyDescent="0.15">
      <c r="A54" s="45" t="s">
        <v>2583</v>
      </c>
      <c r="B54" s="38" t="s">
        <v>2584</v>
      </c>
      <c r="C54" s="39" t="s">
        <v>2585</v>
      </c>
      <c r="D54" s="39">
        <v>0</v>
      </c>
      <c r="E54" s="39">
        <v>0</v>
      </c>
      <c r="F54" s="39">
        <v>0</v>
      </c>
      <c r="G54" s="39">
        <v>0</v>
      </c>
      <c r="H54" s="38">
        <v>3</v>
      </c>
      <c r="I54" s="38">
        <v>2</v>
      </c>
      <c r="J54" s="38">
        <v>1</v>
      </c>
      <c r="K54" s="38">
        <v>0</v>
      </c>
      <c r="L54" s="40" t="s">
        <v>79</v>
      </c>
      <c r="M54" s="38" t="s">
        <v>852</v>
      </c>
      <c r="N54" s="38" t="s">
        <v>852</v>
      </c>
      <c r="O54" s="38"/>
      <c r="P54" s="38"/>
      <c r="Q54" s="38"/>
      <c r="R54" s="38"/>
      <c r="S54" s="38"/>
      <c r="T54" s="38"/>
      <c r="U54" s="38"/>
      <c r="V54" s="38"/>
      <c r="W54" s="38"/>
      <c r="X54" s="38"/>
      <c r="Y54" s="38"/>
      <c r="Z54" s="38"/>
      <c r="AA54" s="38"/>
      <c r="AB54" s="38"/>
      <c r="AC54" s="38"/>
      <c r="AD54" s="38"/>
      <c r="AE54" s="38"/>
    </row>
    <row r="55" spans="1:31" ht="12.75" customHeight="1" x14ac:dyDescent="0.15">
      <c r="A55" s="45" t="s">
        <v>2586</v>
      </c>
      <c r="B55" s="38" t="s">
        <v>2587</v>
      </c>
      <c r="C55" s="39" t="s">
        <v>2588</v>
      </c>
      <c r="D55" s="39">
        <v>0</v>
      </c>
      <c r="E55" s="39">
        <v>0</v>
      </c>
      <c r="F55" s="39">
        <v>0</v>
      </c>
      <c r="G55" s="39">
        <v>0</v>
      </c>
      <c r="H55" s="38">
        <v>49</v>
      </c>
      <c r="I55" s="38">
        <v>28</v>
      </c>
      <c r="J55" s="38">
        <v>19</v>
      </c>
      <c r="K55" s="38">
        <v>2</v>
      </c>
      <c r="L55" s="40" t="s">
        <v>79</v>
      </c>
      <c r="M55" s="38" t="s">
        <v>852</v>
      </c>
      <c r="N55" s="38" t="s">
        <v>852</v>
      </c>
      <c r="O55" s="38"/>
      <c r="P55" s="38"/>
      <c r="Q55" s="38"/>
      <c r="R55" s="38"/>
      <c r="S55" s="38"/>
      <c r="T55" s="38"/>
      <c r="U55" s="38"/>
      <c r="V55" s="38"/>
      <c r="W55" s="38"/>
      <c r="X55" s="38"/>
      <c r="Y55" s="38"/>
      <c r="Z55" s="38"/>
      <c r="AA55" s="38"/>
      <c r="AB55" s="38"/>
      <c r="AC55" s="38"/>
      <c r="AD55" s="38"/>
      <c r="AE55" s="38"/>
    </row>
    <row r="56" spans="1:31" ht="12.75" customHeight="1" x14ac:dyDescent="0.15">
      <c r="A56" s="45" t="s">
        <v>2589</v>
      </c>
      <c r="B56" s="38" t="s">
        <v>2590</v>
      </c>
      <c r="C56" s="39" t="s">
        <v>2591</v>
      </c>
      <c r="D56" s="39">
        <v>0</v>
      </c>
      <c r="E56" s="39">
        <v>0</v>
      </c>
      <c r="F56" s="39">
        <v>0</v>
      </c>
      <c r="G56" s="39">
        <v>0</v>
      </c>
      <c r="H56" s="38">
        <v>2</v>
      </c>
      <c r="I56" s="38">
        <v>0</v>
      </c>
      <c r="J56" s="38">
        <v>2</v>
      </c>
      <c r="K56" s="38">
        <v>0</v>
      </c>
      <c r="L56" s="40" t="s">
        <v>79</v>
      </c>
      <c r="M56" s="38" t="s">
        <v>852</v>
      </c>
      <c r="N56" s="38" t="s">
        <v>852</v>
      </c>
      <c r="O56" s="38"/>
      <c r="P56" s="38"/>
      <c r="Q56" s="38"/>
      <c r="R56" s="38"/>
      <c r="S56" s="38"/>
      <c r="T56" s="38"/>
      <c r="U56" s="38"/>
      <c r="V56" s="38"/>
      <c r="W56" s="38"/>
      <c r="X56" s="38"/>
      <c r="Y56" s="38"/>
      <c r="Z56" s="38"/>
      <c r="AA56" s="38"/>
      <c r="AB56" s="38"/>
      <c r="AC56" s="38"/>
      <c r="AD56" s="38"/>
      <c r="AE56" s="38"/>
    </row>
    <row r="57" spans="1:31" ht="12.75" customHeight="1" x14ac:dyDescent="0.15">
      <c r="A57" s="45" t="s">
        <v>2592</v>
      </c>
      <c r="B57" s="38" t="s">
        <v>2593</v>
      </c>
      <c r="C57" s="39" t="s">
        <v>2594</v>
      </c>
      <c r="D57" s="39">
        <v>0</v>
      </c>
      <c r="E57" s="39">
        <v>0</v>
      </c>
      <c r="F57" s="39">
        <v>0</v>
      </c>
      <c r="G57" s="39">
        <v>0</v>
      </c>
      <c r="H57" s="38">
        <v>19</v>
      </c>
      <c r="I57" s="38">
        <v>8</v>
      </c>
      <c r="J57" s="38">
        <v>8</v>
      </c>
      <c r="K57" s="38">
        <v>3</v>
      </c>
      <c r="L57" s="40" t="s">
        <v>79</v>
      </c>
      <c r="M57" s="38" t="s">
        <v>852</v>
      </c>
      <c r="N57" s="38" t="s">
        <v>852</v>
      </c>
      <c r="O57" s="38"/>
      <c r="P57" s="38"/>
      <c r="Q57" s="38"/>
      <c r="R57" s="38"/>
      <c r="S57" s="38"/>
      <c r="T57" s="38"/>
      <c r="U57" s="38"/>
      <c r="V57" s="38"/>
      <c r="W57" s="38"/>
      <c r="X57" s="38"/>
      <c r="Y57" s="38"/>
      <c r="Z57" s="38"/>
      <c r="AA57" s="38"/>
      <c r="AB57" s="38"/>
      <c r="AC57" s="38"/>
      <c r="AD57" s="38"/>
      <c r="AE57" s="38"/>
    </row>
    <row r="58" spans="1:31" ht="12.75" customHeight="1" x14ac:dyDescent="0.15">
      <c r="A58" s="45" t="s">
        <v>2595</v>
      </c>
      <c r="B58" s="38" t="s">
        <v>2596</v>
      </c>
      <c r="C58" s="39" t="s">
        <v>2563</v>
      </c>
      <c r="D58" s="39">
        <v>0</v>
      </c>
      <c r="E58" s="39">
        <v>0</v>
      </c>
      <c r="F58" s="39">
        <v>0</v>
      </c>
      <c r="G58" s="39">
        <v>0</v>
      </c>
      <c r="H58" s="39">
        <v>1</v>
      </c>
      <c r="I58" s="39">
        <v>1</v>
      </c>
      <c r="J58" s="39">
        <v>0</v>
      </c>
      <c r="K58" s="39">
        <v>0</v>
      </c>
      <c r="L58" s="40" t="s">
        <v>79</v>
      </c>
      <c r="M58" s="38"/>
      <c r="N58" s="38"/>
      <c r="O58" s="38" t="s">
        <v>852</v>
      </c>
      <c r="P58" s="38"/>
      <c r="Q58" s="38"/>
      <c r="R58" s="38"/>
      <c r="S58" s="38"/>
      <c r="T58" s="38"/>
      <c r="U58" s="38"/>
      <c r="V58" s="38"/>
      <c r="W58" s="38"/>
      <c r="X58" s="38"/>
      <c r="Y58" s="38"/>
      <c r="Z58" s="38"/>
      <c r="AA58" s="38"/>
      <c r="AB58" s="38"/>
      <c r="AC58" s="38" t="s">
        <v>852</v>
      </c>
      <c r="AD58" s="38"/>
      <c r="AE58" s="38"/>
    </row>
    <row r="59" spans="1:31" ht="12.75" customHeight="1" x14ac:dyDescent="0.15">
      <c r="A59" s="45" t="s">
        <v>2597</v>
      </c>
      <c r="B59" s="38" t="s">
        <v>2598</v>
      </c>
      <c r="C59" s="38" t="s">
        <v>2599</v>
      </c>
      <c r="D59" s="39">
        <v>0</v>
      </c>
      <c r="E59" s="39">
        <v>0</v>
      </c>
      <c r="F59" s="39">
        <v>0</v>
      </c>
      <c r="G59" s="39">
        <v>0</v>
      </c>
      <c r="H59" s="38">
        <v>37</v>
      </c>
      <c r="I59" s="38">
        <v>19</v>
      </c>
      <c r="J59" s="38">
        <v>18</v>
      </c>
      <c r="K59" s="38">
        <v>0</v>
      </c>
      <c r="L59" s="40" t="s">
        <v>79</v>
      </c>
      <c r="M59" s="38" t="s">
        <v>852</v>
      </c>
      <c r="N59" s="38"/>
      <c r="O59" s="38"/>
      <c r="P59" s="38"/>
      <c r="Q59" s="38"/>
      <c r="R59" s="38"/>
      <c r="S59" s="38"/>
      <c r="T59" s="38"/>
      <c r="U59" s="38"/>
      <c r="V59" s="38"/>
      <c r="W59" s="38"/>
      <c r="X59" s="38"/>
      <c r="Y59" s="38"/>
      <c r="Z59" s="38"/>
      <c r="AA59" s="38"/>
      <c r="AB59" s="38"/>
      <c r="AC59" s="38"/>
      <c r="AD59" s="38"/>
      <c r="AE59" s="38" t="s">
        <v>852</v>
      </c>
    </row>
    <row r="60" spans="1:31" ht="12.75" customHeight="1" x14ac:dyDescent="0.15">
      <c r="A60" s="45" t="s">
        <v>2600</v>
      </c>
      <c r="B60" s="38" t="s">
        <v>2601</v>
      </c>
      <c r="C60" s="39" t="s">
        <v>2602</v>
      </c>
      <c r="D60" s="39">
        <v>0</v>
      </c>
      <c r="E60" s="39">
        <v>0</v>
      </c>
      <c r="F60" s="39">
        <v>0</v>
      </c>
      <c r="G60" s="39">
        <v>0</v>
      </c>
      <c r="H60" s="38">
        <v>4</v>
      </c>
      <c r="I60" s="38">
        <v>2</v>
      </c>
      <c r="J60" s="38">
        <v>2</v>
      </c>
      <c r="K60" s="38">
        <v>0</v>
      </c>
      <c r="L60" s="40" t="s">
        <v>79</v>
      </c>
      <c r="M60" s="38" t="s">
        <v>852</v>
      </c>
      <c r="N60" s="38" t="s">
        <v>852</v>
      </c>
      <c r="O60" s="38"/>
      <c r="P60" s="38"/>
      <c r="Q60" s="38"/>
      <c r="R60" s="38"/>
      <c r="S60" s="38"/>
      <c r="T60" s="38"/>
      <c r="U60" s="38"/>
      <c r="V60" s="38"/>
      <c r="W60" s="38"/>
      <c r="X60" s="38"/>
      <c r="Y60" s="38"/>
      <c r="Z60" s="38"/>
      <c r="AA60" s="38"/>
      <c r="AB60" s="38"/>
      <c r="AC60" s="38"/>
      <c r="AD60" s="38"/>
      <c r="AE60" s="38"/>
    </row>
    <row r="61" spans="1:31" ht="12.75" customHeight="1" x14ac:dyDescent="0.15">
      <c r="A61" s="45" t="s">
        <v>2603</v>
      </c>
      <c r="B61" s="38" t="s">
        <v>2604</v>
      </c>
      <c r="C61" s="38" t="s">
        <v>2605</v>
      </c>
      <c r="D61" s="39">
        <v>0</v>
      </c>
      <c r="E61" s="39">
        <v>0</v>
      </c>
      <c r="F61" s="39">
        <v>0</v>
      </c>
      <c r="G61" s="39">
        <v>0</v>
      </c>
      <c r="H61" s="39">
        <v>1</v>
      </c>
      <c r="I61" s="39">
        <v>0</v>
      </c>
      <c r="J61" s="39">
        <v>1</v>
      </c>
      <c r="K61" s="39">
        <v>0</v>
      </c>
      <c r="L61" s="40" t="s">
        <v>79</v>
      </c>
      <c r="M61" s="38" t="s">
        <v>852</v>
      </c>
      <c r="N61" s="42"/>
      <c r="O61" s="42" t="s">
        <v>852</v>
      </c>
      <c r="P61" s="42"/>
      <c r="Q61" s="42"/>
      <c r="R61" s="42"/>
      <c r="S61" s="42"/>
      <c r="T61" s="42"/>
      <c r="U61" s="42" t="s">
        <v>852</v>
      </c>
      <c r="V61" s="42" t="s">
        <v>852</v>
      </c>
      <c r="W61" s="42"/>
      <c r="X61" s="42"/>
      <c r="Y61" s="42"/>
      <c r="Z61" s="42"/>
      <c r="AA61" s="42"/>
      <c r="AB61" s="42"/>
      <c r="AC61" s="42"/>
      <c r="AD61" s="42"/>
      <c r="AE61" s="42"/>
    </row>
    <row r="62" spans="1:31" ht="12.75" customHeight="1" x14ac:dyDescent="0.15">
      <c r="A62" s="45" t="s">
        <v>2606</v>
      </c>
      <c r="B62" s="38" t="s">
        <v>2607</v>
      </c>
      <c r="C62" s="38" t="s">
        <v>2608</v>
      </c>
      <c r="D62" s="39">
        <v>0</v>
      </c>
      <c r="E62" s="39">
        <v>0</v>
      </c>
      <c r="F62" s="39">
        <v>0</v>
      </c>
      <c r="G62" s="39">
        <v>0</v>
      </c>
      <c r="H62" s="39">
        <v>1</v>
      </c>
      <c r="I62" s="39">
        <v>1</v>
      </c>
      <c r="J62" s="39">
        <v>0</v>
      </c>
      <c r="K62" s="39">
        <v>0</v>
      </c>
      <c r="L62" s="40" t="s">
        <v>79</v>
      </c>
      <c r="M62" s="38" t="s">
        <v>852</v>
      </c>
      <c r="N62" s="39" t="s">
        <v>852</v>
      </c>
      <c r="O62" s="39"/>
      <c r="P62" s="39"/>
      <c r="Q62" s="39"/>
      <c r="R62" s="39"/>
      <c r="S62" s="39"/>
      <c r="T62" s="39" t="s">
        <v>852</v>
      </c>
      <c r="U62" s="39"/>
      <c r="V62" s="39"/>
      <c r="W62" s="39"/>
      <c r="X62" s="39"/>
      <c r="Y62" s="39" t="s">
        <v>852</v>
      </c>
      <c r="Z62" s="39"/>
      <c r="AA62" s="39"/>
      <c r="AB62" s="39"/>
      <c r="AC62" s="39"/>
      <c r="AD62" s="39"/>
      <c r="AE62" s="39"/>
    </row>
    <row r="63" spans="1:31" ht="12.75" customHeight="1" x14ac:dyDescent="0.15">
      <c r="A63" s="44" t="s">
        <v>2609</v>
      </c>
      <c r="B63" s="39" t="s">
        <v>2610</v>
      </c>
      <c r="C63" s="48"/>
      <c r="D63" s="39">
        <v>0</v>
      </c>
      <c r="E63" s="39">
        <v>0</v>
      </c>
      <c r="F63" s="39">
        <v>0</v>
      </c>
      <c r="G63" s="39">
        <v>0</v>
      </c>
      <c r="H63" s="38">
        <v>2</v>
      </c>
      <c r="I63" s="38">
        <v>0</v>
      </c>
      <c r="J63" s="38">
        <v>2</v>
      </c>
      <c r="K63" s="38">
        <v>0</v>
      </c>
      <c r="L63" s="40" t="s">
        <v>79</v>
      </c>
      <c r="M63" s="48"/>
      <c r="N63" s="48"/>
      <c r="O63" s="48"/>
      <c r="P63" s="48"/>
      <c r="Q63" s="48"/>
      <c r="R63" s="48"/>
      <c r="S63" s="48"/>
      <c r="T63" s="48"/>
      <c r="U63" s="48"/>
      <c r="V63" s="48"/>
      <c r="W63" s="48"/>
      <c r="X63" s="48"/>
      <c r="Y63" s="48"/>
      <c r="Z63" s="48"/>
      <c r="AA63" s="48"/>
      <c r="AB63" s="48"/>
      <c r="AC63" s="48"/>
      <c r="AD63" s="48"/>
      <c r="AE63" s="48"/>
    </row>
    <row r="64" spans="1:31" ht="12.75" customHeight="1" x14ac:dyDescent="0.15">
      <c r="A64" s="45" t="s">
        <v>2611</v>
      </c>
      <c r="B64" s="38" t="s">
        <v>2612</v>
      </c>
      <c r="C64" s="39" t="s">
        <v>2613</v>
      </c>
      <c r="D64" s="39">
        <v>0</v>
      </c>
      <c r="E64" s="39">
        <v>0</v>
      </c>
      <c r="F64" s="39">
        <v>0</v>
      </c>
      <c r="G64" s="39">
        <v>0</v>
      </c>
      <c r="H64" s="38">
        <v>8</v>
      </c>
      <c r="I64" s="38">
        <v>3</v>
      </c>
      <c r="J64" s="38">
        <v>5</v>
      </c>
      <c r="K64" s="38">
        <v>0</v>
      </c>
      <c r="L64" s="40" t="s">
        <v>79</v>
      </c>
      <c r="M64" s="43"/>
      <c r="N64" s="43"/>
      <c r="O64" s="43"/>
      <c r="P64" s="43"/>
      <c r="Q64" s="43"/>
      <c r="R64" s="43"/>
      <c r="S64" s="43"/>
      <c r="T64" s="43"/>
      <c r="U64" s="43"/>
      <c r="V64" s="43"/>
      <c r="W64" s="43"/>
      <c r="X64" s="43"/>
      <c r="Y64" s="43"/>
      <c r="Z64" s="43"/>
      <c r="AA64" s="43"/>
      <c r="AB64" s="43"/>
      <c r="AC64" s="43"/>
      <c r="AD64" s="43"/>
      <c r="AE64" s="43"/>
    </row>
    <row r="65" spans="1:31" ht="12.75" customHeight="1" x14ac:dyDescent="0.15">
      <c r="A65" s="44" t="s">
        <v>2614</v>
      </c>
      <c r="B65" s="38" t="s">
        <v>2615</v>
      </c>
      <c r="C65" s="39" t="s">
        <v>2616</v>
      </c>
      <c r="D65" s="39">
        <v>0</v>
      </c>
      <c r="E65" s="39">
        <v>0</v>
      </c>
      <c r="F65" s="39">
        <v>0</v>
      </c>
      <c r="G65" s="39">
        <v>0</v>
      </c>
      <c r="H65" s="38">
        <v>2</v>
      </c>
      <c r="I65" s="38">
        <v>1</v>
      </c>
      <c r="J65" s="38">
        <v>1</v>
      </c>
      <c r="K65" s="38">
        <v>0</v>
      </c>
      <c r="L65" s="40" t="s">
        <v>79</v>
      </c>
      <c r="M65" s="43"/>
      <c r="N65" s="43"/>
      <c r="O65" s="43"/>
      <c r="P65" s="43"/>
      <c r="Q65" s="43"/>
      <c r="R65" s="43"/>
      <c r="S65" s="43"/>
      <c r="T65" s="43"/>
      <c r="U65" s="43"/>
      <c r="V65" s="43"/>
      <c r="W65" s="43"/>
      <c r="X65" s="43"/>
      <c r="Y65" s="43"/>
      <c r="Z65" s="43"/>
      <c r="AA65" s="43"/>
      <c r="AB65" s="43"/>
      <c r="AC65" s="43"/>
      <c r="AD65" s="43"/>
      <c r="AE65" s="43"/>
    </row>
    <row r="66" spans="1:31" ht="12.75" customHeight="1" x14ac:dyDescent="0.15">
      <c r="A66" s="44" t="s">
        <v>2617</v>
      </c>
      <c r="B66" s="38" t="s">
        <v>2618</v>
      </c>
      <c r="C66" s="38" t="s">
        <v>2619</v>
      </c>
      <c r="D66" s="39">
        <v>0</v>
      </c>
      <c r="E66" s="39">
        <v>0</v>
      </c>
      <c r="F66" s="39">
        <v>0</v>
      </c>
      <c r="G66" s="39">
        <v>0</v>
      </c>
      <c r="H66" s="39">
        <v>1</v>
      </c>
      <c r="I66" s="39">
        <v>1</v>
      </c>
      <c r="J66" s="39">
        <v>0</v>
      </c>
      <c r="K66" s="39">
        <v>0</v>
      </c>
      <c r="L66" s="40" t="s">
        <v>79</v>
      </c>
      <c r="M66" s="39" t="s">
        <v>852</v>
      </c>
      <c r="N66" s="39"/>
      <c r="O66" s="39" t="s">
        <v>852</v>
      </c>
      <c r="P66" s="39"/>
      <c r="Q66" s="39"/>
      <c r="R66" s="39"/>
      <c r="S66" s="39"/>
      <c r="T66" s="39"/>
      <c r="U66" s="39"/>
      <c r="V66" s="39"/>
      <c r="W66" s="39"/>
      <c r="X66" s="39"/>
      <c r="Y66" s="39"/>
      <c r="Z66" s="39"/>
      <c r="AA66" s="39"/>
      <c r="AB66" s="39" t="s">
        <v>852</v>
      </c>
      <c r="AC66" s="39"/>
      <c r="AD66" s="39" t="s">
        <v>852</v>
      </c>
      <c r="AE66" s="39"/>
    </row>
    <row r="67" spans="1:31" ht="12.75" customHeight="1" x14ac:dyDescent="0.15">
      <c r="A67" s="45" t="s">
        <v>2620</v>
      </c>
      <c r="B67" s="38" t="s">
        <v>2621</v>
      </c>
      <c r="C67" s="39" t="s">
        <v>2622</v>
      </c>
      <c r="D67" s="39">
        <v>0</v>
      </c>
      <c r="E67" s="39">
        <v>0</v>
      </c>
      <c r="F67" s="39">
        <v>0</v>
      </c>
      <c r="G67" s="39">
        <v>0</v>
      </c>
      <c r="H67" s="38">
        <v>3</v>
      </c>
      <c r="I67" s="38">
        <v>1</v>
      </c>
      <c r="J67" s="38">
        <v>2</v>
      </c>
      <c r="K67" s="38">
        <v>0</v>
      </c>
      <c r="L67" s="40" t="s">
        <v>79</v>
      </c>
      <c r="M67" s="38"/>
      <c r="N67" s="38" t="s">
        <v>852</v>
      </c>
      <c r="O67" s="38"/>
      <c r="P67" s="38"/>
      <c r="Q67" s="38"/>
      <c r="R67" s="38"/>
      <c r="S67" s="38"/>
      <c r="T67" s="38"/>
      <c r="U67" s="38"/>
      <c r="V67" s="38"/>
      <c r="W67" s="38"/>
      <c r="X67" s="38"/>
      <c r="Y67" s="38"/>
      <c r="Z67" s="38"/>
      <c r="AA67" s="38"/>
      <c r="AB67" s="38"/>
      <c r="AC67" s="38"/>
      <c r="AD67" s="38"/>
      <c r="AE67" s="38"/>
    </row>
    <row r="68" spans="1:31" ht="12.75" customHeight="1" x14ac:dyDescent="0.15">
      <c r="A68" s="45" t="s">
        <v>2623</v>
      </c>
      <c r="B68" s="38" t="s">
        <v>2624</v>
      </c>
      <c r="C68" s="39" t="s">
        <v>2625</v>
      </c>
      <c r="D68" s="39">
        <v>0</v>
      </c>
      <c r="E68" s="39">
        <v>0</v>
      </c>
      <c r="F68" s="39">
        <v>0</v>
      </c>
      <c r="G68" s="39">
        <v>0</v>
      </c>
      <c r="H68" s="38">
        <v>2</v>
      </c>
      <c r="I68" s="38">
        <v>1</v>
      </c>
      <c r="J68" s="38">
        <v>1</v>
      </c>
      <c r="K68" s="38">
        <v>0</v>
      </c>
      <c r="L68" s="40" t="s">
        <v>79</v>
      </c>
      <c r="M68" s="38"/>
      <c r="N68" s="38"/>
      <c r="O68" s="38"/>
      <c r="P68" s="38" t="s">
        <v>852</v>
      </c>
      <c r="Q68" s="38" t="s">
        <v>852</v>
      </c>
      <c r="R68" s="38"/>
      <c r="S68" s="38"/>
      <c r="T68" s="38"/>
      <c r="U68" s="38"/>
      <c r="V68" s="38"/>
      <c r="W68" s="38"/>
      <c r="X68" s="38"/>
      <c r="Y68" s="38"/>
      <c r="Z68" s="38"/>
      <c r="AA68" s="38"/>
      <c r="AB68" s="38"/>
      <c r="AC68" s="38"/>
      <c r="AD68" s="38"/>
      <c r="AE68" s="38"/>
    </row>
    <row r="69" spans="1:31" ht="12.75" customHeight="1" x14ac:dyDescent="0.15">
      <c r="A69" s="50" t="s">
        <v>2626</v>
      </c>
      <c r="B69" s="39" t="s">
        <v>2627</v>
      </c>
      <c r="C69" s="39" t="s">
        <v>2628</v>
      </c>
      <c r="D69" s="39">
        <v>0</v>
      </c>
      <c r="E69" s="39">
        <v>0</v>
      </c>
      <c r="F69" s="39">
        <v>0</v>
      </c>
      <c r="G69" s="39">
        <v>0</v>
      </c>
      <c r="H69" s="39">
        <v>1</v>
      </c>
      <c r="I69" s="39">
        <v>1</v>
      </c>
      <c r="J69" s="39">
        <v>0</v>
      </c>
      <c r="K69" s="39">
        <v>0</v>
      </c>
      <c r="L69" s="40" t="s">
        <v>79</v>
      </c>
      <c r="M69" s="43"/>
      <c r="N69" s="43"/>
      <c r="O69" s="43"/>
      <c r="P69" s="43"/>
      <c r="Q69" s="43"/>
      <c r="R69" s="43"/>
      <c r="S69" s="43"/>
      <c r="T69" s="43"/>
      <c r="U69" s="43"/>
      <c r="V69" s="43"/>
      <c r="W69" s="43"/>
      <c r="X69" s="43"/>
      <c r="Y69" s="43"/>
      <c r="Z69" s="43"/>
      <c r="AA69" s="43"/>
      <c r="AB69" s="43"/>
      <c r="AC69" s="43"/>
      <c r="AD69" s="43"/>
      <c r="AE69" s="43"/>
    </row>
    <row r="70" spans="1:31" ht="12.75" customHeight="1" x14ac:dyDescent="0.15">
      <c r="A70" s="44" t="s">
        <v>2629</v>
      </c>
      <c r="B70" s="43"/>
      <c r="C70" s="43" t="s">
        <v>2525</v>
      </c>
      <c r="D70" s="39">
        <v>0</v>
      </c>
      <c r="E70" s="39">
        <v>0</v>
      </c>
      <c r="F70" s="39">
        <v>0</v>
      </c>
      <c r="G70" s="39">
        <v>0</v>
      </c>
      <c r="H70" s="39">
        <v>1</v>
      </c>
      <c r="I70" s="39">
        <v>1</v>
      </c>
      <c r="J70" s="39">
        <v>0</v>
      </c>
      <c r="K70" s="39">
        <v>0</v>
      </c>
      <c r="L70" s="40" t="s">
        <v>79</v>
      </c>
      <c r="M70" s="43"/>
      <c r="N70" s="43"/>
      <c r="O70" s="43"/>
      <c r="P70" s="43"/>
      <c r="Q70" s="43"/>
      <c r="R70" s="43"/>
      <c r="S70" s="43"/>
      <c r="T70" s="43"/>
      <c r="U70" s="43"/>
      <c r="V70" s="43"/>
      <c r="W70" s="43"/>
      <c r="X70" s="43"/>
      <c r="Y70" s="43"/>
      <c r="Z70" s="43"/>
      <c r="AA70" s="43"/>
      <c r="AB70" s="43"/>
      <c r="AC70" s="43"/>
      <c r="AD70" s="43"/>
      <c r="AE70" s="43"/>
    </row>
    <row r="71" spans="1:31" ht="12.75" customHeight="1" x14ac:dyDescent="0.15"/>
    <row r="72" spans="1:31" ht="12.75" customHeight="1" x14ac:dyDescent="0.15"/>
    <row r="73" spans="1:31" ht="12.75" customHeight="1" x14ac:dyDescent="0.15"/>
    <row r="74" spans="1:31" ht="12.75" customHeight="1" x14ac:dyDescent="0.15"/>
    <row r="75" spans="1:31" ht="12.75" customHeight="1" x14ac:dyDescent="0.15"/>
    <row r="76" spans="1:31" ht="12.75" customHeight="1" x14ac:dyDescent="0.15"/>
    <row r="77" spans="1:31" ht="12.75" customHeight="1" x14ac:dyDescent="0.15"/>
    <row r="78" spans="1:31" ht="12.75" customHeight="1" x14ac:dyDescent="0.15"/>
    <row r="79" spans="1:31" ht="12.75" customHeight="1" x14ac:dyDescent="0.15"/>
    <row r="80" spans="1:31"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191"/>
  <sheetViews>
    <sheetView workbookViewId="0"/>
  </sheetViews>
  <sheetFormatPr baseColWidth="10" defaultColWidth="14.3984375" defaultRowHeight="15" customHeight="1" x14ac:dyDescent="0.15"/>
  <cols>
    <col min="1" max="1" width="11.59765625" customWidth="1"/>
    <col min="2" max="2" width="2.19921875" customWidth="1"/>
    <col min="3" max="3" width="14" customWidth="1"/>
    <col min="4" max="4" width="2.19921875" customWidth="1"/>
    <col min="5" max="5" width="10.3984375" customWidth="1"/>
    <col min="6" max="6" width="2.19921875" customWidth="1"/>
    <col min="7" max="7" width="8" customWidth="1"/>
    <col min="8" max="9" width="9.3984375" customWidth="1"/>
    <col min="10" max="10" width="8" customWidth="1"/>
    <col min="11" max="12" width="9.3984375" customWidth="1"/>
    <col min="13" max="13" width="1.19921875" customWidth="1"/>
    <col min="14" max="14" width="8" customWidth="1"/>
    <col min="15" max="15" width="10.3984375" customWidth="1"/>
    <col min="16" max="16" width="4.59765625" customWidth="1"/>
    <col min="17" max="17" width="11.59765625" customWidth="1"/>
    <col min="18" max="18" width="2.19921875" customWidth="1"/>
    <col min="19" max="19" width="15.19921875" customWidth="1"/>
    <col min="20" max="20" width="1.19921875" customWidth="1"/>
    <col min="21" max="21" width="18.59765625" customWidth="1"/>
    <col min="22" max="22" width="6.796875" customWidth="1"/>
  </cols>
  <sheetData>
    <row r="1" spans="1:22" ht="91.5" customHeight="1" x14ac:dyDescent="0.15">
      <c r="A1" s="83" t="s">
        <v>2630</v>
      </c>
      <c r="B1" s="84"/>
      <c r="C1" s="84"/>
      <c r="D1" s="84"/>
      <c r="E1" s="84"/>
      <c r="F1" s="84"/>
      <c r="G1" s="84"/>
      <c r="H1" s="84"/>
      <c r="I1" s="84"/>
      <c r="J1" s="84"/>
      <c r="K1" s="84"/>
      <c r="L1" s="84"/>
      <c r="M1" s="84"/>
      <c r="N1" s="84"/>
      <c r="O1" s="84"/>
      <c r="P1" s="84"/>
      <c r="Q1" s="84"/>
      <c r="R1" s="84"/>
      <c r="S1" s="84"/>
      <c r="T1" s="84"/>
      <c r="U1" s="84"/>
      <c r="V1" s="84"/>
    </row>
    <row r="2" spans="1:22" ht="31.5" customHeight="1" x14ac:dyDescent="0.15">
      <c r="A2" s="72" t="s">
        <v>2631</v>
      </c>
      <c r="B2" s="65"/>
      <c r="C2" s="72" t="s">
        <v>2632</v>
      </c>
      <c r="D2" s="65"/>
      <c r="E2" s="52" t="s">
        <v>2633</v>
      </c>
      <c r="F2" s="72" t="s">
        <v>2634</v>
      </c>
      <c r="G2" s="65"/>
      <c r="H2" s="82" t="s">
        <v>2635</v>
      </c>
      <c r="I2" s="65"/>
      <c r="J2" s="72" t="s">
        <v>2636</v>
      </c>
      <c r="K2" s="65"/>
      <c r="L2" s="53" t="s">
        <v>2637</v>
      </c>
      <c r="M2" s="82" t="s">
        <v>2638</v>
      </c>
      <c r="N2" s="65"/>
      <c r="O2" s="82" t="s">
        <v>2639</v>
      </c>
      <c r="P2" s="65"/>
      <c r="Q2" s="82" t="s">
        <v>2640</v>
      </c>
      <c r="R2" s="65"/>
      <c r="S2" s="82" t="s">
        <v>2641</v>
      </c>
      <c r="T2" s="65"/>
      <c r="U2" s="53" t="s">
        <v>2642</v>
      </c>
      <c r="V2" s="53" t="s">
        <v>2643</v>
      </c>
    </row>
    <row r="3" spans="1:22" ht="24.75" customHeight="1" x14ac:dyDescent="0.15">
      <c r="A3" s="85">
        <v>2605</v>
      </c>
      <c r="B3" s="65"/>
      <c r="C3" s="67" t="s">
        <v>2644</v>
      </c>
      <c r="D3" s="65"/>
      <c r="E3" s="54">
        <v>101471</v>
      </c>
      <c r="F3" s="67" t="s">
        <v>2645</v>
      </c>
      <c r="G3" s="65"/>
      <c r="H3" s="64">
        <v>39523</v>
      </c>
      <c r="I3" s="65"/>
      <c r="J3" s="67" t="s">
        <v>2646</v>
      </c>
      <c r="K3" s="65"/>
      <c r="L3" s="54">
        <v>1130</v>
      </c>
      <c r="M3" s="66">
        <v>2436</v>
      </c>
      <c r="N3" s="65"/>
      <c r="O3" s="70" t="s">
        <v>2647</v>
      </c>
      <c r="P3" s="65"/>
      <c r="Q3" s="67" t="s">
        <v>2648</v>
      </c>
      <c r="R3" s="65"/>
      <c r="S3" s="64">
        <v>39523</v>
      </c>
      <c r="T3" s="65"/>
      <c r="U3" s="55" t="s">
        <v>2649</v>
      </c>
      <c r="V3" s="51"/>
    </row>
    <row r="4" spans="1:22" ht="12.75" customHeight="1" x14ac:dyDescent="0.15">
      <c r="A4" s="68"/>
      <c r="B4" s="69"/>
      <c r="C4" s="69"/>
      <c r="D4" s="69"/>
      <c r="E4" s="69"/>
      <c r="F4" s="69"/>
      <c r="G4" s="69"/>
      <c r="H4" s="69"/>
      <c r="I4" s="69"/>
      <c r="J4" s="69"/>
      <c r="K4" s="69"/>
      <c r="L4" s="69"/>
      <c r="M4" s="69"/>
      <c r="N4" s="69"/>
      <c r="O4" s="69"/>
      <c r="P4" s="65"/>
      <c r="Q4" s="70" t="s">
        <v>2650</v>
      </c>
      <c r="R4" s="65"/>
      <c r="S4" s="71">
        <v>40003</v>
      </c>
      <c r="T4" s="65"/>
      <c r="U4" s="56" t="s">
        <v>2651</v>
      </c>
      <c r="V4" s="57"/>
    </row>
    <row r="5" spans="1:22" ht="13.5" customHeight="1" x14ac:dyDescent="0.15">
      <c r="A5" s="68"/>
      <c r="B5" s="69"/>
      <c r="C5" s="69"/>
      <c r="D5" s="69"/>
      <c r="E5" s="69"/>
      <c r="F5" s="69"/>
      <c r="G5" s="69"/>
      <c r="H5" s="69"/>
      <c r="I5" s="69"/>
      <c r="J5" s="69"/>
      <c r="K5" s="69"/>
      <c r="L5" s="69"/>
      <c r="M5" s="69"/>
      <c r="N5" s="69"/>
      <c r="O5" s="69"/>
      <c r="P5" s="65"/>
      <c r="Q5" s="70" t="s">
        <v>2652</v>
      </c>
      <c r="R5" s="65"/>
      <c r="S5" s="71">
        <v>42285</v>
      </c>
      <c r="T5" s="65"/>
      <c r="U5" s="56" t="s">
        <v>2653</v>
      </c>
      <c r="V5" s="57"/>
    </row>
    <row r="6" spans="1:22" ht="25.5" customHeight="1" x14ac:dyDescent="0.15">
      <c r="A6" s="85">
        <v>2667</v>
      </c>
      <c r="B6" s="65"/>
      <c r="C6" s="67" t="s">
        <v>2654</v>
      </c>
      <c r="D6" s="65"/>
      <c r="E6" s="54">
        <v>101772</v>
      </c>
      <c r="F6" s="67" t="s">
        <v>2655</v>
      </c>
      <c r="G6" s="65"/>
      <c r="H6" s="64">
        <v>42454</v>
      </c>
      <c r="I6" s="65"/>
      <c r="J6" s="67" t="s">
        <v>2656</v>
      </c>
      <c r="K6" s="65"/>
      <c r="L6" s="54">
        <v>2639</v>
      </c>
      <c r="M6" s="66">
        <v>2642</v>
      </c>
      <c r="N6" s="65"/>
      <c r="O6" s="73" t="s">
        <v>2657</v>
      </c>
      <c r="P6" s="65"/>
      <c r="Q6" s="67" t="s">
        <v>2658</v>
      </c>
      <c r="R6" s="65"/>
      <c r="S6" s="64">
        <v>42454</v>
      </c>
      <c r="T6" s="65"/>
      <c r="U6" s="55" t="s">
        <v>2659</v>
      </c>
      <c r="V6" s="51"/>
    </row>
    <row r="7" spans="1:22" ht="12.75" customHeight="1" x14ac:dyDescent="0.15">
      <c r="A7" s="68"/>
      <c r="B7" s="69"/>
      <c r="C7" s="69"/>
      <c r="D7" s="69"/>
      <c r="E7" s="69"/>
      <c r="F7" s="69"/>
      <c r="G7" s="69"/>
      <c r="H7" s="69"/>
      <c r="I7" s="69"/>
      <c r="J7" s="69"/>
      <c r="K7" s="69"/>
      <c r="L7" s="69"/>
      <c r="M7" s="69"/>
      <c r="N7" s="69"/>
      <c r="O7" s="69"/>
      <c r="P7" s="65"/>
      <c r="Q7" s="70" t="s">
        <v>2660</v>
      </c>
      <c r="R7" s="65"/>
      <c r="S7" s="71">
        <v>42975</v>
      </c>
      <c r="T7" s="65"/>
      <c r="U7" s="56" t="s">
        <v>2661</v>
      </c>
      <c r="V7" s="57"/>
    </row>
    <row r="8" spans="1:22" ht="25.5" customHeight="1" x14ac:dyDescent="0.15">
      <c r="A8" s="85">
        <v>2682</v>
      </c>
      <c r="B8" s="65"/>
      <c r="C8" s="67" t="s">
        <v>2662</v>
      </c>
      <c r="D8" s="65"/>
      <c r="E8" s="55" t="s">
        <v>2663</v>
      </c>
      <c r="F8" s="67" t="s">
        <v>2664</v>
      </c>
      <c r="G8" s="65"/>
      <c r="H8" s="64">
        <v>42955</v>
      </c>
      <c r="I8" s="65"/>
      <c r="J8" s="67" t="s">
        <v>2665</v>
      </c>
      <c r="K8" s="65"/>
      <c r="L8" s="54">
        <v>2634</v>
      </c>
      <c r="M8" s="66">
        <v>2654</v>
      </c>
      <c r="N8" s="65"/>
      <c r="O8" s="70" t="s">
        <v>2666</v>
      </c>
      <c r="P8" s="65"/>
      <c r="Q8" s="67" t="s">
        <v>2667</v>
      </c>
      <c r="R8" s="65"/>
      <c r="S8" s="64">
        <v>42955</v>
      </c>
      <c r="T8" s="65"/>
      <c r="U8" s="55" t="s">
        <v>2668</v>
      </c>
      <c r="V8" s="51"/>
    </row>
    <row r="9" spans="1:22" ht="13.5" customHeight="1" x14ac:dyDescent="0.15">
      <c r="A9" s="68"/>
      <c r="B9" s="69"/>
      <c r="C9" s="69"/>
      <c r="D9" s="69"/>
      <c r="E9" s="69"/>
      <c r="F9" s="69"/>
      <c r="G9" s="69"/>
      <c r="H9" s="69"/>
      <c r="I9" s="69"/>
      <c r="J9" s="69"/>
      <c r="K9" s="69"/>
      <c r="L9" s="69"/>
      <c r="M9" s="69"/>
      <c r="N9" s="69"/>
      <c r="O9" s="69"/>
      <c r="P9" s="65"/>
      <c r="Q9" s="70" t="s">
        <v>2669</v>
      </c>
      <c r="R9" s="65"/>
      <c r="S9" s="71">
        <v>43510</v>
      </c>
      <c r="T9" s="65"/>
      <c r="U9" s="56" t="s">
        <v>2670</v>
      </c>
      <c r="V9" s="57"/>
    </row>
    <row r="10" spans="1:22" ht="25.5" customHeight="1" x14ac:dyDescent="0.15">
      <c r="A10" s="85">
        <v>2661</v>
      </c>
      <c r="B10" s="65"/>
      <c r="C10" s="67" t="s">
        <v>2671</v>
      </c>
      <c r="D10" s="65"/>
      <c r="E10" s="55" t="s">
        <v>2672</v>
      </c>
      <c r="F10" s="67" t="s">
        <v>2673</v>
      </c>
      <c r="G10" s="65"/>
      <c r="H10" s="64">
        <v>42164</v>
      </c>
      <c r="I10" s="65"/>
      <c r="J10" s="67" t="s">
        <v>2674</v>
      </c>
      <c r="K10" s="65"/>
      <c r="L10" s="54">
        <v>2639</v>
      </c>
      <c r="M10" s="66">
        <v>2642</v>
      </c>
      <c r="N10" s="65"/>
      <c r="O10" s="73" t="s">
        <v>2675</v>
      </c>
      <c r="P10" s="65"/>
      <c r="Q10" s="67" t="s">
        <v>2676</v>
      </c>
      <c r="R10" s="65"/>
      <c r="S10" s="64">
        <v>42164</v>
      </c>
      <c r="T10" s="65"/>
      <c r="U10" s="55" t="s">
        <v>2677</v>
      </c>
      <c r="V10" s="51"/>
    </row>
    <row r="11" spans="1:22" ht="12.75" customHeight="1" x14ac:dyDescent="0.15">
      <c r="A11" s="68"/>
      <c r="B11" s="69"/>
      <c r="C11" s="69"/>
      <c r="D11" s="69"/>
      <c r="E11" s="69"/>
      <c r="F11" s="69"/>
      <c r="G11" s="69"/>
      <c r="H11" s="69"/>
      <c r="I11" s="69"/>
      <c r="J11" s="69"/>
      <c r="K11" s="69"/>
      <c r="L11" s="69"/>
      <c r="M11" s="69"/>
      <c r="N11" s="69"/>
      <c r="O11" s="69"/>
      <c r="P11" s="65"/>
      <c r="Q11" s="70" t="s">
        <v>2678</v>
      </c>
      <c r="R11" s="65"/>
      <c r="S11" s="71">
        <v>42550</v>
      </c>
      <c r="T11" s="65"/>
      <c r="U11" s="56" t="s">
        <v>2679</v>
      </c>
      <c r="V11" s="57"/>
    </row>
    <row r="12" spans="1:22" ht="12.75" customHeight="1" x14ac:dyDescent="0.15">
      <c r="A12" s="68"/>
      <c r="B12" s="69"/>
      <c r="C12" s="69"/>
      <c r="D12" s="69"/>
      <c r="E12" s="69"/>
      <c r="F12" s="69"/>
      <c r="G12" s="69"/>
      <c r="H12" s="69"/>
      <c r="I12" s="69"/>
      <c r="J12" s="69"/>
      <c r="K12" s="69"/>
      <c r="L12" s="69"/>
      <c r="M12" s="69"/>
      <c r="N12" s="69"/>
      <c r="O12" s="69"/>
      <c r="P12" s="65"/>
      <c r="Q12" s="70" t="s">
        <v>2680</v>
      </c>
      <c r="R12" s="65"/>
      <c r="S12" s="71">
        <v>42738</v>
      </c>
      <c r="T12" s="65"/>
      <c r="U12" s="56" t="s">
        <v>2681</v>
      </c>
      <c r="V12" s="57"/>
    </row>
    <row r="13" spans="1:22" ht="25.5" customHeight="1" x14ac:dyDescent="0.15">
      <c r="A13" s="85">
        <v>2707</v>
      </c>
      <c r="B13" s="65"/>
      <c r="C13" s="67" t="s">
        <v>2682</v>
      </c>
      <c r="D13" s="65"/>
      <c r="E13" s="54">
        <v>9545</v>
      </c>
      <c r="F13" s="67" t="s">
        <v>2683</v>
      </c>
      <c r="G13" s="65"/>
      <c r="H13" s="64">
        <v>44069</v>
      </c>
      <c r="I13" s="65"/>
      <c r="J13" s="67" t="s">
        <v>2684</v>
      </c>
      <c r="K13" s="65"/>
      <c r="L13" s="54">
        <v>2631</v>
      </c>
      <c r="M13" s="66">
        <v>2626</v>
      </c>
      <c r="N13" s="65"/>
      <c r="O13" s="70" t="s">
        <v>2685</v>
      </c>
      <c r="P13" s="65"/>
      <c r="Q13" s="67" t="s">
        <v>2686</v>
      </c>
      <c r="R13" s="65"/>
      <c r="S13" s="64">
        <v>44069</v>
      </c>
      <c r="T13" s="65"/>
      <c r="U13" s="55" t="s">
        <v>2687</v>
      </c>
      <c r="V13" s="51"/>
    </row>
    <row r="14" spans="1:22" ht="25.5" customHeight="1" x14ac:dyDescent="0.15">
      <c r="A14" s="85">
        <v>2631</v>
      </c>
      <c r="B14" s="65"/>
      <c r="C14" s="67" t="s">
        <v>2688</v>
      </c>
      <c r="D14" s="65"/>
      <c r="E14" s="54">
        <v>4919</v>
      </c>
      <c r="F14" s="67" t="s">
        <v>2689</v>
      </c>
      <c r="G14" s="65"/>
      <c r="H14" s="64">
        <v>40259</v>
      </c>
      <c r="I14" s="65"/>
      <c r="J14" s="67" t="s">
        <v>2690</v>
      </c>
      <c r="K14" s="65"/>
      <c r="L14" s="54">
        <v>1121</v>
      </c>
      <c r="M14" s="66">
        <v>1145</v>
      </c>
      <c r="N14" s="65"/>
      <c r="O14" s="73" t="s">
        <v>2691</v>
      </c>
      <c r="P14" s="65"/>
      <c r="Q14" s="67" t="s">
        <v>2692</v>
      </c>
      <c r="R14" s="65"/>
      <c r="S14" s="64">
        <v>40259</v>
      </c>
      <c r="T14" s="65"/>
      <c r="U14" s="55" t="s">
        <v>2693</v>
      </c>
      <c r="V14" s="51"/>
    </row>
    <row r="15" spans="1:22" ht="12.75" customHeight="1" x14ac:dyDescent="0.15">
      <c r="A15" s="68"/>
      <c r="B15" s="69"/>
      <c r="C15" s="69"/>
      <c r="D15" s="69"/>
      <c r="E15" s="69"/>
      <c r="F15" s="69"/>
      <c r="G15" s="69"/>
      <c r="H15" s="69"/>
      <c r="I15" s="69"/>
      <c r="J15" s="69"/>
      <c r="K15" s="69"/>
      <c r="L15" s="69"/>
      <c r="M15" s="69"/>
      <c r="N15" s="69"/>
      <c r="O15" s="69"/>
      <c r="P15" s="65"/>
      <c r="Q15" s="70" t="s">
        <v>2694</v>
      </c>
      <c r="R15" s="65"/>
      <c r="S15" s="71">
        <v>41690</v>
      </c>
      <c r="T15" s="65"/>
      <c r="U15" s="56" t="s">
        <v>2695</v>
      </c>
      <c r="V15" s="57"/>
    </row>
    <row r="16" spans="1:22" ht="24.75" customHeight="1" x14ac:dyDescent="0.15">
      <c r="A16" s="85">
        <v>2708</v>
      </c>
      <c r="B16" s="65"/>
      <c r="C16" s="67" t="s">
        <v>2696</v>
      </c>
      <c r="D16" s="65"/>
      <c r="E16" s="54">
        <v>9546</v>
      </c>
      <c r="F16" s="67" t="s">
        <v>2697</v>
      </c>
      <c r="G16" s="65"/>
      <c r="H16" s="64">
        <v>44069</v>
      </c>
      <c r="I16" s="65"/>
      <c r="J16" s="67" t="s">
        <v>2698</v>
      </c>
      <c r="K16" s="65"/>
      <c r="L16" s="54">
        <v>2631</v>
      </c>
      <c r="M16" s="66">
        <v>2626</v>
      </c>
      <c r="N16" s="65"/>
      <c r="O16" s="70" t="s">
        <v>2699</v>
      </c>
      <c r="P16" s="65"/>
      <c r="Q16" s="67" t="s">
        <v>2700</v>
      </c>
      <c r="R16" s="65"/>
      <c r="S16" s="64">
        <v>44069</v>
      </c>
      <c r="T16" s="65"/>
      <c r="U16" s="55" t="s">
        <v>2701</v>
      </c>
      <c r="V16" s="51"/>
    </row>
    <row r="17" spans="1:22" ht="25.5" customHeight="1" x14ac:dyDescent="0.15">
      <c r="A17" s="85">
        <v>2626</v>
      </c>
      <c r="B17" s="65"/>
      <c r="C17" s="67" t="s">
        <v>2702</v>
      </c>
      <c r="D17" s="65"/>
      <c r="E17" s="54">
        <v>4920</v>
      </c>
      <c r="F17" s="67" t="s">
        <v>2703</v>
      </c>
      <c r="G17" s="65"/>
      <c r="H17" s="64">
        <v>40518</v>
      </c>
      <c r="I17" s="65"/>
      <c r="J17" s="67" t="s">
        <v>2704</v>
      </c>
      <c r="K17" s="65"/>
      <c r="L17" s="54">
        <v>2402</v>
      </c>
      <c r="M17" s="66">
        <v>2451</v>
      </c>
      <c r="N17" s="65"/>
      <c r="O17" s="70" t="s">
        <v>2705</v>
      </c>
      <c r="P17" s="65"/>
      <c r="Q17" s="67" t="s">
        <v>2706</v>
      </c>
      <c r="R17" s="65"/>
      <c r="S17" s="64">
        <v>40518</v>
      </c>
      <c r="T17" s="65"/>
      <c r="U17" s="55" t="s">
        <v>2707</v>
      </c>
      <c r="V17" s="51"/>
    </row>
    <row r="18" spans="1:22" ht="13.5" customHeight="1" x14ac:dyDescent="0.15">
      <c r="A18" s="68"/>
      <c r="B18" s="69"/>
      <c r="C18" s="69"/>
      <c r="D18" s="69"/>
      <c r="E18" s="69"/>
      <c r="F18" s="69"/>
      <c r="G18" s="69"/>
      <c r="H18" s="69"/>
      <c r="I18" s="69"/>
      <c r="J18" s="69"/>
      <c r="K18" s="69"/>
      <c r="L18" s="69"/>
      <c r="M18" s="69"/>
      <c r="N18" s="69"/>
      <c r="O18" s="69"/>
      <c r="P18" s="65"/>
      <c r="Q18" s="70" t="s">
        <v>2708</v>
      </c>
      <c r="R18" s="65"/>
      <c r="S18" s="71">
        <v>41751</v>
      </c>
      <c r="T18" s="65"/>
      <c r="U18" s="56" t="s">
        <v>2709</v>
      </c>
      <c r="V18" s="57"/>
    </row>
    <row r="19" spans="1:22" ht="25.5" customHeight="1" x14ac:dyDescent="0.15">
      <c r="A19" s="85">
        <v>2637</v>
      </c>
      <c r="B19" s="65"/>
      <c r="C19" s="67" t="s">
        <v>2710</v>
      </c>
      <c r="D19" s="65"/>
      <c r="E19" s="54">
        <v>23548</v>
      </c>
      <c r="F19" s="67" t="s">
        <v>2711</v>
      </c>
      <c r="G19" s="65"/>
      <c r="H19" s="64">
        <v>40578</v>
      </c>
      <c r="I19" s="65"/>
      <c r="J19" s="67" t="s">
        <v>2712</v>
      </c>
      <c r="K19" s="65"/>
      <c r="L19" s="54">
        <v>2406</v>
      </c>
      <c r="M19" s="66">
        <v>2608</v>
      </c>
      <c r="N19" s="65"/>
      <c r="O19" s="73" t="s">
        <v>2713</v>
      </c>
      <c r="P19" s="65"/>
      <c r="Q19" s="67" t="s">
        <v>2714</v>
      </c>
      <c r="R19" s="65"/>
      <c r="S19" s="64">
        <v>40578</v>
      </c>
      <c r="T19" s="65"/>
      <c r="U19" s="55" t="s">
        <v>2715</v>
      </c>
      <c r="V19" s="51"/>
    </row>
    <row r="20" spans="1:22" ht="12.75" customHeight="1" x14ac:dyDescent="0.15">
      <c r="A20" s="68"/>
      <c r="B20" s="69"/>
      <c r="C20" s="69"/>
      <c r="D20" s="69"/>
      <c r="E20" s="69"/>
      <c r="F20" s="69"/>
      <c r="G20" s="69"/>
      <c r="H20" s="69"/>
      <c r="I20" s="69"/>
      <c r="J20" s="69"/>
      <c r="K20" s="69"/>
      <c r="L20" s="69"/>
      <c r="M20" s="69"/>
      <c r="N20" s="69"/>
      <c r="O20" s="69"/>
      <c r="P20" s="65"/>
      <c r="Q20" s="70" t="s">
        <v>2716</v>
      </c>
      <c r="R20" s="65"/>
      <c r="S20" s="71">
        <v>40842</v>
      </c>
      <c r="T20" s="65"/>
      <c r="U20" s="56" t="s">
        <v>2717</v>
      </c>
      <c r="V20" s="57"/>
    </row>
    <row r="21" spans="1:22" ht="12.75" customHeight="1" x14ac:dyDescent="0.15">
      <c r="A21" s="68"/>
      <c r="B21" s="69"/>
      <c r="C21" s="69"/>
      <c r="D21" s="69"/>
      <c r="E21" s="69"/>
      <c r="F21" s="69"/>
      <c r="G21" s="69"/>
      <c r="H21" s="69"/>
      <c r="I21" s="69"/>
      <c r="J21" s="69"/>
      <c r="K21" s="69"/>
      <c r="L21" s="69"/>
      <c r="M21" s="69"/>
      <c r="N21" s="69"/>
      <c r="O21" s="69"/>
      <c r="P21" s="65"/>
      <c r="Q21" s="70" t="s">
        <v>2718</v>
      </c>
      <c r="R21" s="65"/>
      <c r="S21" s="71">
        <v>42193</v>
      </c>
      <c r="T21" s="65"/>
      <c r="U21" s="56" t="s">
        <v>2719</v>
      </c>
      <c r="V21" s="57"/>
    </row>
    <row r="22" spans="1:22" ht="25.5" customHeight="1" x14ac:dyDescent="0.15">
      <c r="A22" s="85">
        <v>2646</v>
      </c>
      <c r="B22" s="65"/>
      <c r="C22" s="67" t="s">
        <v>2720</v>
      </c>
      <c r="D22" s="65"/>
      <c r="E22" s="54">
        <v>23550</v>
      </c>
      <c r="F22" s="67" t="s">
        <v>2721</v>
      </c>
      <c r="G22" s="65"/>
      <c r="H22" s="64">
        <v>41390</v>
      </c>
      <c r="I22" s="65"/>
      <c r="J22" s="67" t="s">
        <v>2722</v>
      </c>
      <c r="K22" s="65"/>
      <c r="L22" s="54">
        <v>2449</v>
      </c>
      <c r="M22" s="66">
        <v>2632</v>
      </c>
      <c r="N22" s="65"/>
      <c r="O22" s="70" t="s">
        <v>2723</v>
      </c>
      <c r="P22" s="65"/>
      <c r="Q22" s="67" t="s">
        <v>2724</v>
      </c>
      <c r="R22" s="65"/>
      <c r="S22" s="64">
        <v>41390</v>
      </c>
      <c r="T22" s="65"/>
      <c r="U22" s="55" t="s">
        <v>2725</v>
      </c>
      <c r="V22" s="51"/>
    </row>
    <row r="23" spans="1:22" ht="12.75" customHeight="1" x14ac:dyDescent="0.15">
      <c r="A23" s="68"/>
      <c r="B23" s="69"/>
      <c r="C23" s="69"/>
      <c r="D23" s="69"/>
      <c r="E23" s="69"/>
      <c r="F23" s="69"/>
      <c r="G23" s="69"/>
      <c r="H23" s="69"/>
      <c r="I23" s="69"/>
      <c r="J23" s="69"/>
      <c r="K23" s="69"/>
      <c r="L23" s="69"/>
      <c r="M23" s="69"/>
      <c r="N23" s="69"/>
      <c r="O23" s="69"/>
      <c r="P23" s="65"/>
      <c r="Q23" s="70" t="s">
        <v>2726</v>
      </c>
      <c r="R23" s="65"/>
      <c r="S23" s="71">
        <v>42192</v>
      </c>
      <c r="T23" s="65"/>
      <c r="U23" s="56" t="s">
        <v>2727</v>
      </c>
      <c r="V23" s="57"/>
    </row>
    <row r="24" spans="1:22" ht="25.5" customHeight="1" x14ac:dyDescent="0.15">
      <c r="A24" s="85">
        <v>2622</v>
      </c>
      <c r="B24" s="65"/>
      <c r="C24" s="67" t="s">
        <v>2728</v>
      </c>
      <c r="D24" s="65"/>
      <c r="E24" s="54">
        <v>119021</v>
      </c>
      <c r="F24" s="67" t="s">
        <v>2729</v>
      </c>
      <c r="G24" s="65"/>
      <c r="H24" s="64">
        <v>40438</v>
      </c>
      <c r="I24" s="65"/>
      <c r="J24" s="67" t="s">
        <v>2730</v>
      </c>
      <c r="K24" s="65"/>
      <c r="L24" s="54">
        <v>2498</v>
      </c>
      <c r="M24" s="66">
        <v>2502</v>
      </c>
      <c r="N24" s="65"/>
      <c r="O24" s="73" t="s">
        <v>2731</v>
      </c>
      <c r="P24" s="65"/>
      <c r="Q24" s="67" t="s">
        <v>2732</v>
      </c>
      <c r="R24" s="65"/>
      <c r="S24" s="64">
        <v>40438</v>
      </c>
      <c r="T24" s="65"/>
      <c r="U24" s="55" t="s">
        <v>2733</v>
      </c>
      <c r="V24" s="51"/>
    </row>
    <row r="25" spans="1:22" ht="12.75" customHeight="1" x14ac:dyDescent="0.15">
      <c r="A25" s="68"/>
      <c r="B25" s="69"/>
      <c r="C25" s="69"/>
      <c r="D25" s="69"/>
      <c r="E25" s="69"/>
      <c r="F25" s="69"/>
      <c r="G25" s="69"/>
      <c r="H25" s="69"/>
      <c r="I25" s="69"/>
      <c r="J25" s="69"/>
      <c r="K25" s="69"/>
      <c r="L25" s="69"/>
      <c r="M25" s="69"/>
      <c r="N25" s="69"/>
      <c r="O25" s="69"/>
      <c r="P25" s="65"/>
      <c r="Q25" s="70" t="s">
        <v>2734</v>
      </c>
      <c r="R25" s="65"/>
      <c r="S25" s="71">
        <v>42408</v>
      </c>
      <c r="T25" s="65"/>
      <c r="U25" s="56" t="s">
        <v>2735</v>
      </c>
      <c r="V25" s="57"/>
    </row>
    <row r="26" spans="1:22" ht="13.5" customHeight="1" x14ac:dyDescent="0.15">
      <c r="A26" s="68"/>
      <c r="B26" s="69"/>
      <c r="C26" s="69"/>
      <c r="D26" s="69"/>
      <c r="E26" s="69"/>
      <c r="F26" s="69"/>
      <c r="G26" s="69"/>
      <c r="H26" s="69"/>
      <c r="I26" s="69"/>
      <c r="J26" s="69"/>
      <c r="K26" s="69"/>
      <c r="L26" s="69"/>
      <c r="M26" s="69"/>
      <c r="N26" s="69"/>
      <c r="O26" s="69"/>
      <c r="P26" s="65"/>
      <c r="Q26" s="70" t="s">
        <v>2736</v>
      </c>
      <c r="R26" s="65"/>
      <c r="S26" s="71">
        <v>43601</v>
      </c>
      <c r="T26" s="65"/>
      <c r="U26" s="56" t="s">
        <v>2737</v>
      </c>
      <c r="V26" s="57"/>
    </row>
    <row r="27" spans="1:22" ht="25.5" customHeight="1" x14ac:dyDescent="0.15">
      <c r="A27" s="85">
        <v>2690</v>
      </c>
      <c r="B27" s="65"/>
      <c r="C27" s="67" t="s">
        <v>2738</v>
      </c>
      <c r="D27" s="65"/>
      <c r="E27" s="54">
        <v>200617</v>
      </c>
      <c r="F27" s="67" t="s">
        <v>2739</v>
      </c>
      <c r="G27" s="65"/>
      <c r="H27" s="64">
        <v>43613</v>
      </c>
      <c r="I27" s="65"/>
      <c r="J27" s="67" t="s">
        <v>2740</v>
      </c>
      <c r="K27" s="65"/>
      <c r="L27" s="54">
        <v>2639</v>
      </c>
      <c r="M27" s="66">
        <v>2659</v>
      </c>
      <c r="N27" s="65"/>
      <c r="O27" s="73" t="s">
        <v>2741</v>
      </c>
      <c r="P27" s="65"/>
      <c r="Q27" s="67" t="s">
        <v>2742</v>
      </c>
      <c r="R27" s="65"/>
      <c r="S27" s="64">
        <v>43613</v>
      </c>
      <c r="T27" s="65"/>
      <c r="U27" s="55" t="s">
        <v>2743</v>
      </c>
    </row>
    <row r="28" spans="1:22" ht="12.75" customHeight="1" x14ac:dyDescent="0.15">
      <c r="A28" s="68"/>
      <c r="B28" s="69"/>
      <c r="C28" s="69"/>
      <c r="D28" s="69"/>
      <c r="E28" s="69"/>
      <c r="F28" s="69"/>
      <c r="G28" s="69"/>
      <c r="H28" s="69"/>
      <c r="I28" s="69"/>
      <c r="J28" s="69"/>
      <c r="K28" s="69"/>
      <c r="L28" s="69"/>
      <c r="M28" s="69"/>
      <c r="N28" s="69"/>
      <c r="O28" s="69"/>
      <c r="P28" s="65"/>
      <c r="Q28" s="70" t="s">
        <v>2744</v>
      </c>
      <c r="R28" s="65"/>
      <c r="S28" s="71">
        <v>44007</v>
      </c>
      <c r="T28" s="65"/>
      <c r="U28" s="56" t="s">
        <v>2745</v>
      </c>
    </row>
    <row r="29" spans="1:22" ht="25.5" customHeight="1" x14ac:dyDescent="0.15">
      <c r="A29" s="85">
        <v>2689</v>
      </c>
      <c r="B29" s="65"/>
      <c r="C29" s="67" t="s">
        <v>2746</v>
      </c>
      <c r="D29" s="65"/>
      <c r="E29" s="54">
        <v>200616</v>
      </c>
      <c r="F29" s="67" t="s">
        <v>2747</v>
      </c>
      <c r="G29" s="65"/>
      <c r="H29" s="64">
        <v>43613</v>
      </c>
      <c r="I29" s="65"/>
      <c r="J29" s="67" t="s">
        <v>2748</v>
      </c>
      <c r="K29" s="65"/>
      <c r="L29" s="54">
        <v>2639</v>
      </c>
      <c r="M29" s="66">
        <v>2659</v>
      </c>
      <c r="N29" s="65"/>
      <c r="O29" s="70" t="s">
        <v>2749</v>
      </c>
      <c r="P29" s="65"/>
      <c r="Q29" s="67" t="s">
        <v>2750</v>
      </c>
      <c r="R29" s="65"/>
      <c r="S29" s="64">
        <v>43613</v>
      </c>
      <c r="T29" s="65"/>
      <c r="U29" s="55" t="s">
        <v>2751</v>
      </c>
    </row>
    <row r="30" spans="1:22" ht="13.5" customHeight="1" x14ac:dyDescent="0.15">
      <c r="A30" s="68"/>
      <c r="B30" s="69"/>
      <c r="C30" s="69"/>
      <c r="D30" s="69"/>
      <c r="E30" s="69"/>
      <c r="F30" s="69"/>
      <c r="G30" s="69"/>
      <c r="H30" s="69"/>
      <c r="I30" s="69"/>
      <c r="J30" s="69"/>
      <c r="K30" s="69"/>
      <c r="L30" s="69"/>
      <c r="M30" s="69"/>
      <c r="N30" s="69"/>
      <c r="O30" s="69"/>
      <c r="P30" s="65"/>
      <c r="Q30" s="70" t="s">
        <v>2752</v>
      </c>
      <c r="R30" s="65"/>
      <c r="S30" s="71">
        <v>44007</v>
      </c>
      <c r="T30" s="65"/>
      <c r="U30" s="56" t="s">
        <v>2753</v>
      </c>
    </row>
    <row r="31" spans="1:22" ht="25.5" customHeight="1" x14ac:dyDescent="0.15">
      <c r="A31" s="85">
        <v>2711</v>
      </c>
      <c r="B31" s="65"/>
      <c r="C31" s="67" t="s">
        <v>2754</v>
      </c>
      <c r="D31" s="65"/>
      <c r="E31" s="54">
        <v>221002</v>
      </c>
      <c r="F31" s="73" t="s">
        <v>2755</v>
      </c>
      <c r="G31" s="65"/>
      <c r="H31" s="64">
        <v>44252</v>
      </c>
      <c r="I31" s="65"/>
      <c r="J31" s="67" t="s">
        <v>2756</v>
      </c>
      <c r="K31" s="65"/>
      <c r="L31" s="54">
        <v>2639</v>
      </c>
      <c r="M31" s="66">
        <v>2642</v>
      </c>
      <c r="N31" s="65"/>
      <c r="O31" s="73" t="s">
        <v>2757</v>
      </c>
      <c r="P31" s="65"/>
      <c r="Q31" s="67" t="s">
        <v>2758</v>
      </c>
      <c r="R31" s="65"/>
      <c r="S31" s="64">
        <v>44252</v>
      </c>
      <c r="T31" s="65"/>
      <c r="U31" s="55" t="s">
        <v>2759</v>
      </c>
    </row>
    <row r="32" spans="1:22" ht="24.75" customHeight="1" x14ac:dyDescent="0.15">
      <c r="A32" s="85">
        <v>2659</v>
      </c>
      <c r="B32" s="65"/>
      <c r="C32" s="67" t="s">
        <v>2760</v>
      </c>
      <c r="D32" s="65"/>
      <c r="E32" s="54">
        <v>216050</v>
      </c>
      <c r="F32" s="67" t="s">
        <v>2761</v>
      </c>
      <c r="G32" s="65"/>
      <c r="H32" s="64">
        <v>42142</v>
      </c>
      <c r="I32" s="65"/>
      <c r="J32" s="67" t="s">
        <v>2762</v>
      </c>
      <c r="K32" s="65"/>
      <c r="L32" s="54">
        <v>2450</v>
      </c>
      <c r="M32" s="66">
        <v>2414</v>
      </c>
      <c r="N32" s="65"/>
      <c r="O32" s="70" t="s">
        <v>2763</v>
      </c>
      <c r="P32" s="65"/>
      <c r="Q32" s="67" t="s">
        <v>2764</v>
      </c>
      <c r="R32" s="65"/>
      <c r="S32" s="64">
        <v>42142</v>
      </c>
      <c r="T32" s="65"/>
      <c r="U32" s="55" t="s">
        <v>2765</v>
      </c>
    </row>
    <row r="33" spans="1:21" ht="12.75" customHeight="1" x14ac:dyDescent="0.15">
      <c r="A33" s="68"/>
      <c r="B33" s="69"/>
      <c r="C33" s="69"/>
      <c r="D33" s="69"/>
      <c r="E33" s="69"/>
      <c r="F33" s="69"/>
      <c r="G33" s="69"/>
      <c r="H33" s="69"/>
      <c r="I33" s="69"/>
      <c r="J33" s="69"/>
      <c r="K33" s="69"/>
      <c r="L33" s="69"/>
      <c r="M33" s="69"/>
      <c r="N33" s="69"/>
      <c r="O33" s="69"/>
      <c r="P33" s="65"/>
      <c r="Q33" s="70" t="s">
        <v>2766</v>
      </c>
      <c r="R33" s="65"/>
      <c r="S33" s="71">
        <v>42524</v>
      </c>
      <c r="T33" s="65"/>
      <c r="U33" s="56" t="s">
        <v>2767</v>
      </c>
    </row>
    <row r="34" spans="1:21" ht="25.5" customHeight="1" x14ac:dyDescent="0.15">
      <c r="A34" s="85">
        <v>2639</v>
      </c>
      <c r="B34" s="65"/>
      <c r="C34" s="67" t="s">
        <v>2768</v>
      </c>
      <c r="D34" s="65"/>
      <c r="E34" s="54">
        <v>213146</v>
      </c>
      <c r="F34" s="67" t="s">
        <v>2769</v>
      </c>
      <c r="G34" s="65"/>
      <c r="H34" s="64">
        <v>40708</v>
      </c>
      <c r="I34" s="65"/>
      <c r="J34" s="67" t="s">
        <v>2770</v>
      </c>
      <c r="K34" s="65"/>
      <c r="L34" s="54">
        <v>1121</v>
      </c>
      <c r="M34" s="66">
        <v>1145</v>
      </c>
      <c r="N34" s="65"/>
      <c r="O34" s="70" t="s">
        <v>2771</v>
      </c>
      <c r="P34" s="65"/>
      <c r="Q34" s="67" t="s">
        <v>2772</v>
      </c>
      <c r="R34" s="65"/>
      <c r="S34" s="64">
        <v>40708</v>
      </c>
      <c r="T34" s="65"/>
      <c r="U34" s="55" t="s">
        <v>2773</v>
      </c>
    </row>
    <row r="35" spans="1:21" ht="12.75" customHeight="1" x14ac:dyDescent="0.15">
      <c r="A35" s="68"/>
      <c r="B35" s="69"/>
      <c r="C35" s="69"/>
      <c r="D35" s="69"/>
      <c r="E35" s="69"/>
      <c r="F35" s="69"/>
      <c r="G35" s="69"/>
      <c r="H35" s="69"/>
      <c r="I35" s="69"/>
      <c r="J35" s="69"/>
      <c r="K35" s="69"/>
      <c r="L35" s="69"/>
      <c r="M35" s="69"/>
      <c r="N35" s="69"/>
      <c r="O35" s="69"/>
      <c r="P35" s="65"/>
      <c r="Q35" s="70" t="s">
        <v>2774</v>
      </c>
      <c r="R35" s="65"/>
      <c r="S35" s="71">
        <v>41612</v>
      </c>
      <c r="T35" s="65"/>
      <c r="U35" s="56" t="s">
        <v>2775</v>
      </c>
    </row>
    <row r="36" spans="1:21" ht="25.5" customHeight="1" x14ac:dyDescent="0.15">
      <c r="A36" s="85">
        <v>2642</v>
      </c>
      <c r="B36" s="65"/>
      <c r="C36" s="67" t="s">
        <v>2776</v>
      </c>
      <c r="D36" s="65"/>
      <c r="E36" s="54">
        <v>213145</v>
      </c>
      <c r="F36" s="67" t="s">
        <v>2777</v>
      </c>
      <c r="G36" s="65"/>
      <c r="H36" s="64">
        <v>40843</v>
      </c>
      <c r="I36" s="65"/>
      <c r="J36" s="67" t="s">
        <v>2778</v>
      </c>
      <c r="K36" s="65"/>
      <c r="L36" s="54">
        <v>2402</v>
      </c>
      <c r="M36" s="66">
        <v>2451</v>
      </c>
      <c r="N36" s="65"/>
      <c r="O36" s="73" t="s">
        <v>2779</v>
      </c>
      <c r="P36" s="65"/>
      <c r="Q36" s="67" t="s">
        <v>2780</v>
      </c>
      <c r="R36" s="65"/>
      <c r="S36" s="64">
        <v>40843</v>
      </c>
      <c r="T36" s="65"/>
      <c r="U36" s="55" t="s">
        <v>2781</v>
      </c>
    </row>
    <row r="37" spans="1:21" ht="12.75" customHeight="1" x14ac:dyDescent="0.15">
      <c r="A37" s="68"/>
      <c r="B37" s="69"/>
      <c r="C37" s="69"/>
      <c r="D37" s="69"/>
      <c r="E37" s="69"/>
      <c r="F37" s="69"/>
      <c r="G37" s="69"/>
      <c r="H37" s="69"/>
      <c r="I37" s="69"/>
      <c r="J37" s="69"/>
      <c r="K37" s="69"/>
      <c r="L37" s="69"/>
      <c r="M37" s="69"/>
      <c r="N37" s="69"/>
      <c r="O37" s="69"/>
      <c r="P37" s="65"/>
      <c r="Q37" s="70" t="s">
        <v>2782</v>
      </c>
      <c r="R37" s="65"/>
      <c r="S37" s="71">
        <v>41601</v>
      </c>
      <c r="T37" s="65"/>
      <c r="U37" s="56" t="s">
        <v>2783</v>
      </c>
    </row>
    <row r="38" spans="1:21" ht="25.5" customHeight="1" x14ac:dyDescent="0.15">
      <c r="A38" s="85">
        <v>2679</v>
      </c>
      <c r="B38" s="65"/>
      <c r="C38" s="67" t="s">
        <v>2784</v>
      </c>
      <c r="D38" s="65"/>
      <c r="E38" s="54">
        <v>100503</v>
      </c>
      <c r="F38" s="67" t="s">
        <v>2785</v>
      </c>
      <c r="G38" s="65"/>
      <c r="H38" s="64">
        <v>42771</v>
      </c>
      <c r="I38" s="65"/>
      <c r="J38" s="67" t="s">
        <v>2786</v>
      </c>
      <c r="K38" s="65"/>
      <c r="L38" s="54">
        <v>2639</v>
      </c>
      <c r="M38" s="66">
        <v>2642</v>
      </c>
      <c r="N38" s="65"/>
      <c r="O38" s="70" t="s">
        <v>2787</v>
      </c>
      <c r="P38" s="65"/>
      <c r="Q38" s="67" t="s">
        <v>2788</v>
      </c>
      <c r="R38" s="65"/>
      <c r="S38" s="64">
        <v>42771</v>
      </c>
      <c r="T38" s="65"/>
      <c r="U38" s="55" t="s">
        <v>2789</v>
      </c>
    </row>
    <row r="39" spans="1:21" ht="12.75" customHeight="1" x14ac:dyDescent="0.15">
      <c r="A39" s="68"/>
      <c r="B39" s="69"/>
      <c r="C39" s="69"/>
      <c r="D39" s="69"/>
      <c r="E39" s="69"/>
      <c r="F39" s="69"/>
      <c r="G39" s="69"/>
      <c r="H39" s="69"/>
      <c r="I39" s="69"/>
      <c r="J39" s="69"/>
      <c r="K39" s="69"/>
      <c r="L39" s="69"/>
      <c r="M39" s="69"/>
      <c r="N39" s="69"/>
      <c r="O39" s="69"/>
      <c r="P39" s="65"/>
      <c r="Q39" s="70" t="s">
        <v>2790</v>
      </c>
      <c r="R39" s="65"/>
      <c r="S39" s="71">
        <v>43657</v>
      </c>
      <c r="T39" s="65"/>
      <c r="U39" s="56" t="s">
        <v>2791</v>
      </c>
    </row>
    <row r="40" spans="1:21" ht="25.5" customHeight="1" x14ac:dyDescent="0.15">
      <c r="A40" s="85">
        <v>2685</v>
      </c>
      <c r="B40" s="65"/>
      <c r="C40" s="67" t="s">
        <v>2792</v>
      </c>
      <c r="D40" s="65"/>
      <c r="E40" s="54">
        <v>100504</v>
      </c>
      <c r="F40" s="67" t="s">
        <v>2793</v>
      </c>
      <c r="G40" s="65"/>
      <c r="H40" s="64">
        <v>43067</v>
      </c>
      <c r="I40" s="65"/>
      <c r="J40" s="67" t="s">
        <v>2794</v>
      </c>
      <c r="K40" s="65"/>
      <c r="L40" s="54">
        <v>2646</v>
      </c>
      <c r="M40" s="66">
        <v>2637</v>
      </c>
      <c r="N40" s="65"/>
      <c r="O40" s="73" t="s">
        <v>2795</v>
      </c>
      <c r="P40" s="65"/>
      <c r="Q40" s="67" t="s">
        <v>2796</v>
      </c>
      <c r="R40" s="65"/>
      <c r="S40" s="64">
        <v>43067</v>
      </c>
      <c r="T40" s="65"/>
      <c r="U40" s="55" t="s">
        <v>2797</v>
      </c>
    </row>
    <row r="41" spans="1:21" ht="12.75" customHeight="1" x14ac:dyDescent="0.15">
      <c r="A41" s="68"/>
      <c r="B41" s="69"/>
      <c r="C41" s="69"/>
      <c r="D41" s="69"/>
      <c r="E41" s="69"/>
      <c r="F41" s="69"/>
      <c r="G41" s="69"/>
      <c r="H41" s="69"/>
      <c r="I41" s="69"/>
      <c r="J41" s="69"/>
      <c r="K41" s="69"/>
      <c r="L41" s="69"/>
      <c r="M41" s="69"/>
      <c r="N41" s="69"/>
      <c r="O41" s="69"/>
      <c r="P41" s="65"/>
      <c r="Q41" s="70" t="s">
        <v>2798</v>
      </c>
      <c r="R41" s="65"/>
      <c r="S41" s="71">
        <v>43657</v>
      </c>
      <c r="T41" s="65"/>
      <c r="U41" s="56" t="s">
        <v>2799</v>
      </c>
    </row>
    <row r="42" spans="1:21" ht="25.5" customHeight="1" x14ac:dyDescent="0.15">
      <c r="A42" s="85">
        <v>2450</v>
      </c>
      <c r="B42" s="65"/>
      <c r="C42" s="67" t="s">
        <v>2800</v>
      </c>
      <c r="D42" s="65"/>
      <c r="E42" s="54">
        <v>202198</v>
      </c>
      <c r="F42" s="67" t="s">
        <v>2801</v>
      </c>
      <c r="G42" s="65"/>
      <c r="H42" s="64">
        <v>38612</v>
      </c>
      <c r="I42" s="65"/>
      <c r="J42" s="67" t="s">
        <v>2802</v>
      </c>
      <c r="K42" s="65"/>
      <c r="L42" s="54">
        <v>1108</v>
      </c>
      <c r="M42" s="66">
        <v>1146</v>
      </c>
      <c r="N42" s="65"/>
      <c r="O42" s="70" t="s">
        <v>2803</v>
      </c>
      <c r="P42" s="65"/>
      <c r="Q42" s="67" t="s">
        <v>2804</v>
      </c>
      <c r="R42" s="65"/>
      <c r="S42" s="64">
        <v>38612</v>
      </c>
      <c r="T42" s="65"/>
      <c r="U42" s="55" t="s">
        <v>2805</v>
      </c>
    </row>
    <row r="43" spans="1:21" ht="13.5" customHeight="1" x14ac:dyDescent="0.15">
      <c r="A43" s="68"/>
      <c r="B43" s="69"/>
      <c r="C43" s="69"/>
      <c r="D43" s="69"/>
      <c r="E43" s="69"/>
      <c r="F43" s="69"/>
      <c r="G43" s="69"/>
      <c r="H43" s="69"/>
      <c r="I43" s="69"/>
      <c r="J43" s="69"/>
      <c r="K43" s="69"/>
      <c r="L43" s="69"/>
      <c r="M43" s="69"/>
      <c r="N43" s="69"/>
      <c r="O43" s="69"/>
      <c r="P43" s="65"/>
      <c r="Q43" s="70" t="s">
        <v>2806</v>
      </c>
      <c r="R43" s="65"/>
      <c r="S43" s="71">
        <v>39777</v>
      </c>
      <c r="T43" s="65"/>
      <c r="U43" s="56" t="s">
        <v>2807</v>
      </c>
    </row>
    <row r="44" spans="1:21" ht="12.75" customHeight="1" x14ac:dyDescent="0.15">
      <c r="A44" s="68"/>
      <c r="B44" s="69"/>
      <c r="C44" s="69"/>
      <c r="D44" s="69"/>
      <c r="E44" s="69"/>
      <c r="F44" s="69"/>
      <c r="G44" s="69"/>
      <c r="H44" s="69"/>
      <c r="I44" s="69"/>
      <c r="J44" s="69"/>
      <c r="K44" s="69"/>
      <c r="L44" s="69"/>
      <c r="M44" s="69"/>
      <c r="N44" s="69"/>
      <c r="O44" s="69"/>
      <c r="P44" s="65"/>
      <c r="Q44" s="70" t="s">
        <v>2808</v>
      </c>
      <c r="R44" s="65"/>
      <c r="S44" s="71">
        <v>40823</v>
      </c>
      <c r="T44" s="65"/>
      <c r="U44" s="56" t="s">
        <v>2809</v>
      </c>
    </row>
    <row r="45" spans="1:21" ht="12.75" customHeight="1" x14ac:dyDescent="0.15">
      <c r="A45" s="68"/>
      <c r="B45" s="69"/>
      <c r="C45" s="69"/>
      <c r="D45" s="69"/>
      <c r="E45" s="69"/>
      <c r="F45" s="69"/>
      <c r="G45" s="69"/>
      <c r="H45" s="69"/>
      <c r="I45" s="69"/>
      <c r="J45" s="69"/>
      <c r="K45" s="69"/>
      <c r="L45" s="69"/>
      <c r="M45" s="69"/>
      <c r="N45" s="69"/>
      <c r="O45" s="69"/>
      <c r="P45" s="65"/>
      <c r="Q45" s="70" t="s">
        <v>2810</v>
      </c>
      <c r="R45" s="65"/>
      <c r="S45" s="71">
        <v>44119</v>
      </c>
      <c r="T45" s="65"/>
      <c r="U45" s="56" t="s">
        <v>2811</v>
      </c>
    </row>
    <row r="46" spans="1:21" ht="25.5" customHeight="1" x14ac:dyDescent="0.15">
      <c r="A46" s="85">
        <v>2632</v>
      </c>
      <c r="B46" s="65"/>
      <c r="C46" s="67" t="s">
        <v>2812</v>
      </c>
      <c r="D46" s="65"/>
      <c r="E46" s="54">
        <v>201291</v>
      </c>
      <c r="F46" s="67" t="s">
        <v>2813</v>
      </c>
      <c r="G46" s="65"/>
      <c r="H46" s="64">
        <v>40399</v>
      </c>
      <c r="I46" s="65"/>
      <c r="J46" s="67" t="s">
        <v>2814</v>
      </c>
      <c r="K46" s="65"/>
      <c r="L46" s="54">
        <v>1130</v>
      </c>
      <c r="M46" s="66">
        <v>2436</v>
      </c>
      <c r="N46" s="65"/>
      <c r="O46" s="70" t="s">
        <v>2815</v>
      </c>
      <c r="P46" s="65"/>
      <c r="Q46" s="67" t="s">
        <v>2816</v>
      </c>
      <c r="R46" s="65"/>
      <c r="S46" s="64">
        <v>40399</v>
      </c>
      <c r="T46" s="65"/>
      <c r="U46" s="55" t="s">
        <v>2817</v>
      </c>
    </row>
    <row r="47" spans="1:21" ht="13.5" customHeight="1" x14ac:dyDescent="0.15">
      <c r="A47" s="68"/>
      <c r="B47" s="69"/>
      <c r="C47" s="69"/>
      <c r="D47" s="69"/>
      <c r="E47" s="69"/>
      <c r="F47" s="69"/>
      <c r="G47" s="69"/>
      <c r="H47" s="69"/>
      <c r="I47" s="69"/>
      <c r="J47" s="69"/>
      <c r="K47" s="69"/>
      <c r="L47" s="69"/>
      <c r="M47" s="69"/>
      <c r="N47" s="69"/>
      <c r="O47" s="69"/>
      <c r="P47" s="65"/>
      <c r="Q47" s="70" t="s">
        <v>2818</v>
      </c>
      <c r="R47" s="65"/>
      <c r="S47" s="71">
        <v>40940</v>
      </c>
      <c r="T47" s="65"/>
      <c r="U47" s="56" t="s">
        <v>2819</v>
      </c>
    </row>
    <row r="48" spans="1:21" ht="25.5" customHeight="1" x14ac:dyDescent="0.15">
      <c r="A48" s="85">
        <v>2641</v>
      </c>
      <c r="B48" s="65"/>
      <c r="C48" s="67" t="s">
        <v>2820</v>
      </c>
      <c r="D48" s="65"/>
      <c r="E48" s="54">
        <v>118015</v>
      </c>
      <c r="F48" s="67" t="s">
        <v>2821</v>
      </c>
      <c r="G48" s="65"/>
      <c r="H48" s="64">
        <v>41008</v>
      </c>
      <c r="I48" s="65"/>
      <c r="J48" s="67" t="s">
        <v>2822</v>
      </c>
      <c r="K48" s="65"/>
      <c r="L48" s="54">
        <v>2420</v>
      </c>
      <c r="M48" s="66">
        <v>2608</v>
      </c>
      <c r="N48" s="65"/>
      <c r="O48" s="73" t="s">
        <v>2823</v>
      </c>
      <c r="P48" s="65"/>
      <c r="Q48" s="67" t="s">
        <v>2824</v>
      </c>
      <c r="R48" s="65"/>
      <c r="S48" s="64">
        <v>41008</v>
      </c>
      <c r="T48" s="65"/>
      <c r="U48" s="55" t="s">
        <v>2825</v>
      </c>
    </row>
    <row r="49" spans="1:21" ht="12.75" customHeight="1" x14ac:dyDescent="0.15">
      <c r="A49" s="68"/>
      <c r="B49" s="69"/>
      <c r="C49" s="69"/>
      <c r="D49" s="69"/>
      <c r="E49" s="69"/>
      <c r="F49" s="69"/>
      <c r="G49" s="69"/>
      <c r="H49" s="69"/>
      <c r="I49" s="69"/>
      <c r="J49" s="69"/>
      <c r="K49" s="69"/>
      <c r="L49" s="69"/>
      <c r="M49" s="69"/>
      <c r="N49" s="69"/>
      <c r="O49" s="69"/>
      <c r="P49" s="65"/>
      <c r="Q49" s="70" t="s">
        <v>2826</v>
      </c>
      <c r="R49" s="65"/>
      <c r="S49" s="71">
        <v>41801</v>
      </c>
      <c r="T49" s="65"/>
      <c r="U49" s="56" t="s">
        <v>2827</v>
      </c>
    </row>
    <row r="50" spans="1:21" ht="12.75" customHeight="1" x14ac:dyDescent="0.15">
      <c r="A50" s="68"/>
      <c r="B50" s="69"/>
      <c r="C50" s="69"/>
      <c r="D50" s="69"/>
      <c r="E50" s="69"/>
      <c r="F50" s="69"/>
      <c r="G50" s="69"/>
      <c r="H50" s="69"/>
      <c r="I50" s="69"/>
      <c r="J50" s="69"/>
      <c r="K50" s="69"/>
      <c r="L50" s="69"/>
      <c r="M50" s="69"/>
      <c r="N50" s="69"/>
      <c r="O50" s="69"/>
      <c r="P50" s="65"/>
      <c r="Q50" s="70" t="s">
        <v>2828</v>
      </c>
      <c r="R50" s="65"/>
      <c r="S50" s="71">
        <v>43243</v>
      </c>
      <c r="T50" s="65"/>
      <c r="U50" s="56" t="s">
        <v>2829</v>
      </c>
    </row>
    <row r="51" spans="1:21" ht="25.5" customHeight="1" x14ac:dyDescent="0.15">
      <c r="A51" s="85">
        <v>2502</v>
      </c>
      <c r="B51" s="65"/>
      <c r="C51" s="67" t="s">
        <v>2830</v>
      </c>
      <c r="D51" s="65"/>
      <c r="E51" s="54">
        <v>119021</v>
      </c>
      <c r="F51" s="67" t="s">
        <v>2831</v>
      </c>
      <c r="G51" s="65"/>
      <c r="H51" s="64">
        <v>39089</v>
      </c>
      <c r="I51" s="65"/>
      <c r="J51" s="67" t="s">
        <v>2832</v>
      </c>
      <c r="K51" s="65"/>
      <c r="L51" s="54">
        <v>1138</v>
      </c>
      <c r="M51" s="66">
        <v>2413</v>
      </c>
      <c r="N51" s="65"/>
      <c r="O51" s="70" t="s">
        <v>2833</v>
      </c>
      <c r="P51" s="65"/>
      <c r="Q51" s="67" t="s">
        <v>2834</v>
      </c>
      <c r="R51" s="65"/>
      <c r="S51" s="64">
        <v>39089</v>
      </c>
      <c r="T51" s="65"/>
      <c r="U51" s="55" t="s">
        <v>2835</v>
      </c>
    </row>
    <row r="52" spans="1:21" ht="12.75" customHeight="1" x14ac:dyDescent="0.15">
      <c r="A52" s="68"/>
      <c r="B52" s="69"/>
      <c r="C52" s="69"/>
      <c r="D52" s="69"/>
      <c r="E52" s="69"/>
      <c r="F52" s="69"/>
      <c r="G52" s="69"/>
      <c r="H52" s="69"/>
      <c r="I52" s="69"/>
      <c r="J52" s="69"/>
      <c r="K52" s="69"/>
      <c r="L52" s="69"/>
      <c r="M52" s="69"/>
      <c r="N52" s="69"/>
      <c r="O52" s="69"/>
      <c r="P52" s="65"/>
      <c r="Q52" s="70" t="s">
        <v>2836</v>
      </c>
      <c r="R52" s="65"/>
      <c r="S52" s="71">
        <v>39938</v>
      </c>
      <c r="T52" s="65"/>
      <c r="U52" s="56" t="s">
        <v>2837</v>
      </c>
    </row>
    <row r="53" spans="1:21" ht="12.75" customHeight="1" x14ac:dyDescent="0.15">
      <c r="A53" s="68"/>
      <c r="B53" s="69"/>
      <c r="C53" s="69"/>
      <c r="D53" s="69"/>
      <c r="E53" s="69"/>
      <c r="F53" s="69"/>
      <c r="G53" s="69"/>
      <c r="H53" s="69"/>
      <c r="I53" s="69"/>
      <c r="J53" s="69"/>
      <c r="K53" s="69"/>
      <c r="L53" s="69"/>
      <c r="M53" s="69"/>
      <c r="N53" s="69"/>
      <c r="O53" s="69"/>
      <c r="P53" s="65"/>
      <c r="Q53" s="70" t="s">
        <v>2838</v>
      </c>
      <c r="R53" s="65"/>
      <c r="S53" s="71">
        <v>43718</v>
      </c>
      <c r="T53" s="65"/>
      <c r="U53" s="56" t="s">
        <v>2839</v>
      </c>
    </row>
    <row r="54" spans="1:21" ht="24.75" customHeight="1" x14ac:dyDescent="0.15">
      <c r="A54" s="85">
        <v>2671</v>
      </c>
      <c r="B54" s="65"/>
      <c r="C54" s="67" t="s">
        <v>2840</v>
      </c>
      <c r="D54" s="65"/>
      <c r="E54" s="54">
        <v>117022</v>
      </c>
      <c r="F54" s="67" t="s">
        <v>2841</v>
      </c>
      <c r="G54" s="65"/>
      <c r="H54" s="64">
        <v>42641</v>
      </c>
      <c r="I54" s="65"/>
      <c r="J54" s="67" t="s">
        <v>2842</v>
      </c>
      <c r="K54" s="65"/>
      <c r="L54" s="54">
        <v>2449</v>
      </c>
      <c r="M54" s="66">
        <v>2632</v>
      </c>
      <c r="N54" s="65"/>
      <c r="O54" s="70" t="s">
        <v>2843</v>
      </c>
      <c r="P54" s="65"/>
      <c r="Q54" s="67" t="s">
        <v>2844</v>
      </c>
      <c r="R54" s="65"/>
      <c r="S54" s="64">
        <v>42641</v>
      </c>
      <c r="T54" s="65"/>
      <c r="U54" s="55" t="s">
        <v>2845</v>
      </c>
    </row>
    <row r="55" spans="1:21" ht="12.75" customHeight="1" x14ac:dyDescent="0.15">
      <c r="A55" s="68"/>
      <c r="B55" s="69"/>
      <c r="C55" s="69"/>
      <c r="D55" s="69"/>
      <c r="E55" s="69"/>
      <c r="F55" s="69"/>
      <c r="G55" s="69"/>
      <c r="H55" s="69"/>
      <c r="I55" s="69"/>
      <c r="J55" s="69"/>
      <c r="K55" s="69"/>
      <c r="L55" s="69"/>
      <c r="M55" s="69"/>
      <c r="N55" s="69"/>
      <c r="O55" s="69"/>
      <c r="P55" s="65"/>
      <c r="Q55" s="70" t="s">
        <v>2846</v>
      </c>
      <c r="R55" s="65"/>
      <c r="S55" s="71">
        <v>43033</v>
      </c>
      <c r="T55" s="65"/>
      <c r="U55" s="56" t="s">
        <v>2847</v>
      </c>
    </row>
    <row r="56" spans="1:21" ht="25.5" customHeight="1" x14ac:dyDescent="0.15">
      <c r="A56" s="85">
        <v>2666</v>
      </c>
      <c r="B56" s="65"/>
      <c r="C56" s="67" t="s">
        <v>2848</v>
      </c>
      <c r="D56" s="65"/>
      <c r="E56" s="54">
        <v>117017</v>
      </c>
      <c r="F56" s="67" t="s">
        <v>2849</v>
      </c>
      <c r="G56" s="65"/>
      <c r="H56" s="64">
        <v>42454</v>
      </c>
      <c r="I56" s="65"/>
      <c r="J56" s="67" t="s">
        <v>2850</v>
      </c>
      <c r="K56" s="65"/>
      <c r="L56" s="54">
        <v>2639</v>
      </c>
      <c r="M56" s="66">
        <v>2642</v>
      </c>
      <c r="N56" s="65"/>
      <c r="O56" s="70" t="s">
        <v>2851</v>
      </c>
      <c r="P56" s="65"/>
      <c r="Q56" s="67" t="s">
        <v>2852</v>
      </c>
      <c r="R56" s="65"/>
      <c r="S56" s="64">
        <v>42454</v>
      </c>
      <c r="T56" s="65"/>
      <c r="U56" s="55" t="s">
        <v>2853</v>
      </c>
    </row>
    <row r="57" spans="1:21" ht="12.75" customHeight="1" x14ac:dyDescent="0.15">
      <c r="A57" s="68"/>
      <c r="B57" s="69"/>
      <c r="C57" s="69"/>
      <c r="D57" s="69"/>
      <c r="E57" s="69"/>
      <c r="F57" s="69"/>
      <c r="G57" s="69"/>
      <c r="H57" s="69"/>
      <c r="I57" s="69"/>
      <c r="J57" s="69"/>
      <c r="K57" s="69"/>
      <c r="L57" s="69"/>
      <c r="M57" s="69"/>
      <c r="N57" s="69"/>
      <c r="O57" s="69"/>
      <c r="P57" s="65"/>
      <c r="Q57" s="70" t="s">
        <v>2854</v>
      </c>
      <c r="R57" s="65"/>
      <c r="S57" s="71">
        <v>42977</v>
      </c>
      <c r="T57" s="65"/>
      <c r="U57" s="56" t="s">
        <v>2855</v>
      </c>
    </row>
    <row r="58" spans="1:21" ht="25.5" customHeight="1" x14ac:dyDescent="0.15">
      <c r="A58" s="85">
        <v>2634</v>
      </c>
      <c r="B58" s="65"/>
      <c r="C58" s="67" t="s">
        <v>2856</v>
      </c>
      <c r="D58" s="65"/>
      <c r="E58" s="54">
        <v>7403</v>
      </c>
      <c r="F58" s="67" t="s">
        <v>2857</v>
      </c>
      <c r="G58" s="65"/>
      <c r="H58" s="64">
        <v>40402</v>
      </c>
      <c r="I58" s="65"/>
      <c r="J58" s="67" t="s">
        <v>2858</v>
      </c>
      <c r="K58" s="65"/>
      <c r="L58" s="54">
        <v>1131</v>
      </c>
      <c r="M58" s="66">
        <v>2414</v>
      </c>
      <c r="N58" s="65"/>
      <c r="O58" s="70" t="s">
        <v>2859</v>
      </c>
      <c r="P58" s="65"/>
      <c r="Q58" s="67" t="s">
        <v>2860</v>
      </c>
      <c r="R58" s="65"/>
      <c r="S58" s="64">
        <v>40402</v>
      </c>
      <c r="T58" s="65"/>
      <c r="U58" s="55" t="s">
        <v>2861</v>
      </c>
    </row>
    <row r="59" spans="1:21" ht="12.75" customHeight="1" x14ac:dyDescent="0.15">
      <c r="A59" s="68"/>
      <c r="B59" s="69"/>
      <c r="C59" s="69"/>
      <c r="D59" s="69"/>
      <c r="E59" s="69"/>
      <c r="F59" s="69"/>
      <c r="G59" s="69"/>
      <c r="H59" s="69"/>
      <c r="I59" s="69"/>
      <c r="J59" s="69"/>
      <c r="K59" s="69"/>
      <c r="L59" s="69"/>
      <c r="M59" s="69"/>
      <c r="N59" s="69"/>
      <c r="O59" s="69"/>
      <c r="P59" s="65"/>
      <c r="Q59" s="70" t="s">
        <v>2862</v>
      </c>
      <c r="R59" s="65"/>
      <c r="S59" s="71">
        <v>41753</v>
      </c>
      <c r="T59" s="65"/>
      <c r="U59" s="56" t="s">
        <v>2863</v>
      </c>
    </row>
    <row r="60" spans="1:21" ht="24.75" customHeight="1" x14ac:dyDescent="0.15">
      <c r="A60" s="85">
        <v>2654</v>
      </c>
      <c r="B60" s="65"/>
      <c r="C60" s="67" t="s">
        <v>2864</v>
      </c>
      <c r="D60" s="65"/>
      <c r="E60" s="54">
        <v>7508</v>
      </c>
      <c r="F60" s="67" t="s">
        <v>2865</v>
      </c>
      <c r="G60" s="65"/>
      <c r="H60" s="64">
        <v>41873</v>
      </c>
      <c r="I60" s="65"/>
      <c r="J60" s="67" t="s">
        <v>2866</v>
      </c>
      <c r="K60" s="65"/>
      <c r="L60" s="54">
        <v>2449</v>
      </c>
      <c r="M60" s="66">
        <v>2632</v>
      </c>
      <c r="N60" s="65"/>
      <c r="O60" s="70" t="s">
        <v>2867</v>
      </c>
      <c r="P60" s="65"/>
      <c r="Q60" s="67" t="s">
        <v>2868</v>
      </c>
      <c r="R60" s="65"/>
      <c r="S60" s="64">
        <v>41873</v>
      </c>
      <c r="T60" s="65"/>
      <c r="U60" s="55" t="s">
        <v>2869</v>
      </c>
    </row>
    <row r="61" spans="1:21" ht="12.75" customHeight="1" x14ac:dyDescent="0.15">
      <c r="A61" s="68"/>
      <c r="B61" s="69"/>
      <c r="C61" s="69"/>
      <c r="D61" s="69"/>
      <c r="E61" s="69"/>
      <c r="F61" s="69"/>
      <c r="G61" s="69"/>
      <c r="H61" s="69"/>
      <c r="I61" s="69"/>
      <c r="J61" s="69"/>
      <c r="K61" s="69"/>
      <c r="L61" s="69"/>
      <c r="M61" s="69"/>
      <c r="N61" s="69"/>
      <c r="O61" s="69"/>
      <c r="P61" s="65"/>
      <c r="Q61" s="70" t="s">
        <v>2870</v>
      </c>
      <c r="R61" s="65"/>
      <c r="S61" s="71">
        <v>42270</v>
      </c>
      <c r="T61" s="65"/>
      <c r="U61" s="56" t="s">
        <v>2871</v>
      </c>
    </row>
    <row r="62" spans="1:21" ht="25.5" customHeight="1" x14ac:dyDescent="0.15">
      <c r="A62" s="85">
        <v>2673</v>
      </c>
      <c r="B62" s="65"/>
      <c r="C62" s="67" t="s">
        <v>2872</v>
      </c>
      <c r="D62" s="65"/>
      <c r="E62" s="55" t="s">
        <v>2873</v>
      </c>
      <c r="F62" s="67" t="s">
        <v>2874</v>
      </c>
      <c r="G62" s="65"/>
      <c r="H62" s="64">
        <v>42720</v>
      </c>
      <c r="I62" s="65"/>
      <c r="J62" s="67" t="s">
        <v>2875</v>
      </c>
      <c r="K62" s="65"/>
      <c r="L62" s="54">
        <v>2649</v>
      </c>
      <c r="M62" s="66">
        <v>2638</v>
      </c>
      <c r="N62" s="65"/>
      <c r="O62" s="70" t="s">
        <v>2876</v>
      </c>
      <c r="P62" s="65"/>
      <c r="Q62" s="67" t="s">
        <v>2877</v>
      </c>
      <c r="R62" s="65"/>
      <c r="S62" s="64">
        <v>42720</v>
      </c>
      <c r="T62" s="65"/>
      <c r="U62" s="55" t="s">
        <v>2878</v>
      </c>
    </row>
    <row r="63" spans="1:21" ht="12.75" customHeight="1" x14ac:dyDescent="0.15">
      <c r="A63" s="68"/>
      <c r="B63" s="69"/>
      <c r="C63" s="69"/>
      <c r="D63" s="69"/>
      <c r="E63" s="69"/>
      <c r="F63" s="69"/>
      <c r="G63" s="69"/>
      <c r="H63" s="69"/>
      <c r="I63" s="69"/>
      <c r="J63" s="69"/>
      <c r="K63" s="69"/>
      <c r="L63" s="69"/>
      <c r="M63" s="69"/>
      <c r="N63" s="69"/>
      <c r="O63" s="69"/>
      <c r="P63" s="65"/>
      <c r="Q63" s="70" t="s">
        <v>2879</v>
      </c>
      <c r="R63" s="65"/>
      <c r="S63" s="71">
        <v>43130</v>
      </c>
      <c r="T63" s="65"/>
      <c r="U63" s="56" t="s">
        <v>2880</v>
      </c>
    </row>
    <row r="64" spans="1:21" ht="12.75" customHeight="1" x14ac:dyDescent="0.15">
      <c r="A64" s="68"/>
      <c r="B64" s="69"/>
      <c r="C64" s="69"/>
      <c r="D64" s="69"/>
      <c r="E64" s="69"/>
      <c r="F64" s="69"/>
      <c r="G64" s="69"/>
      <c r="H64" s="69"/>
      <c r="I64" s="69"/>
      <c r="J64" s="69"/>
      <c r="K64" s="69"/>
      <c r="L64" s="69"/>
      <c r="M64" s="69"/>
      <c r="N64" s="69"/>
      <c r="O64" s="69"/>
      <c r="P64" s="65"/>
      <c r="Q64" s="70" t="s">
        <v>2881</v>
      </c>
      <c r="R64" s="65"/>
      <c r="S64" s="71">
        <v>43773</v>
      </c>
      <c r="T64" s="65"/>
      <c r="U64" s="56" t="s">
        <v>2882</v>
      </c>
    </row>
    <row r="65" spans="1:21" ht="25.5" customHeight="1" x14ac:dyDescent="0.15">
      <c r="A65" s="85">
        <v>2683</v>
      </c>
      <c r="B65" s="65"/>
      <c r="C65" s="67" t="s">
        <v>2883</v>
      </c>
      <c r="D65" s="65"/>
      <c r="E65" s="55" t="s">
        <v>2884</v>
      </c>
      <c r="F65" s="67" t="s">
        <v>2885</v>
      </c>
      <c r="G65" s="65"/>
      <c r="H65" s="64">
        <v>42955</v>
      </c>
      <c r="I65" s="65"/>
      <c r="J65" s="67" t="s">
        <v>2886</v>
      </c>
      <c r="K65" s="65"/>
      <c r="L65" s="54">
        <v>2634</v>
      </c>
      <c r="M65" s="66">
        <v>2654</v>
      </c>
      <c r="N65" s="65"/>
      <c r="O65" s="70" t="s">
        <v>2887</v>
      </c>
      <c r="P65" s="65"/>
      <c r="Q65" s="67" t="s">
        <v>2888</v>
      </c>
      <c r="R65" s="65"/>
      <c r="S65" s="64">
        <v>42955</v>
      </c>
      <c r="T65" s="65"/>
      <c r="U65" s="55" t="s">
        <v>2889</v>
      </c>
    </row>
    <row r="66" spans="1:21" ht="13.5" customHeight="1" x14ac:dyDescent="0.15">
      <c r="A66" s="68"/>
      <c r="B66" s="69"/>
      <c r="C66" s="69"/>
      <c r="D66" s="69"/>
      <c r="E66" s="69"/>
      <c r="F66" s="69"/>
      <c r="G66" s="69"/>
      <c r="H66" s="69"/>
      <c r="I66" s="69"/>
      <c r="J66" s="69"/>
      <c r="K66" s="69"/>
      <c r="L66" s="69"/>
      <c r="M66" s="69"/>
      <c r="N66" s="69"/>
      <c r="O66" s="69"/>
      <c r="P66" s="65"/>
      <c r="Q66" s="70" t="s">
        <v>2890</v>
      </c>
      <c r="R66" s="65"/>
      <c r="S66" s="71">
        <v>43599</v>
      </c>
      <c r="T66" s="65"/>
      <c r="U66" s="56" t="s">
        <v>2891</v>
      </c>
    </row>
    <row r="67" spans="1:21" ht="25.5" customHeight="1" x14ac:dyDescent="0.15">
      <c r="A67" s="85">
        <v>2630</v>
      </c>
      <c r="B67" s="65"/>
      <c r="C67" s="67" t="s">
        <v>2892</v>
      </c>
      <c r="D67" s="65"/>
      <c r="E67" s="54">
        <v>5889</v>
      </c>
      <c r="F67" s="67" t="s">
        <v>2893</v>
      </c>
      <c r="G67" s="65"/>
      <c r="H67" s="64">
        <v>40259</v>
      </c>
      <c r="I67" s="65"/>
      <c r="J67" s="67" t="s">
        <v>2894</v>
      </c>
      <c r="K67" s="65"/>
      <c r="L67" s="54">
        <v>1121</v>
      </c>
      <c r="M67" s="66">
        <v>1145</v>
      </c>
      <c r="N67" s="65"/>
      <c r="O67" s="73" t="s">
        <v>2895</v>
      </c>
      <c r="P67" s="65"/>
      <c r="Q67" s="67" t="s">
        <v>2896</v>
      </c>
      <c r="R67" s="65"/>
      <c r="S67" s="64">
        <v>40259</v>
      </c>
      <c r="T67" s="65"/>
      <c r="U67" s="55" t="s">
        <v>2897</v>
      </c>
    </row>
    <row r="68" spans="1:21" ht="25.5" customHeight="1" x14ac:dyDescent="0.15">
      <c r="A68" s="85">
        <v>2649</v>
      </c>
      <c r="B68" s="65"/>
      <c r="C68" s="67" t="s">
        <v>2898</v>
      </c>
      <c r="D68" s="65"/>
      <c r="E68" s="54">
        <v>7832</v>
      </c>
      <c r="F68" s="67" t="s">
        <v>2899</v>
      </c>
      <c r="G68" s="65"/>
      <c r="H68" s="64">
        <v>41080</v>
      </c>
      <c r="I68" s="65"/>
      <c r="J68" s="67" t="s">
        <v>2900</v>
      </c>
      <c r="K68" s="65"/>
      <c r="L68" s="54">
        <v>2498</v>
      </c>
      <c r="M68" s="66">
        <v>2502</v>
      </c>
      <c r="N68" s="65"/>
      <c r="O68" s="73" t="s">
        <v>2901</v>
      </c>
      <c r="P68" s="65"/>
      <c r="Q68" s="67" t="s">
        <v>2902</v>
      </c>
      <c r="R68" s="65"/>
      <c r="S68" s="64">
        <v>41080</v>
      </c>
      <c r="T68" s="65"/>
      <c r="U68" s="55" t="s">
        <v>2903</v>
      </c>
    </row>
    <row r="69" spans="1:21" ht="12.75" customHeight="1" x14ac:dyDescent="0.15">
      <c r="A69" s="68"/>
      <c r="B69" s="69"/>
      <c r="C69" s="69"/>
      <c r="D69" s="69"/>
      <c r="E69" s="69"/>
      <c r="F69" s="69"/>
      <c r="G69" s="69"/>
      <c r="H69" s="69"/>
      <c r="I69" s="69"/>
      <c r="J69" s="69"/>
      <c r="K69" s="69"/>
      <c r="L69" s="69"/>
      <c r="M69" s="69"/>
      <c r="N69" s="69"/>
      <c r="O69" s="69"/>
      <c r="P69" s="65"/>
      <c r="Q69" s="70" t="s">
        <v>2904</v>
      </c>
      <c r="R69" s="65"/>
      <c r="S69" s="71">
        <v>42257</v>
      </c>
      <c r="T69" s="65"/>
      <c r="U69" s="56" t="s">
        <v>2905</v>
      </c>
    </row>
    <row r="70" spans="1:21" ht="25.5" customHeight="1" x14ac:dyDescent="0.15">
      <c r="A70" s="85">
        <v>2638</v>
      </c>
      <c r="B70" s="65"/>
      <c r="C70" s="67" t="s">
        <v>2906</v>
      </c>
      <c r="D70" s="65"/>
      <c r="E70" s="54">
        <v>6379</v>
      </c>
      <c r="F70" s="67" t="s">
        <v>2907</v>
      </c>
      <c r="G70" s="65"/>
      <c r="H70" s="64">
        <v>40708</v>
      </c>
      <c r="I70" s="65"/>
      <c r="J70" s="67" t="s">
        <v>2908</v>
      </c>
      <c r="K70" s="65"/>
      <c r="L70" s="54">
        <v>1121</v>
      </c>
      <c r="M70" s="66">
        <v>1145</v>
      </c>
      <c r="N70" s="65"/>
      <c r="O70" s="70" t="s">
        <v>2909</v>
      </c>
      <c r="P70" s="65"/>
      <c r="Q70" s="67" t="s">
        <v>2910</v>
      </c>
      <c r="R70" s="65"/>
      <c r="S70" s="64">
        <v>40708</v>
      </c>
      <c r="T70" s="65"/>
      <c r="U70" s="55" t="s">
        <v>2911</v>
      </c>
    </row>
    <row r="71" spans="1:21" ht="25.5" customHeight="1" x14ac:dyDescent="0.15">
      <c r="A71" s="85">
        <v>2640</v>
      </c>
      <c r="B71" s="65"/>
      <c r="C71" s="67" t="s">
        <v>2912</v>
      </c>
      <c r="D71" s="65"/>
      <c r="E71" s="55" t="s">
        <v>2913</v>
      </c>
      <c r="F71" s="67" t="s">
        <v>2914</v>
      </c>
      <c r="G71" s="65"/>
      <c r="H71" s="64">
        <v>41008</v>
      </c>
      <c r="I71" s="65"/>
      <c r="J71" s="67" t="s">
        <v>2915</v>
      </c>
      <c r="K71" s="65"/>
      <c r="L71" s="54">
        <v>2420</v>
      </c>
      <c r="M71" s="66">
        <v>2608</v>
      </c>
      <c r="N71" s="65"/>
      <c r="O71" s="70" t="s">
        <v>2916</v>
      </c>
      <c r="P71" s="65"/>
      <c r="Q71" s="67" t="s">
        <v>2917</v>
      </c>
      <c r="R71" s="65"/>
      <c r="S71" s="64">
        <v>41008</v>
      </c>
      <c r="T71" s="65"/>
      <c r="U71" s="55" t="s">
        <v>2918</v>
      </c>
    </row>
    <row r="72" spans="1:21" ht="12.75" customHeight="1" x14ac:dyDescent="0.15">
      <c r="A72" s="68"/>
      <c r="B72" s="69"/>
      <c r="C72" s="69"/>
      <c r="D72" s="69"/>
      <c r="E72" s="69"/>
      <c r="F72" s="69"/>
      <c r="G72" s="69"/>
      <c r="H72" s="69"/>
      <c r="I72" s="69"/>
      <c r="J72" s="69"/>
      <c r="K72" s="69"/>
      <c r="L72" s="69"/>
      <c r="M72" s="69"/>
      <c r="N72" s="69"/>
      <c r="O72" s="69"/>
      <c r="P72" s="65"/>
      <c r="Q72" s="70" t="s">
        <v>2919</v>
      </c>
      <c r="R72" s="65"/>
      <c r="S72" s="71">
        <v>41773</v>
      </c>
      <c r="T72" s="65"/>
      <c r="U72" s="56" t="s">
        <v>2920</v>
      </c>
    </row>
    <row r="73" spans="1:21" ht="42" customHeight="1" x14ac:dyDescent="0.15">
      <c r="A73" s="88">
        <v>2713</v>
      </c>
      <c r="B73" s="65"/>
      <c r="C73" s="77" t="s">
        <v>2921</v>
      </c>
      <c r="D73" s="65"/>
      <c r="E73" s="58" t="s">
        <v>2922</v>
      </c>
      <c r="F73" s="77" t="s">
        <v>2923</v>
      </c>
      <c r="G73" s="65"/>
      <c r="H73" s="70" t="s">
        <v>2924</v>
      </c>
      <c r="I73" s="65"/>
      <c r="J73" s="77" t="s">
        <v>2925</v>
      </c>
      <c r="K73" s="65"/>
      <c r="L73" s="59">
        <v>2623</v>
      </c>
      <c r="M73" s="81">
        <v>2640</v>
      </c>
      <c r="N73" s="65"/>
      <c r="O73" s="67" t="s">
        <v>2926</v>
      </c>
      <c r="P73" s="65"/>
      <c r="Q73" s="77" t="s">
        <v>2927</v>
      </c>
      <c r="R73" s="65"/>
      <c r="S73" s="73" t="s">
        <v>2928</v>
      </c>
      <c r="T73" s="65"/>
      <c r="U73" s="58" t="s">
        <v>2929</v>
      </c>
    </row>
    <row r="74" spans="1:21" ht="24.75" customHeight="1" x14ac:dyDescent="0.15">
      <c r="A74" s="85">
        <v>2623</v>
      </c>
      <c r="B74" s="65"/>
      <c r="C74" s="67" t="s">
        <v>2930</v>
      </c>
      <c r="D74" s="65"/>
      <c r="E74" s="55" t="s">
        <v>2931</v>
      </c>
      <c r="F74" s="67" t="s">
        <v>2932</v>
      </c>
      <c r="G74" s="65"/>
      <c r="H74" s="64">
        <v>40438</v>
      </c>
      <c r="I74" s="65"/>
      <c r="J74" s="67" t="s">
        <v>2933</v>
      </c>
      <c r="K74" s="65"/>
      <c r="L74" s="54">
        <v>2498</v>
      </c>
      <c r="M74" s="66">
        <v>2502</v>
      </c>
      <c r="N74" s="65"/>
      <c r="O74" s="70" t="s">
        <v>2934</v>
      </c>
      <c r="P74" s="65"/>
      <c r="Q74" s="67" t="s">
        <v>2935</v>
      </c>
      <c r="R74" s="65"/>
      <c r="S74" s="64">
        <v>40438</v>
      </c>
      <c r="T74" s="65"/>
      <c r="U74" s="55" t="s">
        <v>2936</v>
      </c>
    </row>
    <row r="75" spans="1:21" ht="12.75" customHeight="1" x14ac:dyDescent="0.15">
      <c r="A75" s="68"/>
      <c r="B75" s="69"/>
      <c r="C75" s="69"/>
      <c r="D75" s="69"/>
      <c r="E75" s="69"/>
      <c r="F75" s="69"/>
      <c r="G75" s="69"/>
      <c r="H75" s="69"/>
      <c r="I75" s="69"/>
      <c r="J75" s="69"/>
      <c r="K75" s="69"/>
      <c r="L75" s="69"/>
      <c r="M75" s="69"/>
      <c r="N75" s="69"/>
      <c r="O75" s="69"/>
      <c r="P75" s="65"/>
      <c r="Q75" s="70" t="s">
        <v>2937</v>
      </c>
      <c r="R75" s="65"/>
      <c r="S75" s="71">
        <v>40878</v>
      </c>
      <c r="T75" s="65"/>
      <c r="U75" s="56" t="s">
        <v>2938</v>
      </c>
    </row>
    <row r="76" spans="1:21" ht="13.5" customHeight="1" x14ac:dyDescent="0.15">
      <c r="A76" s="68"/>
      <c r="B76" s="69"/>
      <c r="C76" s="69"/>
      <c r="D76" s="69"/>
      <c r="E76" s="69"/>
      <c r="F76" s="69"/>
      <c r="G76" s="69"/>
      <c r="H76" s="69"/>
      <c r="I76" s="69"/>
      <c r="J76" s="69"/>
      <c r="K76" s="69"/>
      <c r="L76" s="69"/>
      <c r="M76" s="69"/>
      <c r="N76" s="69"/>
      <c r="O76" s="69"/>
      <c r="P76" s="65"/>
      <c r="Q76" s="70" t="s">
        <v>2939</v>
      </c>
      <c r="R76" s="65"/>
      <c r="S76" s="71">
        <v>41773</v>
      </c>
      <c r="T76" s="65"/>
      <c r="U76" s="56" t="s">
        <v>2940</v>
      </c>
    </row>
    <row r="77" spans="1:21" ht="25.5" customHeight="1" x14ac:dyDescent="0.15">
      <c r="A77" s="85">
        <v>2652</v>
      </c>
      <c r="B77" s="65"/>
      <c r="C77" s="67" t="s">
        <v>2941</v>
      </c>
      <c r="D77" s="65"/>
      <c r="E77" s="54">
        <v>24485</v>
      </c>
      <c r="F77" s="67" t="s">
        <v>2942</v>
      </c>
      <c r="G77" s="65"/>
      <c r="H77" s="64">
        <v>41507</v>
      </c>
      <c r="I77" s="65"/>
      <c r="J77" s="67" t="s">
        <v>2943</v>
      </c>
      <c r="K77" s="65"/>
      <c r="L77" s="54">
        <v>2408</v>
      </c>
      <c r="M77" s="66">
        <v>2418</v>
      </c>
      <c r="N77" s="65"/>
      <c r="O77" s="73" t="s">
        <v>2944</v>
      </c>
      <c r="P77" s="65"/>
      <c r="Q77" s="67" t="s">
        <v>2945</v>
      </c>
      <c r="R77" s="65"/>
      <c r="S77" s="64">
        <v>41507</v>
      </c>
      <c r="T77" s="65"/>
      <c r="U77" s="55" t="s">
        <v>2946</v>
      </c>
    </row>
    <row r="78" spans="1:21" ht="12.75" customHeight="1" x14ac:dyDescent="0.15">
      <c r="A78" s="68"/>
      <c r="B78" s="69"/>
      <c r="C78" s="69"/>
      <c r="D78" s="69"/>
      <c r="E78" s="69"/>
      <c r="F78" s="69"/>
      <c r="G78" s="69"/>
      <c r="H78" s="69"/>
      <c r="I78" s="69"/>
      <c r="J78" s="69"/>
      <c r="K78" s="69"/>
      <c r="L78" s="69"/>
      <c r="M78" s="69"/>
      <c r="N78" s="69"/>
      <c r="O78" s="69"/>
      <c r="P78" s="65"/>
      <c r="Q78" s="70" t="s">
        <v>2947</v>
      </c>
      <c r="R78" s="65"/>
      <c r="S78" s="71">
        <v>42894</v>
      </c>
      <c r="T78" s="65"/>
      <c r="U78" s="56" t="s">
        <v>2948</v>
      </c>
    </row>
    <row r="79" spans="1:21" ht="24.75" customHeight="1" x14ac:dyDescent="0.15">
      <c r="A79" s="85">
        <v>2677</v>
      </c>
      <c r="B79" s="65"/>
      <c r="C79" s="67" t="s">
        <v>2949</v>
      </c>
      <c r="D79" s="65"/>
      <c r="E79" s="54">
        <v>24709</v>
      </c>
      <c r="F79" s="67" t="s">
        <v>2950</v>
      </c>
      <c r="G79" s="65"/>
      <c r="H79" s="64">
        <v>42753</v>
      </c>
      <c r="I79" s="65"/>
      <c r="J79" s="67" t="s">
        <v>2951</v>
      </c>
      <c r="K79" s="65"/>
      <c r="L79" s="54">
        <v>2496</v>
      </c>
      <c r="M79" s="66">
        <v>2502</v>
      </c>
      <c r="N79" s="65"/>
      <c r="O79" s="70" t="s">
        <v>2952</v>
      </c>
      <c r="P79" s="65"/>
      <c r="Q79" s="67" t="s">
        <v>2953</v>
      </c>
      <c r="R79" s="65"/>
      <c r="S79" s="64">
        <v>42753</v>
      </c>
      <c r="T79" s="65"/>
      <c r="U79" s="55" t="s">
        <v>2954</v>
      </c>
    </row>
    <row r="80" spans="1:21" ht="13.5" customHeight="1" x14ac:dyDescent="0.15">
      <c r="A80" s="68"/>
      <c r="B80" s="69"/>
      <c r="C80" s="69"/>
      <c r="D80" s="69"/>
      <c r="E80" s="69"/>
      <c r="F80" s="69"/>
      <c r="G80" s="69"/>
      <c r="H80" s="69"/>
      <c r="I80" s="69"/>
      <c r="J80" s="69"/>
      <c r="K80" s="69"/>
      <c r="L80" s="69"/>
      <c r="M80" s="69"/>
      <c r="N80" s="69"/>
      <c r="O80" s="69"/>
      <c r="P80" s="65"/>
      <c r="Q80" s="70" t="s">
        <v>2955</v>
      </c>
      <c r="R80" s="65"/>
      <c r="S80" s="71">
        <v>42992</v>
      </c>
      <c r="T80" s="65"/>
      <c r="U80" s="56" t="s">
        <v>2956</v>
      </c>
    </row>
    <row r="81" spans="1:22" ht="25.5" customHeight="1" x14ac:dyDescent="0.15">
      <c r="A81" s="85">
        <v>2676</v>
      </c>
      <c r="B81" s="65"/>
      <c r="C81" s="67" t="s">
        <v>2957</v>
      </c>
      <c r="D81" s="65"/>
      <c r="E81" s="54">
        <v>105322</v>
      </c>
      <c r="F81" s="67" t="s">
        <v>2958</v>
      </c>
      <c r="G81" s="65"/>
      <c r="H81" s="64">
        <v>42677</v>
      </c>
      <c r="I81" s="65"/>
      <c r="J81" s="67" t="s">
        <v>2959</v>
      </c>
      <c r="K81" s="65"/>
      <c r="L81" s="54">
        <v>2631</v>
      </c>
      <c r="M81" s="66">
        <v>2626</v>
      </c>
      <c r="N81" s="65"/>
      <c r="O81" s="73" t="s">
        <v>2960</v>
      </c>
      <c r="P81" s="65"/>
      <c r="Q81" s="67" t="s">
        <v>2961</v>
      </c>
      <c r="R81" s="65"/>
      <c r="S81" s="64">
        <v>42677</v>
      </c>
      <c r="T81" s="65"/>
      <c r="U81" s="55" t="s">
        <v>2962</v>
      </c>
    </row>
    <row r="82" spans="1:22" ht="12.75" customHeight="1" x14ac:dyDescent="0.15">
      <c r="A82" s="68"/>
      <c r="B82" s="69"/>
      <c r="C82" s="69"/>
      <c r="D82" s="69"/>
      <c r="E82" s="69"/>
      <c r="F82" s="69"/>
      <c r="G82" s="69"/>
      <c r="H82" s="69"/>
      <c r="I82" s="69"/>
      <c r="J82" s="69"/>
      <c r="K82" s="69"/>
      <c r="L82" s="69"/>
      <c r="M82" s="69"/>
      <c r="N82" s="69"/>
      <c r="O82" s="69"/>
      <c r="P82" s="65"/>
      <c r="Q82" s="70" t="s">
        <v>2963</v>
      </c>
      <c r="R82" s="65"/>
      <c r="S82" s="71">
        <v>43034</v>
      </c>
      <c r="T82" s="65"/>
      <c r="U82" s="56" t="s">
        <v>2964</v>
      </c>
    </row>
    <row r="83" spans="1:22" ht="25.5" customHeight="1" x14ac:dyDescent="0.15">
      <c r="A83" s="85">
        <v>2617</v>
      </c>
      <c r="B83" s="65"/>
      <c r="C83" s="67" t="s">
        <v>2965</v>
      </c>
      <c r="D83" s="65"/>
      <c r="E83" s="54">
        <v>104733</v>
      </c>
      <c r="F83" s="67" t="s">
        <v>2966</v>
      </c>
      <c r="G83" s="65"/>
      <c r="H83" s="64">
        <v>40214</v>
      </c>
      <c r="I83" s="65"/>
      <c r="J83" s="67" t="s">
        <v>2967</v>
      </c>
      <c r="K83" s="65"/>
      <c r="L83" s="54">
        <v>1130</v>
      </c>
      <c r="M83" s="66">
        <v>2436</v>
      </c>
      <c r="N83" s="65"/>
      <c r="O83" s="70" t="s">
        <v>2968</v>
      </c>
      <c r="P83" s="65"/>
      <c r="Q83" s="67" t="s">
        <v>2969</v>
      </c>
      <c r="R83" s="65"/>
      <c r="S83" s="64">
        <v>40214</v>
      </c>
      <c r="T83" s="65"/>
      <c r="U83" s="55" t="s">
        <v>2970</v>
      </c>
    </row>
    <row r="84" spans="1:22" ht="25.5" customHeight="1" x14ac:dyDescent="0.15">
      <c r="A84" s="85">
        <v>2504</v>
      </c>
      <c r="B84" s="65"/>
      <c r="C84" s="67" t="s">
        <v>2971</v>
      </c>
      <c r="D84" s="65"/>
      <c r="E84" s="55" t="s">
        <v>2972</v>
      </c>
      <c r="F84" s="67" t="s">
        <v>2973</v>
      </c>
      <c r="G84" s="65"/>
      <c r="H84" s="64">
        <v>39100</v>
      </c>
      <c r="I84" s="65"/>
      <c r="J84" s="67" t="s">
        <v>2974</v>
      </c>
      <c r="K84" s="65"/>
      <c r="L84" s="54">
        <v>1131</v>
      </c>
      <c r="M84" s="66">
        <v>2403</v>
      </c>
      <c r="N84" s="65"/>
      <c r="O84" s="70" t="s">
        <v>2975</v>
      </c>
      <c r="P84" s="65"/>
      <c r="Q84" s="67" t="s">
        <v>2976</v>
      </c>
      <c r="R84" s="65"/>
      <c r="S84" s="64">
        <v>39100</v>
      </c>
      <c r="T84" s="65"/>
      <c r="U84" s="55" t="s">
        <v>2977</v>
      </c>
    </row>
    <row r="85" spans="1:22" ht="12.75" customHeight="1" x14ac:dyDescent="0.15">
      <c r="A85" s="68"/>
      <c r="B85" s="69"/>
      <c r="C85" s="69"/>
      <c r="D85" s="69"/>
      <c r="E85" s="69"/>
      <c r="F85" s="69"/>
      <c r="G85" s="69"/>
      <c r="H85" s="69"/>
      <c r="I85" s="69"/>
      <c r="J85" s="69"/>
      <c r="K85" s="69"/>
      <c r="L85" s="69"/>
      <c r="M85" s="69"/>
      <c r="N85" s="69"/>
      <c r="O85" s="69"/>
      <c r="P85" s="65"/>
      <c r="Q85" s="70" t="s">
        <v>2978</v>
      </c>
      <c r="R85" s="65"/>
      <c r="S85" s="71">
        <v>39989</v>
      </c>
      <c r="T85" s="65"/>
      <c r="U85" s="56" t="s">
        <v>2979</v>
      </c>
    </row>
    <row r="86" spans="1:22" ht="24.75" customHeight="1" x14ac:dyDescent="0.15">
      <c r="A86" s="85">
        <v>2674</v>
      </c>
      <c r="B86" s="65"/>
      <c r="C86" s="67" t="s">
        <v>2980</v>
      </c>
      <c r="D86" s="65"/>
      <c r="E86" s="55" t="s">
        <v>2981</v>
      </c>
      <c r="F86" s="67" t="s">
        <v>2982</v>
      </c>
      <c r="G86" s="65"/>
      <c r="H86" s="64">
        <v>42720</v>
      </c>
      <c r="I86" s="65"/>
      <c r="J86" s="67" t="s">
        <v>2983</v>
      </c>
      <c r="K86" s="65"/>
      <c r="L86" s="54">
        <v>2649</v>
      </c>
      <c r="M86" s="66">
        <v>2638</v>
      </c>
      <c r="N86" s="65"/>
      <c r="O86" s="70" t="s">
        <v>2984</v>
      </c>
      <c r="P86" s="65"/>
      <c r="Q86" s="67" t="s">
        <v>2985</v>
      </c>
      <c r="R86" s="65"/>
      <c r="S86" s="64">
        <v>42720</v>
      </c>
      <c r="T86" s="65"/>
      <c r="U86" s="55" t="s">
        <v>2986</v>
      </c>
    </row>
    <row r="87" spans="1:22" ht="12.75" customHeight="1" x14ac:dyDescent="0.15">
      <c r="A87" s="68"/>
      <c r="B87" s="69"/>
      <c r="C87" s="69"/>
      <c r="D87" s="69"/>
      <c r="E87" s="69"/>
      <c r="F87" s="69"/>
      <c r="G87" s="69"/>
      <c r="H87" s="69"/>
      <c r="I87" s="69"/>
      <c r="J87" s="69"/>
      <c r="K87" s="69"/>
      <c r="L87" s="69"/>
      <c r="M87" s="69"/>
      <c r="N87" s="69"/>
      <c r="O87" s="69"/>
      <c r="P87" s="65"/>
      <c r="Q87" s="70" t="s">
        <v>2987</v>
      </c>
      <c r="R87" s="65"/>
      <c r="S87" s="71">
        <v>43216</v>
      </c>
      <c r="T87" s="65"/>
      <c r="U87" s="56" t="s">
        <v>2988</v>
      </c>
    </row>
    <row r="88" spans="1:22" ht="25.5" customHeight="1" x14ac:dyDescent="0.15">
      <c r="A88" s="85">
        <v>2614</v>
      </c>
      <c r="B88" s="65"/>
      <c r="C88" s="67" t="s">
        <v>2989</v>
      </c>
      <c r="D88" s="65"/>
      <c r="E88" s="55" t="s">
        <v>2990</v>
      </c>
      <c r="F88" s="67" t="s">
        <v>2991</v>
      </c>
      <c r="G88" s="65"/>
      <c r="H88" s="64">
        <v>40012</v>
      </c>
      <c r="I88" s="65"/>
      <c r="J88" s="67" t="s">
        <v>2992</v>
      </c>
      <c r="K88" s="65"/>
      <c r="L88" s="54">
        <v>1131</v>
      </c>
      <c r="M88" s="66">
        <v>2403</v>
      </c>
      <c r="N88" s="65"/>
      <c r="O88" s="70" t="s">
        <v>2993</v>
      </c>
      <c r="P88" s="65"/>
      <c r="Q88" s="67" t="s">
        <v>2994</v>
      </c>
      <c r="R88" s="65"/>
      <c r="S88" s="64">
        <v>40012</v>
      </c>
      <c r="T88" s="65"/>
      <c r="U88" s="55" t="s">
        <v>2995</v>
      </c>
    </row>
    <row r="89" spans="1:22" ht="12.75" customHeight="1" x14ac:dyDescent="0.15">
      <c r="A89" s="68"/>
      <c r="B89" s="69"/>
      <c r="C89" s="69"/>
      <c r="D89" s="69"/>
      <c r="E89" s="69"/>
      <c r="F89" s="69"/>
      <c r="G89" s="69"/>
      <c r="H89" s="69"/>
      <c r="I89" s="69"/>
      <c r="J89" s="69"/>
      <c r="K89" s="69"/>
      <c r="L89" s="69"/>
      <c r="M89" s="69"/>
      <c r="N89" s="69"/>
      <c r="O89" s="69"/>
      <c r="P89" s="65"/>
      <c r="Q89" s="70" t="s">
        <v>2996</v>
      </c>
      <c r="R89" s="65"/>
      <c r="S89" s="71">
        <v>43452</v>
      </c>
      <c r="T89" s="65"/>
      <c r="U89" s="56" t="s">
        <v>2997</v>
      </c>
    </row>
    <row r="90" spans="1:22" ht="12.75" customHeight="1" x14ac:dyDescent="0.15">
      <c r="A90" s="68"/>
      <c r="B90" s="69"/>
      <c r="C90" s="69"/>
      <c r="D90" s="69"/>
      <c r="E90" s="69"/>
      <c r="F90" s="69"/>
      <c r="G90" s="69"/>
      <c r="H90" s="69"/>
      <c r="I90" s="69"/>
      <c r="J90" s="69"/>
      <c r="K90" s="69"/>
      <c r="L90" s="69"/>
      <c r="M90" s="69"/>
      <c r="N90" s="69"/>
      <c r="O90" s="69"/>
      <c r="P90" s="65"/>
      <c r="Q90" s="70" t="s">
        <v>2998</v>
      </c>
      <c r="R90" s="65"/>
      <c r="S90" s="71">
        <v>43774</v>
      </c>
      <c r="T90" s="65"/>
      <c r="U90" s="56" t="s">
        <v>2999</v>
      </c>
    </row>
    <row r="91" spans="1:22" ht="25.5" customHeight="1" x14ac:dyDescent="0.15">
      <c r="A91" s="85">
        <v>2653</v>
      </c>
      <c r="B91" s="65"/>
      <c r="C91" s="67" t="s">
        <v>3000</v>
      </c>
      <c r="D91" s="65"/>
      <c r="E91" s="55" t="s">
        <v>3001</v>
      </c>
      <c r="F91" s="67" t="s">
        <v>3002</v>
      </c>
      <c r="G91" s="65"/>
      <c r="H91" s="64">
        <v>41873</v>
      </c>
      <c r="I91" s="65"/>
      <c r="J91" s="67" t="s">
        <v>3003</v>
      </c>
      <c r="K91" s="65"/>
      <c r="L91" s="54">
        <v>2449</v>
      </c>
      <c r="M91" s="66">
        <v>2632</v>
      </c>
      <c r="N91" s="65"/>
      <c r="O91" s="70" t="s">
        <v>3004</v>
      </c>
      <c r="P91" s="65"/>
      <c r="Q91" s="67" t="s">
        <v>3005</v>
      </c>
      <c r="R91" s="65"/>
      <c r="S91" s="64">
        <v>41873</v>
      </c>
      <c r="T91" s="65"/>
      <c r="U91" s="55" t="s">
        <v>3006</v>
      </c>
    </row>
    <row r="92" spans="1:22" ht="12.75" customHeight="1" x14ac:dyDescent="0.15">
      <c r="A92" s="68"/>
      <c r="B92" s="69"/>
      <c r="C92" s="69"/>
      <c r="D92" s="69"/>
      <c r="E92" s="69"/>
      <c r="F92" s="69"/>
      <c r="G92" s="69"/>
      <c r="H92" s="69"/>
      <c r="I92" s="69"/>
      <c r="J92" s="69"/>
      <c r="K92" s="69"/>
      <c r="L92" s="69"/>
      <c r="M92" s="69"/>
      <c r="N92" s="69"/>
      <c r="O92" s="69"/>
      <c r="P92" s="65"/>
      <c r="Q92" s="70" t="s">
        <v>3007</v>
      </c>
      <c r="R92" s="65"/>
      <c r="S92" s="71">
        <v>42268</v>
      </c>
      <c r="T92" s="65"/>
      <c r="U92" s="56" t="s">
        <v>3008</v>
      </c>
    </row>
    <row r="93" spans="1:22" ht="13.5" customHeight="1" x14ac:dyDescent="0.15">
      <c r="A93" s="68"/>
      <c r="B93" s="69"/>
      <c r="C93" s="69"/>
      <c r="D93" s="69"/>
      <c r="E93" s="69"/>
      <c r="F93" s="69"/>
      <c r="G93" s="69"/>
      <c r="H93" s="69"/>
      <c r="I93" s="69"/>
      <c r="J93" s="69"/>
      <c r="K93" s="69"/>
      <c r="L93" s="69"/>
      <c r="M93" s="69"/>
      <c r="N93" s="69"/>
      <c r="O93" s="69"/>
      <c r="P93" s="65"/>
      <c r="Q93" s="70" t="s">
        <v>3009</v>
      </c>
      <c r="R93" s="65"/>
      <c r="S93" s="71">
        <v>43452</v>
      </c>
      <c r="T93" s="65"/>
      <c r="U93" s="56" t="s">
        <v>3010</v>
      </c>
    </row>
    <row r="94" spans="1:22" ht="12.75" customHeight="1" x14ac:dyDescent="0.15">
      <c r="A94" s="68"/>
      <c r="B94" s="69"/>
      <c r="C94" s="69"/>
      <c r="D94" s="69"/>
      <c r="E94" s="69"/>
      <c r="F94" s="69"/>
      <c r="G94" s="69"/>
      <c r="H94" s="69"/>
      <c r="I94" s="69"/>
      <c r="J94" s="69"/>
      <c r="K94" s="69"/>
      <c r="L94" s="69"/>
      <c r="M94" s="69"/>
      <c r="N94" s="69"/>
      <c r="O94" s="69"/>
      <c r="P94" s="65"/>
      <c r="Q94" s="70" t="s">
        <v>3011</v>
      </c>
      <c r="R94" s="65"/>
      <c r="S94" s="71">
        <v>43774</v>
      </c>
      <c r="T94" s="65"/>
      <c r="U94" s="56" t="s">
        <v>3012</v>
      </c>
    </row>
    <row r="95" spans="1:22" ht="88.5" customHeight="1" x14ac:dyDescent="0.15">
      <c r="A95" s="83" t="s">
        <v>3013</v>
      </c>
      <c r="B95" s="84"/>
      <c r="C95" s="84"/>
      <c r="D95" s="84"/>
      <c r="E95" s="84"/>
      <c r="F95" s="84"/>
      <c r="G95" s="84"/>
      <c r="H95" s="84"/>
      <c r="I95" s="84"/>
      <c r="J95" s="84"/>
      <c r="K95" s="84"/>
      <c r="L95" s="84"/>
      <c r="M95" s="84"/>
      <c r="N95" s="84"/>
      <c r="O95" s="84"/>
      <c r="P95" s="84"/>
      <c r="Q95" s="84"/>
      <c r="R95" s="84"/>
      <c r="S95" s="84"/>
      <c r="T95" s="84"/>
      <c r="U95" s="84"/>
      <c r="V95" s="84"/>
    </row>
    <row r="96" spans="1:22" ht="25.5" customHeight="1" x14ac:dyDescent="0.15">
      <c r="A96" s="52" t="s">
        <v>3014</v>
      </c>
      <c r="B96" s="87" t="s">
        <v>3015</v>
      </c>
      <c r="C96" s="65"/>
      <c r="D96" s="87" t="s">
        <v>3016</v>
      </c>
      <c r="E96" s="69"/>
      <c r="F96" s="65"/>
      <c r="G96" s="72" t="s">
        <v>3017</v>
      </c>
      <c r="H96" s="65"/>
      <c r="I96" s="72" t="s">
        <v>3018</v>
      </c>
      <c r="J96" s="65"/>
      <c r="K96" s="60" t="s">
        <v>3019</v>
      </c>
      <c r="L96" s="72" t="s">
        <v>3020</v>
      </c>
      <c r="M96" s="65"/>
      <c r="N96" s="72" t="s">
        <v>3021</v>
      </c>
      <c r="O96" s="65"/>
      <c r="P96" s="72" t="s">
        <v>3022</v>
      </c>
      <c r="Q96" s="65"/>
      <c r="R96" s="72" t="s">
        <v>3023</v>
      </c>
      <c r="S96" s="65"/>
      <c r="T96" s="72" t="s">
        <v>3024</v>
      </c>
      <c r="U96" s="65"/>
      <c r="V96" s="51"/>
    </row>
    <row r="97" spans="1:22" ht="12.75" customHeight="1" x14ac:dyDescent="0.15">
      <c r="A97" s="61">
        <v>1000</v>
      </c>
      <c r="B97" s="70" t="s">
        <v>3025</v>
      </c>
      <c r="C97" s="65"/>
      <c r="D97" s="70" t="s">
        <v>3026</v>
      </c>
      <c r="E97" s="69"/>
      <c r="F97" s="65"/>
      <c r="G97" s="70" t="s">
        <v>3027</v>
      </c>
      <c r="H97" s="65"/>
      <c r="I97" s="70" t="s">
        <v>3028</v>
      </c>
      <c r="J97" s="65"/>
      <c r="K97" s="56" t="s">
        <v>3029</v>
      </c>
      <c r="L97" s="70" t="s">
        <v>3030</v>
      </c>
      <c r="M97" s="65"/>
      <c r="N97" s="70" t="s">
        <v>3031</v>
      </c>
      <c r="O97" s="65"/>
      <c r="P97" s="70" t="s">
        <v>3032</v>
      </c>
      <c r="Q97" s="65"/>
      <c r="R97" s="70" t="s">
        <v>3033</v>
      </c>
      <c r="S97" s="65"/>
      <c r="T97" s="70" t="s">
        <v>3034</v>
      </c>
      <c r="U97" s="65"/>
      <c r="V97" s="57"/>
    </row>
    <row r="98" spans="1:22" ht="12.75" customHeight="1" x14ac:dyDescent="0.15">
      <c r="A98" s="68"/>
      <c r="B98" s="69"/>
      <c r="C98" s="69"/>
      <c r="D98" s="69"/>
      <c r="E98" s="69"/>
      <c r="F98" s="69"/>
      <c r="G98" s="69"/>
      <c r="H98" s="69"/>
      <c r="I98" s="69"/>
      <c r="J98" s="69"/>
      <c r="K98" s="69"/>
      <c r="L98" s="69"/>
      <c r="M98" s="69"/>
      <c r="N98" s="69"/>
      <c r="O98" s="65"/>
      <c r="P98" s="70" t="s">
        <v>3035</v>
      </c>
      <c r="Q98" s="65"/>
      <c r="R98" s="70" t="s">
        <v>3036</v>
      </c>
      <c r="S98" s="65"/>
      <c r="T98" s="70" t="s">
        <v>3037</v>
      </c>
      <c r="U98" s="65"/>
      <c r="V98" s="57"/>
    </row>
    <row r="99" spans="1:22" ht="25.5" customHeight="1" x14ac:dyDescent="0.15">
      <c r="A99" s="75"/>
      <c r="B99" s="69"/>
      <c r="C99" s="69"/>
      <c r="D99" s="69"/>
      <c r="E99" s="69"/>
      <c r="F99" s="69"/>
      <c r="G99" s="69"/>
      <c r="H99" s="69"/>
      <c r="I99" s="69"/>
      <c r="J99" s="69"/>
      <c r="K99" s="69"/>
      <c r="L99" s="69"/>
      <c r="M99" s="69"/>
      <c r="N99" s="69"/>
      <c r="O99" s="65"/>
      <c r="P99" s="67" t="s">
        <v>3038</v>
      </c>
      <c r="Q99" s="65"/>
      <c r="R99" s="70" t="s">
        <v>3039</v>
      </c>
      <c r="S99" s="65"/>
      <c r="T99" s="67" t="s">
        <v>3040</v>
      </c>
      <c r="U99" s="65"/>
      <c r="V99" s="51"/>
    </row>
    <row r="100" spans="1:22" ht="13.5" customHeight="1" x14ac:dyDescent="0.15">
      <c r="A100" s="68"/>
      <c r="B100" s="69"/>
      <c r="C100" s="69"/>
      <c r="D100" s="69"/>
      <c r="E100" s="69"/>
      <c r="F100" s="69"/>
      <c r="G100" s="69"/>
      <c r="H100" s="69"/>
      <c r="I100" s="69"/>
      <c r="J100" s="69"/>
      <c r="K100" s="69"/>
      <c r="L100" s="69"/>
      <c r="M100" s="69"/>
      <c r="N100" s="69"/>
      <c r="O100" s="65"/>
      <c r="P100" s="70" t="s">
        <v>3041</v>
      </c>
      <c r="Q100" s="65"/>
      <c r="R100" s="70" t="s">
        <v>3042</v>
      </c>
      <c r="S100" s="65"/>
      <c r="T100" s="70" t="s">
        <v>3043</v>
      </c>
      <c r="U100" s="65"/>
      <c r="V100" s="57"/>
    </row>
    <row r="101" spans="1:22" ht="12.75" customHeight="1" x14ac:dyDescent="0.15">
      <c r="A101" s="61">
        <v>1001</v>
      </c>
      <c r="B101" s="70" t="s">
        <v>3044</v>
      </c>
      <c r="C101" s="65"/>
      <c r="D101" s="70" t="s">
        <v>3045</v>
      </c>
      <c r="E101" s="69"/>
      <c r="F101" s="65"/>
      <c r="G101" s="70" t="s">
        <v>3046</v>
      </c>
      <c r="H101" s="65"/>
      <c r="I101" s="70" t="s">
        <v>3047</v>
      </c>
      <c r="J101" s="65"/>
      <c r="K101" s="56" t="s">
        <v>3048</v>
      </c>
      <c r="L101" s="70" t="s">
        <v>3049</v>
      </c>
      <c r="M101" s="65"/>
      <c r="N101" s="70" t="s">
        <v>3050</v>
      </c>
      <c r="O101" s="65"/>
      <c r="P101" s="70" t="s">
        <v>3051</v>
      </c>
      <c r="Q101" s="65"/>
      <c r="R101" s="70" t="s">
        <v>3052</v>
      </c>
      <c r="S101" s="65"/>
      <c r="T101" s="70" t="s">
        <v>3053</v>
      </c>
      <c r="U101" s="65"/>
      <c r="V101" s="57"/>
    </row>
    <row r="102" spans="1:22" ht="12.75" customHeight="1" x14ac:dyDescent="0.15">
      <c r="A102" s="68"/>
      <c r="B102" s="69"/>
      <c r="C102" s="69"/>
      <c r="D102" s="69"/>
      <c r="E102" s="69"/>
      <c r="F102" s="69"/>
      <c r="G102" s="69"/>
      <c r="H102" s="69"/>
      <c r="I102" s="69"/>
      <c r="J102" s="69"/>
      <c r="K102" s="69"/>
      <c r="L102" s="69"/>
      <c r="M102" s="69"/>
      <c r="N102" s="69"/>
      <c r="O102" s="65"/>
      <c r="P102" s="70" t="s">
        <v>3054</v>
      </c>
      <c r="Q102" s="65"/>
      <c r="R102" s="70" t="s">
        <v>3055</v>
      </c>
      <c r="S102" s="65"/>
      <c r="T102" s="70" t="s">
        <v>3056</v>
      </c>
      <c r="U102" s="65"/>
      <c r="V102" s="57"/>
    </row>
    <row r="103" spans="1:22" ht="25.5" customHeight="1" x14ac:dyDescent="0.15">
      <c r="A103" s="75"/>
      <c r="B103" s="69"/>
      <c r="C103" s="69"/>
      <c r="D103" s="69"/>
      <c r="E103" s="69"/>
      <c r="F103" s="69"/>
      <c r="G103" s="69"/>
      <c r="H103" s="69"/>
      <c r="I103" s="69"/>
      <c r="J103" s="69"/>
      <c r="K103" s="69"/>
      <c r="L103" s="69"/>
      <c r="M103" s="69"/>
      <c r="N103" s="69"/>
      <c r="O103" s="65"/>
      <c r="P103" s="67" t="s">
        <v>3057</v>
      </c>
      <c r="Q103" s="65"/>
      <c r="R103" s="70" t="s">
        <v>3058</v>
      </c>
      <c r="S103" s="65"/>
      <c r="T103" s="67" t="s">
        <v>3059</v>
      </c>
      <c r="U103" s="65"/>
      <c r="V103" s="51"/>
    </row>
    <row r="104" spans="1:22" ht="13.5" customHeight="1" x14ac:dyDescent="0.15">
      <c r="A104" s="68"/>
      <c r="B104" s="69"/>
      <c r="C104" s="69"/>
      <c r="D104" s="69"/>
      <c r="E104" s="69"/>
      <c r="F104" s="69"/>
      <c r="G104" s="69"/>
      <c r="H104" s="69"/>
      <c r="I104" s="69"/>
      <c r="J104" s="69"/>
      <c r="K104" s="69"/>
      <c r="L104" s="69"/>
      <c r="M104" s="69"/>
      <c r="N104" s="69"/>
      <c r="O104" s="65"/>
      <c r="P104" s="70" t="s">
        <v>3060</v>
      </c>
      <c r="Q104" s="65"/>
      <c r="R104" s="70" t="s">
        <v>3061</v>
      </c>
      <c r="S104" s="65"/>
      <c r="T104" s="70" t="s">
        <v>3062</v>
      </c>
      <c r="U104" s="65"/>
      <c r="V104" s="57"/>
    </row>
    <row r="105" spans="1:22" ht="12.75" customHeight="1" x14ac:dyDescent="0.15">
      <c r="A105" s="61">
        <v>1002</v>
      </c>
      <c r="B105" s="70" t="s">
        <v>3063</v>
      </c>
      <c r="C105" s="65"/>
      <c r="D105" s="76">
        <v>811005</v>
      </c>
      <c r="E105" s="69"/>
      <c r="F105" s="65"/>
      <c r="G105" s="70" t="s">
        <v>3064</v>
      </c>
      <c r="H105" s="65"/>
      <c r="I105" s="70" t="s">
        <v>3065</v>
      </c>
      <c r="J105" s="65"/>
      <c r="K105" s="56" t="s">
        <v>3066</v>
      </c>
      <c r="L105" s="70" t="s">
        <v>3067</v>
      </c>
      <c r="M105" s="65"/>
      <c r="N105" s="70" t="s">
        <v>3068</v>
      </c>
      <c r="O105" s="65"/>
      <c r="P105" s="70" t="s">
        <v>3069</v>
      </c>
      <c r="Q105" s="65"/>
      <c r="R105" s="70" t="s">
        <v>3070</v>
      </c>
      <c r="S105" s="65"/>
      <c r="T105" s="70" t="s">
        <v>3071</v>
      </c>
      <c r="U105" s="65"/>
      <c r="V105" s="57"/>
    </row>
    <row r="106" spans="1:22" ht="12.75" customHeight="1" x14ac:dyDescent="0.15">
      <c r="A106" s="68"/>
      <c r="B106" s="69"/>
      <c r="C106" s="69"/>
      <c r="D106" s="69"/>
      <c r="E106" s="69"/>
      <c r="F106" s="69"/>
      <c r="G106" s="69"/>
      <c r="H106" s="69"/>
      <c r="I106" s="69"/>
      <c r="J106" s="69"/>
      <c r="K106" s="69"/>
      <c r="L106" s="69"/>
      <c r="M106" s="69"/>
      <c r="N106" s="69"/>
      <c r="O106" s="65"/>
      <c r="P106" s="70" t="s">
        <v>3072</v>
      </c>
      <c r="Q106" s="65"/>
      <c r="R106" s="70" t="s">
        <v>3073</v>
      </c>
      <c r="S106" s="65"/>
      <c r="T106" s="70" t="s">
        <v>3074</v>
      </c>
      <c r="U106" s="65"/>
      <c r="V106" s="57"/>
    </row>
    <row r="107" spans="1:22" ht="12.75" customHeight="1" x14ac:dyDescent="0.15">
      <c r="A107" s="68"/>
      <c r="B107" s="69"/>
      <c r="C107" s="69"/>
      <c r="D107" s="69"/>
      <c r="E107" s="69"/>
      <c r="F107" s="69"/>
      <c r="G107" s="69"/>
      <c r="H107" s="69"/>
      <c r="I107" s="69"/>
      <c r="J107" s="69"/>
      <c r="K107" s="69"/>
      <c r="L107" s="69"/>
      <c r="M107" s="69"/>
      <c r="N107" s="69"/>
      <c r="O107" s="65"/>
      <c r="P107" s="70" t="s">
        <v>3075</v>
      </c>
      <c r="Q107" s="65"/>
      <c r="R107" s="70" t="s">
        <v>3076</v>
      </c>
      <c r="S107" s="65"/>
      <c r="T107" s="70" t="s">
        <v>3077</v>
      </c>
      <c r="U107" s="65"/>
      <c r="V107" s="57"/>
    </row>
    <row r="108" spans="1:22" ht="13.5" customHeight="1" x14ac:dyDescent="0.15">
      <c r="A108" s="68"/>
      <c r="B108" s="69"/>
      <c r="C108" s="69"/>
      <c r="D108" s="69"/>
      <c r="E108" s="69"/>
      <c r="F108" s="69"/>
      <c r="G108" s="69"/>
      <c r="H108" s="69"/>
      <c r="I108" s="69"/>
      <c r="J108" s="69"/>
      <c r="K108" s="69"/>
      <c r="L108" s="69"/>
      <c r="M108" s="69"/>
      <c r="N108" s="69"/>
      <c r="O108" s="65"/>
      <c r="P108" s="70" t="s">
        <v>3078</v>
      </c>
      <c r="Q108" s="65"/>
      <c r="R108" s="71">
        <v>24999</v>
      </c>
      <c r="S108" s="65"/>
      <c r="T108" s="70" t="s">
        <v>3079</v>
      </c>
      <c r="U108" s="65"/>
      <c r="V108" s="57"/>
    </row>
    <row r="109" spans="1:22" ht="12.75" customHeight="1" x14ac:dyDescent="0.15">
      <c r="A109" s="68"/>
      <c r="B109" s="69"/>
      <c r="C109" s="69"/>
      <c r="D109" s="69"/>
      <c r="E109" s="69"/>
      <c r="F109" s="69"/>
      <c r="G109" s="69"/>
      <c r="H109" s="69"/>
      <c r="I109" s="69"/>
      <c r="J109" s="69"/>
      <c r="K109" s="69"/>
      <c r="L109" s="69"/>
      <c r="M109" s="69"/>
      <c r="N109" s="69"/>
      <c r="O109" s="65"/>
      <c r="P109" s="70" t="s">
        <v>3080</v>
      </c>
      <c r="Q109" s="65"/>
      <c r="R109" s="71">
        <v>30800</v>
      </c>
      <c r="S109" s="65"/>
      <c r="T109" s="70" t="s">
        <v>3081</v>
      </c>
      <c r="U109" s="65"/>
      <c r="V109" s="57"/>
    </row>
    <row r="110" spans="1:22" ht="12.75" customHeight="1" x14ac:dyDescent="0.15">
      <c r="A110" s="61">
        <v>1003</v>
      </c>
      <c r="B110" s="70" t="s">
        <v>3082</v>
      </c>
      <c r="C110" s="65"/>
      <c r="D110" s="76">
        <v>811006</v>
      </c>
      <c r="E110" s="69"/>
      <c r="F110" s="65"/>
      <c r="G110" s="70" t="s">
        <v>3083</v>
      </c>
      <c r="H110" s="65"/>
      <c r="I110" s="70" t="s">
        <v>3084</v>
      </c>
      <c r="J110" s="65"/>
      <c r="K110" s="56" t="s">
        <v>3085</v>
      </c>
      <c r="L110" s="70" t="s">
        <v>3086</v>
      </c>
      <c r="M110" s="65"/>
      <c r="N110" s="70" t="s">
        <v>3087</v>
      </c>
      <c r="O110" s="65"/>
      <c r="P110" s="70" t="s">
        <v>3088</v>
      </c>
      <c r="Q110" s="65"/>
      <c r="R110" s="70" t="s">
        <v>3089</v>
      </c>
      <c r="S110" s="65"/>
      <c r="T110" s="70" t="s">
        <v>3090</v>
      </c>
      <c r="U110" s="65"/>
      <c r="V110" s="57"/>
    </row>
    <row r="111" spans="1:22" ht="12.75" customHeight="1" x14ac:dyDescent="0.15">
      <c r="A111" s="68"/>
      <c r="B111" s="69"/>
      <c r="C111" s="69"/>
      <c r="D111" s="69"/>
      <c r="E111" s="69"/>
      <c r="F111" s="69"/>
      <c r="G111" s="69"/>
      <c r="H111" s="69"/>
      <c r="I111" s="69"/>
      <c r="J111" s="69"/>
      <c r="K111" s="69"/>
      <c r="L111" s="69"/>
      <c r="M111" s="69"/>
      <c r="N111" s="69"/>
      <c r="O111" s="65"/>
      <c r="P111" s="70" t="s">
        <v>3091</v>
      </c>
      <c r="Q111" s="65"/>
      <c r="R111" s="70" t="s">
        <v>3092</v>
      </c>
      <c r="S111" s="65"/>
      <c r="T111" s="70" t="s">
        <v>3093</v>
      </c>
      <c r="U111" s="65"/>
      <c r="V111" s="57"/>
    </row>
    <row r="112" spans="1:22" ht="13.5" customHeight="1" x14ac:dyDescent="0.15">
      <c r="A112" s="68"/>
      <c r="B112" s="69"/>
      <c r="C112" s="69"/>
      <c r="D112" s="69"/>
      <c r="E112" s="69"/>
      <c r="F112" s="69"/>
      <c r="G112" s="69"/>
      <c r="H112" s="69"/>
      <c r="I112" s="69"/>
      <c r="J112" s="69"/>
      <c r="K112" s="69"/>
      <c r="L112" s="69"/>
      <c r="M112" s="69"/>
      <c r="N112" s="69"/>
      <c r="O112" s="65"/>
      <c r="P112" s="70" t="s">
        <v>3094</v>
      </c>
      <c r="Q112" s="65"/>
      <c r="R112" s="71">
        <v>25573</v>
      </c>
      <c r="S112" s="65"/>
      <c r="T112" s="70" t="s">
        <v>3095</v>
      </c>
      <c r="U112" s="65"/>
      <c r="V112" s="57"/>
    </row>
    <row r="113" spans="1:22" ht="12.75" customHeight="1" x14ac:dyDescent="0.15">
      <c r="A113" s="68"/>
      <c r="B113" s="69"/>
      <c r="C113" s="69"/>
      <c r="D113" s="69"/>
      <c r="E113" s="69"/>
      <c r="F113" s="69"/>
      <c r="G113" s="69"/>
      <c r="H113" s="69"/>
      <c r="I113" s="69"/>
      <c r="J113" s="69"/>
      <c r="K113" s="69"/>
      <c r="L113" s="69"/>
      <c r="M113" s="69"/>
      <c r="N113" s="69"/>
      <c r="O113" s="65"/>
      <c r="P113" s="70" t="s">
        <v>3096</v>
      </c>
      <c r="Q113" s="65"/>
      <c r="R113" s="71">
        <v>29980</v>
      </c>
      <c r="S113" s="65"/>
      <c r="T113" s="70" t="s">
        <v>3097</v>
      </c>
      <c r="U113" s="65"/>
      <c r="V113" s="57"/>
    </row>
    <row r="114" spans="1:22" ht="12.75" customHeight="1" x14ac:dyDescent="0.15">
      <c r="A114" s="61">
        <v>1004</v>
      </c>
      <c r="B114" s="70" t="s">
        <v>3098</v>
      </c>
      <c r="C114" s="65"/>
      <c r="D114" s="70" t="s">
        <v>3099</v>
      </c>
      <c r="E114" s="69"/>
      <c r="F114" s="65"/>
      <c r="G114" s="70" t="s">
        <v>3100</v>
      </c>
      <c r="H114" s="65"/>
      <c r="I114" s="70" t="s">
        <v>3101</v>
      </c>
      <c r="J114" s="65"/>
      <c r="K114" s="56" t="s">
        <v>3102</v>
      </c>
      <c r="L114" s="70" t="s">
        <v>3103</v>
      </c>
      <c r="M114" s="65"/>
      <c r="N114" s="70" t="s">
        <v>3104</v>
      </c>
      <c r="O114" s="65"/>
      <c r="P114" s="70" t="s">
        <v>3105</v>
      </c>
      <c r="Q114" s="65"/>
      <c r="R114" s="70" t="s">
        <v>3106</v>
      </c>
      <c r="S114" s="65"/>
      <c r="T114" s="70" t="s">
        <v>3107</v>
      </c>
      <c r="U114" s="65"/>
      <c r="V114" s="57"/>
    </row>
    <row r="115" spans="1:22" ht="12.75" customHeight="1" x14ac:dyDescent="0.15">
      <c r="A115" s="68"/>
      <c r="B115" s="69"/>
      <c r="C115" s="69"/>
      <c r="D115" s="69"/>
      <c r="E115" s="69"/>
      <c r="F115" s="69"/>
      <c r="G115" s="69"/>
      <c r="H115" s="69"/>
      <c r="I115" s="69"/>
      <c r="J115" s="69"/>
      <c r="K115" s="69"/>
      <c r="L115" s="69"/>
      <c r="M115" s="69"/>
      <c r="N115" s="69"/>
      <c r="O115" s="65"/>
      <c r="P115" s="70" t="s">
        <v>3108</v>
      </c>
      <c r="Q115" s="65"/>
      <c r="R115" s="70" t="s">
        <v>3109</v>
      </c>
      <c r="S115" s="65"/>
      <c r="T115" s="70" t="s">
        <v>3110</v>
      </c>
      <c r="U115" s="65"/>
      <c r="V115" s="57"/>
    </row>
    <row r="116" spans="1:22" ht="13.5" customHeight="1" x14ac:dyDescent="0.15">
      <c r="A116" s="68"/>
      <c r="B116" s="69"/>
      <c r="C116" s="69"/>
      <c r="D116" s="69"/>
      <c r="E116" s="69"/>
      <c r="F116" s="69"/>
      <c r="G116" s="69"/>
      <c r="H116" s="69"/>
      <c r="I116" s="69"/>
      <c r="J116" s="69"/>
      <c r="K116" s="69"/>
      <c r="L116" s="69"/>
      <c r="M116" s="69"/>
      <c r="N116" s="69"/>
      <c r="O116" s="65"/>
      <c r="P116" s="70" t="s">
        <v>3111</v>
      </c>
      <c r="Q116" s="65"/>
      <c r="R116" s="71">
        <v>26590</v>
      </c>
      <c r="S116" s="65"/>
      <c r="T116" s="70" t="s">
        <v>3112</v>
      </c>
      <c r="U116" s="65"/>
      <c r="V116" s="57"/>
    </row>
    <row r="117" spans="1:22" ht="12.75" customHeight="1" x14ac:dyDescent="0.15">
      <c r="A117" s="68"/>
      <c r="B117" s="69"/>
      <c r="C117" s="69"/>
      <c r="D117" s="69"/>
      <c r="E117" s="69"/>
      <c r="F117" s="69"/>
      <c r="G117" s="69"/>
      <c r="H117" s="69"/>
      <c r="I117" s="69"/>
      <c r="J117" s="69"/>
      <c r="K117" s="69"/>
      <c r="L117" s="69"/>
      <c r="M117" s="69"/>
      <c r="N117" s="69"/>
      <c r="O117" s="65"/>
      <c r="P117" s="70" t="s">
        <v>3113</v>
      </c>
      <c r="Q117" s="65"/>
      <c r="R117" s="70" t="s">
        <v>3114</v>
      </c>
      <c r="S117" s="65"/>
      <c r="T117" s="70" t="s">
        <v>3115</v>
      </c>
      <c r="U117" s="65"/>
      <c r="V117" s="57"/>
    </row>
    <row r="118" spans="1:22" ht="12.75" customHeight="1" x14ac:dyDescent="0.15">
      <c r="A118" s="61">
        <v>1005</v>
      </c>
      <c r="B118" s="70" t="s">
        <v>3116</v>
      </c>
      <c r="C118" s="65"/>
      <c r="D118" s="70" t="s">
        <v>3117</v>
      </c>
      <c r="E118" s="69"/>
      <c r="F118" s="65"/>
      <c r="G118" s="70" t="s">
        <v>3118</v>
      </c>
      <c r="H118" s="65"/>
      <c r="I118" s="70" t="s">
        <v>3119</v>
      </c>
      <c r="J118" s="65"/>
      <c r="K118" s="56" t="s">
        <v>3120</v>
      </c>
      <c r="L118" s="70" t="s">
        <v>3121</v>
      </c>
      <c r="M118" s="65"/>
      <c r="N118" s="70" t="s">
        <v>3122</v>
      </c>
      <c r="O118" s="65"/>
      <c r="P118" s="70" t="s">
        <v>3123</v>
      </c>
      <c r="Q118" s="65"/>
      <c r="R118" s="70" t="s">
        <v>3124</v>
      </c>
      <c r="S118" s="65"/>
      <c r="T118" s="70" t="s">
        <v>3125</v>
      </c>
      <c r="U118" s="65"/>
      <c r="V118" s="57"/>
    </row>
    <row r="119" spans="1:22" ht="12.75" customHeight="1" x14ac:dyDescent="0.15">
      <c r="A119" s="68"/>
      <c r="B119" s="69"/>
      <c r="C119" s="69"/>
      <c r="D119" s="69"/>
      <c r="E119" s="69"/>
      <c r="F119" s="69"/>
      <c r="G119" s="69"/>
      <c r="H119" s="69"/>
      <c r="I119" s="69"/>
      <c r="J119" s="69"/>
      <c r="K119" s="69"/>
      <c r="L119" s="69"/>
      <c r="M119" s="69"/>
      <c r="N119" s="69"/>
      <c r="O119" s="65"/>
      <c r="P119" s="70" t="s">
        <v>3126</v>
      </c>
      <c r="Q119" s="65"/>
      <c r="R119" s="70" t="s">
        <v>3127</v>
      </c>
      <c r="S119" s="65"/>
      <c r="T119" s="70" t="s">
        <v>3128</v>
      </c>
      <c r="U119" s="65"/>
      <c r="V119" s="57"/>
    </row>
    <row r="120" spans="1:22" ht="13.5" customHeight="1" x14ac:dyDescent="0.15">
      <c r="A120" s="68"/>
      <c r="B120" s="69"/>
      <c r="C120" s="69"/>
      <c r="D120" s="69"/>
      <c r="E120" s="69"/>
      <c r="F120" s="69"/>
      <c r="G120" s="69"/>
      <c r="H120" s="69"/>
      <c r="I120" s="69"/>
      <c r="J120" s="69"/>
      <c r="K120" s="69"/>
      <c r="L120" s="69"/>
      <c r="M120" s="69"/>
      <c r="N120" s="69"/>
      <c r="O120" s="65"/>
      <c r="P120" s="70" t="s">
        <v>3129</v>
      </c>
      <c r="Q120" s="65"/>
      <c r="R120" s="71">
        <v>26590</v>
      </c>
      <c r="S120" s="65"/>
      <c r="T120" s="70" t="s">
        <v>3130</v>
      </c>
      <c r="U120" s="65"/>
      <c r="V120" s="57"/>
    </row>
    <row r="121" spans="1:22" ht="12.75" customHeight="1" x14ac:dyDescent="0.15">
      <c r="A121" s="68"/>
      <c r="B121" s="69"/>
      <c r="C121" s="69"/>
      <c r="D121" s="69"/>
      <c r="E121" s="69"/>
      <c r="F121" s="69"/>
      <c r="G121" s="69"/>
      <c r="H121" s="69"/>
      <c r="I121" s="69"/>
      <c r="J121" s="69"/>
      <c r="K121" s="69"/>
      <c r="L121" s="69"/>
      <c r="M121" s="69"/>
      <c r="N121" s="69"/>
      <c r="O121" s="65"/>
      <c r="P121" s="70" t="s">
        <v>3131</v>
      </c>
      <c r="Q121" s="65"/>
      <c r="R121" s="70" t="s">
        <v>3132</v>
      </c>
      <c r="S121" s="65"/>
      <c r="T121" s="70" t="s">
        <v>3133</v>
      </c>
      <c r="U121" s="65"/>
      <c r="V121" s="57"/>
    </row>
    <row r="122" spans="1:22" ht="12.75" customHeight="1" x14ac:dyDescent="0.15">
      <c r="A122" s="61">
        <v>1006</v>
      </c>
      <c r="B122" s="70" t="s">
        <v>3134</v>
      </c>
      <c r="C122" s="65"/>
      <c r="D122" s="68"/>
      <c r="E122" s="69"/>
      <c r="F122" s="65"/>
      <c r="G122" s="70" t="s">
        <v>3135</v>
      </c>
      <c r="H122" s="65"/>
      <c r="I122" s="70" t="s">
        <v>3136</v>
      </c>
      <c r="J122" s="65"/>
      <c r="K122" s="56" t="s">
        <v>3137</v>
      </c>
      <c r="L122" s="70" t="s">
        <v>3138</v>
      </c>
      <c r="M122" s="65"/>
      <c r="N122" s="70" t="s">
        <v>3139</v>
      </c>
      <c r="O122" s="65"/>
      <c r="P122" s="70" t="s">
        <v>3140</v>
      </c>
      <c r="Q122" s="65"/>
      <c r="R122" s="70" t="s">
        <v>3141</v>
      </c>
      <c r="S122" s="65"/>
      <c r="T122" s="70" t="s">
        <v>3142</v>
      </c>
      <c r="U122" s="65"/>
      <c r="V122" s="57"/>
    </row>
    <row r="123" spans="1:22" ht="25.5" customHeight="1" x14ac:dyDescent="0.15">
      <c r="A123" s="86"/>
      <c r="B123" s="79"/>
      <c r="C123" s="79"/>
      <c r="D123" s="79"/>
      <c r="E123" s="79"/>
      <c r="F123" s="79"/>
      <c r="G123" s="79"/>
      <c r="H123" s="79"/>
      <c r="I123" s="79"/>
      <c r="J123" s="79"/>
      <c r="K123" s="79"/>
      <c r="L123" s="79"/>
      <c r="M123" s="79"/>
      <c r="N123" s="79"/>
      <c r="O123" s="80"/>
      <c r="P123" s="67" t="s">
        <v>3143</v>
      </c>
      <c r="Q123" s="65"/>
      <c r="R123" s="70" t="s">
        <v>3144</v>
      </c>
      <c r="S123" s="65"/>
      <c r="T123" s="67" t="s">
        <v>3145</v>
      </c>
      <c r="U123" s="65"/>
      <c r="V123" s="51"/>
    </row>
    <row r="124" spans="1:22" ht="25.5" customHeight="1" x14ac:dyDescent="0.15">
      <c r="A124" s="75"/>
      <c r="B124" s="69"/>
      <c r="C124" s="69"/>
      <c r="D124" s="69"/>
      <c r="E124" s="69"/>
      <c r="F124" s="69"/>
      <c r="G124" s="69"/>
      <c r="H124" s="69"/>
      <c r="I124" s="69"/>
      <c r="J124" s="69"/>
      <c r="K124" s="69"/>
      <c r="L124" s="69"/>
      <c r="M124" s="69"/>
      <c r="N124" s="69"/>
      <c r="O124" s="65"/>
      <c r="P124" s="67" t="s">
        <v>3146</v>
      </c>
      <c r="Q124" s="65"/>
      <c r="R124" s="70" t="s">
        <v>3147</v>
      </c>
      <c r="S124" s="65"/>
      <c r="T124" s="67" t="s">
        <v>3148</v>
      </c>
      <c r="U124" s="65"/>
      <c r="V124" s="51"/>
    </row>
    <row r="125" spans="1:22" ht="12.75" customHeight="1" x14ac:dyDescent="0.15">
      <c r="A125" s="68"/>
      <c r="B125" s="69"/>
      <c r="C125" s="69"/>
      <c r="D125" s="69"/>
      <c r="E125" s="69"/>
      <c r="F125" s="69"/>
      <c r="G125" s="69"/>
      <c r="H125" s="69"/>
      <c r="I125" s="69"/>
      <c r="J125" s="69"/>
      <c r="K125" s="69"/>
      <c r="L125" s="69"/>
      <c r="M125" s="69"/>
      <c r="N125" s="69"/>
      <c r="O125" s="65"/>
      <c r="P125" s="70" t="s">
        <v>3149</v>
      </c>
      <c r="Q125" s="65"/>
      <c r="R125" s="71">
        <v>33391</v>
      </c>
      <c r="S125" s="65"/>
      <c r="T125" s="70" t="s">
        <v>3150</v>
      </c>
      <c r="U125" s="65"/>
      <c r="V125" s="57"/>
    </row>
    <row r="126" spans="1:22" ht="13.5" customHeight="1" x14ac:dyDescent="0.15">
      <c r="A126" s="68"/>
      <c r="B126" s="69"/>
      <c r="C126" s="69"/>
      <c r="D126" s="69"/>
      <c r="E126" s="69"/>
      <c r="F126" s="69"/>
      <c r="G126" s="69"/>
      <c r="H126" s="69"/>
      <c r="I126" s="69"/>
      <c r="J126" s="69"/>
      <c r="K126" s="69"/>
      <c r="L126" s="69"/>
      <c r="M126" s="69"/>
      <c r="N126" s="69"/>
      <c r="O126" s="65"/>
      <c r="P126" s="70" t="s">
        <v>3151</v>
      </c>
      <c r="Q126" s="65"/>
      <c r="R126" s="71">
        <v>33401</v>
      </c>
      <c r="S126" s="65"/>
      <c r="T126" s="70" t="s">
        <v>3152</v>
      </c>
      <c r="U126" s="65"/>
      <c r="V126" s="57"/>
    </row>
    <row r="127" spans="1:22" ht="21" customHeight="1" x14ac:dyDescent="0.15">
      <c r="A127" s="60" t="s">
        <v>3153</v>
      </c>
      <c r="B127" s="72" t="s">
        <v>3154</v>
      </c>
      <c r="C127" s="65"/>
      <c r="D127" s="72" t="s">
        <v>3155</v>
      </c>
      <c r="E127" s="69"/>
      <c r="F127" s="65"/>
      <c r="G127" s="72" t="s">
        <v>3156</v>
      </c>
      <c r="H127" s="65"/>
      <c r="I127" s="72" t="s">
        <v>3157</v>
      </c>
      <c r="J127" s="65"/>
      <c r="K127" s="60" t="s">
        <v>3158</v>
      </c>
      <c r="L127" s="72" t="s">
        <v>3159</v>
      </c>
      <c r="M127" s="65"/>
      <c r="N127" s="72" t="s">
        <v>3160</v>
      </c>
      <c r="O127" s="65"/>
      <c r="P127" s="72" t="s">
        <v>3161</v>
      </c>
      <c r="Q127" s="65"/>
      <c r="R127" s="72" t="s">
        <v>3162</v>
      </c>
      <c r="S127" s="65"/>
      <c r="T127" s="72" t="s">
        <v>3163</v>
      </c>
      <c r="U127" s="65"/>
    </row>
    <row r="128" spans="1:22" ht="25.5" customHeight="1" x14ac:dyDescent="0.15">
      <c r="A128" s="61">
        <v>1007</v>
      </c>
      <c r="B128" s="67" t="s">
        <v>3164</v>
      </c>
      <c r="C128" s="65"/>
      <c r="D128" s="66">
        <v>1926</v>
      </c>
      <c r="E128" s="69"/>
      <c r="F128" s="65"/>
      <c r="G128" s="67" t="s">
        <v>3165</v>
      </c>
      <c r="H128" s="65"/>
      <c r="I128" s="70" t="s">
        <v>3166</v>
      </c>
      <c r="J128" s="65"/>
      <c r="K128" s="55" t="s">
        <v>3167</v>
      </c>
      <c r="L128" s="67" t="s">
        <v>3168</v>
      </c>
      <c r="M128" s="65"/>
      <c r="N128" s="67" t="s">
        <v>3169</v>
      </c>
      <c r="O128" s="65"/>
      <c r="P128" s="67" t="s">
        <v>3170</v>
      </c>
      <c r="Q128" s="65"/>
      <c r="R128" s="70" t="s">
        <v>3171</v>
      </c>
      <c r="S128" s="65"/>
      <c r="T128" s="67" t="s">
        <v>3172</v>
      </c>
      <c r="U128" s="65"/>
    </row>
    <row r="129" spans="1:21" ht="12.75" customHeight="1" x14ac:dyDescent="0.15">
      <c r="A129" s="68"/>
      <c r="B129" s="69"/>
      <c r="C129" s="69"/>
      <c r="D129" s="69"/>
      <c r="E129" s="69"/>
      <c r="F129" s="69"/>
      <c r="G129" s="69"/>
      <c r="H129" s="69"/>
      <c r="I129" s="69"/>
      <c r="J129" s="69"/>
      <c r="K129" s="69"/>
      <c r="L129" s="69"/>
      <c r="M129" s="69"/>
      <c r="N129" s="69"/>
      <c r="O129" s="65"/>
      <c r="P129" s="70" t="s">
        <v>3173</v>
      </c>
      <c r="Q129" s="65"/>
      <c r="R129" s="70" t="s">
        <v>3174</v>
      </c>
      <c r="S129" s="65"/>
      <c r="T129" s="70" t="s">
        <v>3175</v>
      </c>
      <c r="U129" s="65"/>
    </row>
    <row r="130" spans="1:21" ht="12.75" customHeight="1" x14ac:dyDescent="0.15">
      <c r="A130" s="68"/>
      <c r="B130" s="69"/>
      <c r="C130" s="69"/>
      <c r="D130" s="69"/>
      <c r="E130" s="69"/>
      <c r="F130" s="69"/>
      <c r="G130" s="69"/>
      <c r="H130" s="69"/>
      <c r="I130" s="69"/>
      <c r="J130" s="69"/>
      <c r="K130" s="69"/>
      <c r="L130" s="69"/>
      <c r="M130" s="69"/>
      <c r="N130" s="69"/>
      <c r="O130" s="65"/>
      <c r="P130" s="70" t="s">
        <v>3176</v>
      </c>
      <c r="Q130" s="65"/>
      <c r="R130" s="71">
        <v>31472</v>
      </c>
      <c r="S130" s="65"/>
      <c r="T130" s="70" t="s">
        <v>3177</v>
      </c>
      <c r="U130" s="65"/>
    </row>
    <row r="131" spans="1:21" ht="12.75" customHeight="1" x14ac:dyDescent="0.15">
      <c r="A131" s="68"/>
      <c r="B131" s="69"/>
      <c r="C131" s="69"/>
      <c r="D131" s="69"/>
      <c r="E131" s="69"/>
      <c r="F131" s="69"/>
      <c r="G131" s="69"/>
      <c r="H131" s="69"/>
      <c r="I131" s="69"/>
      <c r="J131" s="69"/>
      <c r="K131" s="69"/>
      <c r="L131" s="69"/>
      <c r="M131" s="69"/>
      <c r="N131" s="69"/>
      <c r="O131" s="65"/>
      <c r="P131" s="70" t="s">
        <v>3178</v>
      </c>
      <c r="Q131" s="65"/>
      <c r="R131" s="71">
        <v>31872</v>
      </c>
      <c r="S131" s="65"/>
      <c r="T131" s="70" t="s">
        <v>3179</v>
      </c>
      <c r="U131" s="65"/>
    </row>
    <row r="132" spans="1:21" ht="13.5" customHeight="1" x14ac:dyDescent="0.15">
      <c r="A132" s="68"/>
      <c r="B132" s="69"/>
      <c r="C132" s="69"/>
      <c r="D132" s="69"/>
      <c r="E132" s="69"/>
      <c r="F132" s="69"/>
      <c r="G132" s="69"/>
      <c r="H132" s="69"/>
      <c r="I132" s="69"/>
      <c r="J132" s="69"/>
      <c r="K132" s="69"/>
      <c r="L132" s="69"/>
      <c r="M132" s="69"/>
      <c r="N132" s="69"/>
      <c r="O132" s="65"/>
      <c r="P132" s="70" t="s">
        <v>3180</v>
      </c>
      <c r="Q132" s="65"/>
      <c r="R132" s="71">
        <v>33005</v>
      </c>
      <c r="S132" s="65"/>
      <c r="T132" s="70" t="s">
        <v>3181</v>
      </c>
      <c r="U132" s="65"/>
    </row>
    <row r="133" spans="1:21" ht="25.5" customHeight="1" x14ac:dyDescent="0.15">
      <c r="A133" s="61">
        <v>1008</v>
      </c>
      <c r="B133" s="67" t="s">
        <v>3182</v>
      </c>
      <c r="C133" s="65"/>
      <c r="D133" s="66">
        <v>1930</v>
      </c>
      <c r="E133" s="69"/>
      <c r="F133" s="65"/>
      <c r="G133" s="67" t="s">
        <v>3183</v>
      </c>
      <c r="H133" s="65"/>
      <c r="I133" s="73" t="s">
        <v>3184</v>
      </c>
      <c r="J133" s="65"/>
      <c r="K133" s="55" t="s">
        <v>3185</v>
      </c>
      <c r="L133" s="67" t="s">
        <v>3186</v>
      </c>
      <c r="M133" s="65"/>
      <c r="N133" s="67" t="s">
        <v>3187</v>
      </c>
      <c r="O133" s="65"/>
      <c r="P133" s="67" t="s">
        <v>3188</v>
      </c>
      <c r="Q133" s="65"/>
      <c r="R133" s="73" t="s">
        <v>3189</v>
      </c>
      <c r="S133" s="65"/>
      <c r="T133" s="67" t="s">
        <v>3190</v>
      </c>
      <c r="U133" s="65"/>
    </row>
    <row r="134" spans="1:21" ht="12.75" customHeight="1" x14ac:dyDescent="0.15">
      <c r="A134" s="68"/>
      <c r="B134" s="69"/>
      <c r="C134" s="69"/>
      <c r="D134" s="69"/>
      <c r="E134" s="69"/>
      <c r="F134" s="69"/>
      <c r="G134" s="69"/>
      <c r="H134" s="69"/>
      <c r="I134" s="69"/>
      <c r="J134" s="69"/>
      <c r="K134" s="69"/>
      <c r="L134" s="69"/>
      <c r="M134" s="69"/>
      <c r="N134" s="69"/>
      <c r="O134" s="65"/>
      <c r="P134" s="70" t="s">
        <v>3191</v>
      </c>
      <c r="Q134" s="65"/>
      <c r="R134" s="71">
        <v>30416</v>
      </c>
      <c r="S134" s="65"/>
      <c r="T134" s="70" t="s">
        <v>3192</v>
      </c>
      <c r="U134" s="65"/>
    </row>
    <row r="135" spans="1:21" ht="12.75" customHeight="1" x14ac:dyDescent="0.15">
      <c r="A135" s="68"/>
      <c r="B135" s="69"/>
      <c r="C135" s="69"/>
      <c r="D135" s="69"/>
      <c r="E135" s="69"/>
      <c r="F135" s="69"/>
      <c r="G135" s="69"/>
      <c r="H135" s="69"/>
      <c r="I135" s="69"/>
      <c r="J135" s="69"/>
      <c r="K135" s="69"/>
      <c r="L135" s="69"/>
      <c r="M135" s="69"/>
      <c r="N135" s="69"/>
      <c r="O135" s="65"/>
      <c r="P135" s="70" t="s">
        <v>3193</v>
      </c>
      <c r="Q135" s="65"/>
      <c r="R135" s="71">
        <v>30834</v>
      </c>
      <c r="S135" s="65"/>
      <c r="T135" s="70" t="s">
        <v>3194</v>
      </c>
      <c r="U135" s="65"/>
    </row>
    <row r="136" spans="1:21" ht="13.5" customHeight="1" x14ac:dyDescent="0.15">
      <c r="A136" s="68"/>
      <c r="B136" s="69"/>
      <c r="C136" s="69"/>
      <c r="D136" s="69"/>
      <c r="E136" s="69"/>
      <c r="F136" s="69"/>
      <c r="G136" s="69"/>
      <c r="H136" s="69"/>
      <c r="I136" s="69"/>
      <c r="J136" s="69"/>
      <c r="K136" s="69"/>
      <c r="L136" s="69"/>
      <c r="M136" s="69"/>
      <c r="N136" s="69"/>
      <c r="O136" s="65"/>
      <c r="P136" s="70" t="s">
        <v>3195</v>
      </c>
      <c r="Q136" s="65"/>
      <c r="R136" s="71">
        <v>31765</v>
      </c>
      <c r="S136" s="65"/>
      <c r="T136" s="70" t="s">
        <v>3196</v>
      </c>
      <c r="U136" s="65"/>
    </row>
    <row r="137" spans="1:21" ht="12.75" customHeight="1" x14ac:dyDescent="0.15">
      <c r="A137" s="68"/>
      <c r="B137" s="69"/>
      <c r="C137" s="69"/>
      <c r="D137" s="69"/>
      <c r="E137" s="69"/>
      <c r="F137" s="69"/>
      <c r="G137" s="69"/>
      <c r="H137" s="69"/>
      <c r="I137" s="69"/>
      <c r="J137" s="69"/>
      <c r="K137" s="69"/>
      <c r="L137" s="69"/>
      <c r="M137" s="69"/>
      <c r="N137" s="69"/>
      <c r="O137" s="65"/>
      <c r="P137" s="70" t="s">
        <v>3197</v>
      </c>
      <c r="Q137" s="65"/>
      <c r="R137" s="71">
        <v>31872</v>
      </c>
      <c r="S137" s="65"/>
      <c r="T137" s="70" t="s">
        <v>3198</v>
      </c>
      <c r="U137" s="65"/>
    </row>
    <row r="138" spans="1:21" ht="12.75" customHeight="1" x14ac:dyDescent="0.15">
      <c r="A138" s="68"/>
      <c r="B138" s="69"/>
      <c r="C138" s="69"/>
      <c r="D138" s="69"/>
      <c r="E138" s="69"/>
      <c r="F138" s="69"/>
      <c r="G138" s="69"/>
      <c r="H138" s="69"/>
      <c r="I138" s="69"/>
      <c r="J138" s="69"/>
      <c r="K138" s="69"/>
      <c r="L138" s="69"/>
      <c r="M138" s="69"/>
      <c r="N138" s="69"/>
      <c r="O138" s="65"/>
      <c r="P138" s="70" t="s">
        <v>3199</v>
      </c>
      <c r="Q138" s="65"/>
      <c r="R138" s="71">
        <v>36083</v>
      </c>
      <c r="S138" s="65"/>
      <c r="T138" s="70" t="s">
        <v>3200</v>
      </c>
      <c r="U138" s="65"/>
    </row>
    <row r="139" spans="1:21" ht="12.75" customHeight="1" x14ac:dyDescent="0.15">
      <c r="A139" s="61">
        <v>1009</v>
      </c>
      <c r="B139" s="70" t="s">
        <v>3201</v>
      </c>
      <c r="C139" s="65"/>
      <c r="D139" s="76">
        <v>1925</v>
      </c>
      <c r="E139" s="69"/>
      <c r="F139" s="65"/>
      <c r="G139" s="70" t="s">
        <v>3202</v>
      </c>
      <c r="H139" s="65"/>
      <c r="I139" s="70" t="s">
        <v>3203</v>
      </c>
      <c r="J139" s="65"/>
      <c r="K139" s="56" t="s">
        <v>3204</v>
      </c>
      <c r="L139" s="70" t="s">
        <v>3205</v>
      </c>
      <c r="M139" s="65"/>
      <c r="N139" s="70" t="s">
        <v>3206</v>
      </c>
      <c r="O139" s="65"/>
      <c r="P139" s="70" t="s">
        <v>3207</v>
      </c>
      <c r="Q139" s="65"/>
      <c r="R139" s="70" t="s">
        <v>3208</v>
      </c>
      <c r="S139" s="65"/>
      <c r="T139" s="70" t="s">
        <v>3209</v>
      </c>
      <c r="U139" s="65"/>
    </row>
    <row r="140" spans="1:21" ht="25.5" customHeight="1" x14ac:dyDescent="0.15">
      <c r="A140" s="75"/>
      <c r="B140" s="69"/>
      <c r="C140" s="69"/>
      <c r="D140" s="69"/>
      <c r="E140" s="69"/>
      <c r="F140" s="69"/>
      <c r="G140" s="69"/>
      <c r="H140" s="69"/>
      <c r="I140" s="69"/>
      <c r="J140" s="69"/>
      <c r="K140" s="69"/>
      <c r="L140" s="69"/>
      <c r="M140" s="69"/>
      <c r="N140" s="69"/>
      <c r="O140" s="65"/>
      <c r="P140" s="67" t="s">
        <v>3210</v>
      </c>
      <c r="Q140" s="65"/>
      <c r="R140" s="70" t="s">
        <v>3211</v>
      </c>
      <c r="S140" s="65"/>
      <c r="T140" s="67" t="s">
        <v>3212</v>
      </c>
      <c r="U140" s="65"/>
    </row>
    <row r="141" spans="1:21" ht="12.75" customHeight="1" x14ac:dyDescent="0.15">
      <c r="A141" s="68"/>
      <c r="B141" s="69"/>
      <c r="C141" s="69"/>
      <c r="D141" s="69"/>
      <c r="E141" s="69"/>
      <c r="F141" s="69"/>
      <c r="G141" s="69"/>
      <c r="H141" s="69"/>
      <c r="I141" s="69"/>
      <c r="J141" s="69"/>
      <c r="K141" s="69"/>
      <c r="L141" s="69"/>
      <c r="M141" s="69"/>
      <c r="N141" s="69"/>
      <c r="O141" s="65"/>
      <c r="P141" s="70" t="s">
        <v>3213</v>
      </c>
      <c r="Q141" s="65"/>
      <c r="R141" s="71">
        <v>31503</v>
      </c>
      <c r="S141" s="65"/>
      <c r="T141" s="70" t="s">
        <v>3214</v>
      </c>
      <c r="U141" s="65"/>
    </row>
    <row r="142" spans="1:21" ht="12.75" customHeight="1" x14ac:dyDescent="0.15">
      <c r="A142" s="68"/>
      <c r="B142" s="69"/>
      <c r="C142" s="69"/>
      <c r="D142" s="69"/>
      <c r="E142" s="69"/>
      <c r="F142" s="69"/>
      <c r="G142" s="69"/>
      <c r="H142" s="69"/>
      <c r="I142" s="69"/>
      <c r="J142" s="69"/>
      <c r="K142" s="69"/>
      <c r="L142" s="69"/>
      <c r="M142" s="69"/>
      <c r="N142" s="69"/>
      <c r="O142" s="65"/>
      <c r="P142" s="70" t="s">
        <v>3215</v>
      </c>
      <c r="Q142" s="65"/>
      <c r="R142" s="71">
        <v>31872</v>
      </c>
      <c r="S142" s="65"/>
      <c r="T142" s="70" t="s">
        <v>3216</v>
      </c>
      <c r="U142" s="65"/>
    </row>
    <row r="143" spans="1:21" ht="12.75" customHeight="1" x14ac:dyDescent="0.15">
      <c r="A143" s="68"/>
      <c r="B143" s="69"/>
      <c r="C143" s="69"/>
      <c r="D143" s="69"/>
      <c r="E143" s="69"/>
      <c r="F143" s="69"/>
      <c r="G143" s="69"/>
      <c r="H143" s="69"/>
      <c r="I143" s="69"/>
      <c r="J143" s="69"/>
      <c r="K143" s="69"/>
      <c r="L143" s="69"/>
      <c r="M143" s="69"/>
      <c r="N143" s="69"/>
      <c r="O143" s="65"/>
      <c r="P143" s="70" t="s">
        <v>3217</v>
      </c>
      <c r="Q143" s="65"/>
      <c r="R143" s="71">
        <v>33144</v>
      </c>
      <c r="S143" s="65"/>
      <c r="T143" s="70" t="s">
        <v>3218</v>
      </c>
      <c r="U143" s="65"/>
    </row>
    <row r="144" spans="1:21" ht="25.5" customHeight="1" x14ac:dyDescent="0.15">
      <c r="A144" s="61">
        <v>1010</v>
      </c>
      <c r="B144" s="67" t="s">
        <v>3219</v>
      </c>
      <c r="C144" s="65"/>
      <c r="D144" s="66">
        <v>1928</v>
      </c>
      <c r="E144" s="69"/>
      <c r="F144" s="65"/>
      <c r="G144" s="67" t="s">
        <v>3220</v>
      </c>
      <c r="H144" s="65"/>
      <c r="I144" s="70" t="s">
        <v>3221</v>
      </c>
      <c r="J144" s="65"/>
      <c r="K144" s="55" t="s">
        <v>3222</v>
      </c>
      <c r="L144" s="67" t="s">
        <v>3223</v>
      </c>
      <c r="M144" s="65"/>
      <c r="N144" s="67" t="s">
        <v>3224</v>
      </c>
      <c r="O144" s="65"/>
      <c r="P144" s="67" t="s">
        <v>3225</v>
      </c>
      <c r="Q144" s="65"/>
      <c r="R144" s="70" t="s">
        <v>3226</v>
      </c>
      <c r="S144" s="65"/>
      <c r="T144" s="67" t="s">
        <v>3227</v>
      </c>
      <c r="U144" s="65"/>
    </row>
    <row r="145" spans="1:21" ht="25.5" customHeight="1" x14ac:dyDescent="0.15">
      <c r="A145" s="75"/>
      <c r="B145" s="69"/>
      <c r="C145" s="69"/>
      <c r="D145" s="69"/>
      <c r="E145" s="69"/>
      <c r="F145" s="69"/>
      <c r="G145" s="69"/>
      <c r="H145" s="69"/>
      <c r="I145" s="69"/>
      <c r="J145" s="69"/>
      <c r="K145" s="69"/>
      <c r="L145" s="69"/>
      <c r="M145" s="69"/>
      <c r="N145" s="69"/>
      <c r="O145" s="65"/>
      <c r="P145" s="67" t="s">
        <v>3228</v>
      </c>
      <c r="Q145" s="65"/>
      <c r="R145" s="73" t="s">
        <v>3229</v>
      </c>
      <c r="S145" s="65"/>
      <c r="T145" s="67" t="s">
        <v>3230</v>
      </c>
      <c r="U145" s="65"/>
    </row>
    <row r="146" spans="1:21" ht="12.75" customHeight="1" x14ac:dyDescent="0.15">
      <c r="A146" s="68"/>
      <c r="B146" s="69"/>
      <c r="C146" s="69"/>
      <c r="D146" s="69"/>
      <c r="E146" s="69"/>
      <c r="F146" s="69"/>
      <c r="G146" s="69"/>
      <c r="H146" s="69"/>
      <c r="I146" s="69"/>
      <c r="J146" s="69"/>
      <c r="K146" s="69"/>
      <c r="L146" s="69"/>
      <c r="M146" s="69"/>
      <c r="N146" s="69"/>
      <c r="O146" s="65"/>
      <c r="P146" s="70" t="s">
        <v>3231</v>
      </c>
      <c r="Q146" s="65"/>
      <c r="R146" s="71">
        <v>31503</v>
      </c>
      <c r="S146" s="65"/>
      <c r="T146" s="70" t="s">
        <v>3232</v>
      </c>
      <c r="U146" s="65"/>
    </row>
    <row r="147" spans="1:21" ht="12.75" customHeight="1" x14ac:dyDescent="0.15">
      <c r="A147" s="68"/>
      <c r="B147" s="69"/>
      <c r="C147" s="69"/>
      <c r="D147" s="69"/>
      <c r="E147" s="69"/>
      <c r="F147" s="69"/>
      <c r="G147" s="69"/>
      <c r="H147" s="69"/>
      <c r="I147" s="69"/>
      <c r="J147" s="69"/>
      <c r="K147" s="69"/>
      <c r="L147" s="69"/>
      <c r="M147" s="69"/>
      <c r="N147" s="69"/>
      <c r="O147" s="65"/>
      <c r="P147" s="70" t="s">
        <v>3233</v>
      </c>
      <c r="Q147" s="65"/>
      <c r="R147" s="71">
        <v>31872</v>
      </c>
      <c r="S147" s="65"/>
      <c r="T147" s="70" t="s">
        <v>3234</v>
      </c>
      <c r="U147" s="65"/>
    </row>
    <row r="148" spans="1:21" ht="13.5" customHeight="1" x14ac:dyDescent="0.15">
      <c r="A148" s="68"/>
      <c r="B148" s="69"/>
      <c r="C148" s="69"/>
      <c r="D148" s="69"/>
      <c r="E148" s="69"/>
      <c r="F148" s="69"/>
      <c r="G148" s="69"/>
      <c r="H148" s="69"/>
      <c r="I148" s="69"/>
      <c r="J148" s="69"/>
      <c r="K148" s="69"/>
      <c r="L148" s="69"/>
      <c r="M148" s="69"/>
      <c r="N148" s="69"/>
      <c r="O148" s="65"/>
      <c r="P148" s="70" t="s">
        <v>3235</v>
      </c>
      <c r="Q148" s="65"/>
      <c r="R148" s="71">
        <v>34077</v>
      </c>
      <c r="S148" s="65"/>
      <c r="T148" s="70" t="s">
        <v>3236</v>
      </c>
      <c r="U148" s="65"/>
    </row>
    <row r="149" spans="1:21" ht="25.5" customHeight="1" x14ac:dyDescent="0.15">
      <c r="A149" s="61">
        <v>1011</v>
      </c>
      <c r="B149" s="67" t="s">
        <v>3237</v>
      </c>
      <c r="C149" s="65"/>
      <c r="D149" s="66">
        <v>1931</v>
      </c>
      <c r="E149" s="69"/>
      <c r="F149" s="65"/>
      <c r="G149" s="67" t="s">
        <v>3238</v>
      </c>
      <c r="H149" s="65"/>
      <c r="I149" s="73" t="s">
        <v>3239</v>
      </c>
      <c r="J149" s="65"/>
      <c r="K149" s="55" t="s">
        <v>3240</v>
      </c>
      <c r="L149" s="67" t="s">
        <v>3241</v>
      </c>
      <c r="M149" s="65"/>
      <c r="N149" s="67" t="s">
        <v>3242</v>
      </c>
      <c r="O149" s="65"/>
      <c r="P149" s="67" t="s">
        <v>3243</v>
      </c>
      <c r="Q149" s="65"/>
      <c r="R149" s="73" t="s">
        <v>3244</v>
      </c>
      <c r="S149" s="65"/>
      <c r="T149" s="67" t="s">
        <v>3245</v>
      </c>
      <c r="U149" s="65"/>
    </row>
    <row r="150" spans="1:21" ht="25.5" customHeight="1" x14ac:dyDescent="0.15">
      <c r="A150" s="75"/>
      <c r="B150" s="69"/>
      <c r="C150" s="69"/>
      <c r="D150" s="69"/>
      <c r="E150" s="69"/>
      <c r="F150" s="69"/>
      <c r="G150" s="69"/>
      <c r="H150" s="69"/>
      <c r="I150" s="69"/>
      <c r="J150" s="69"/>
      <c r="K150" s="69"/>
      <c r="L150" s="69"/>
      <c r="M150" s="69"/>
      <c r="N150" s="69"/>
      <c r="O150" s="65"/>
      <c r="P150" s="67" t="s">
        <v>3246</v>
      </c>
      <c r="Q150" s="65"/>
      <c r="R150" s="73" t="s">
        <v>3247</v>
      </c>
      <c r="S150" s="65"/>
      <c r="T150" s="67" t="s">
        <v>3248</v>
      </c>
      <c r="U150" s="65"/>
    </row>
    <row r="151" spans="1:21" ht="12.75" customHeight="1" x14ac:dyDescent="0.15">
      <c r="A151" s="68"/>
      <c r="B151" s="69"/>
      <c r="C151" s="69"/>
      <c r="D151" s="69"/>
      <c r="E151" s="69"/>
      <c r="F151" s="69"/>
      <c r="G151" s="69"/>
      <c r="H151" s="69"/>
      <c r="I151" s="69"/>
      <c r="J151" s="69"/>
      <c r="K151" s="69"/>
      <c r="L151" s="69"/>
      <c r="M151" s="69"/>
      <c r="N151" s="69"/>
      <c r="O151" s="65"/>
      <c r="P151" s="70" t="s">
        <v>3249</v>
      </c>
      <c r="Q151" s="65"/>
      <c r="R151" s="71">
        <v>31344</v>
      </c>
      <c r="S151" s="65"/>
      <c r="T151" s="70" t="s">
        <v>3250</v>
      </c>
      <c r="U151" s="65"/>
    </row>
    <row r="152" spans="1:21" ht="12.75" customHeight="1" x14ac:dyDescent="0.15">
      <c r="A152" s="68"/>
      <c r="B152" s="69"/>
      <c r="C152" s="69"/>
      <c r="D152" s="69"/>
      <c r="E152" s="69"/>
      <c r="F152" s="69"/>
      <c r="G152" s="69"/>
      <c r="H152" s="69"/>
      <c r="I152" s="69"/>
      <c r="J152" s="69"/>
      <c r="K152" s="69"/>
      <c r="L152" s="69"/>
      <c r="M152" s="69"/>
      <c r="N152" s="69"/>
      <c r="O152" s="65"/>
      <c r="P152" s="70" t="s">
        <v>3251</v>
      </c>
      <c r="Q152" s="65"/>
      <c r="R152" s="71">
        <v>31872</v>
      </c>
      <c r="S152" s="65"/>
      <c r="T152" s="70" t="s">
        <v>3252</v>
      </c>
      <c r="U152" s="65"/>
    </row>
    <row r="153" spans="1:21" ht="13.5" customHeight="1" x14ac:dyDescent="0.15">
      <c r="A153" s="68"/>
      <c r="B153" s="69"/>
      <c r="C153" s="69"/>
      <c r="D153" s="69"/>
      <c r="E153" s="69"/>
      <c r="F153" s="69"/>
      <c r="G153" s="69"/>
      <c r="H153" s="69"/>
      <c r="I153" s="69"/>
      <c r="J153" s="69"/>
      <c r="K153" s="69"/>
      <c r="L153" s="69"/>
      <c r="M153" s="69"/>
      <c r="N153" s="69"/>
      <c r="O153" s="65"/>
      <c r="P153" s="70" t="s">
        <v>3253</v>
      </c>
      <c r="Q153" s="65"/>
      <c r="R153" s="71">
        <v>32647</v>
      </c>
      <c r="S153" s="65"/>
      <c r="T153" s="70" t="s">
        <v>3254</v>
      </c>
      <c r="U153" s="65"/>
    </row>
    <row r="154" spans="1:21" ht="25.5" customHeight="1" x14ac:dyDescent="0.15">
      <c r="A154" s="61">
        <v>1012</v>
      </c>
      <c r="B154" s="67" t="s">
        <v>3255</v>
      </c>
      <c r="C154" s="65"/>
      <c r="D154" s="66">
        <v>1932</v>
      </c>
      <c r="E154" s="69"/>
      <c r="F154" s="65"/>
      <c r="G154" s="67" t="s">
        <v>3256</v>
      </c>
      <c r="H154" s="65"/>
      <c r="I154" s="73" t="s">
        <v>3257</v>
      </c>
      <c r="J154" s="65"/>
      <c r="K154" s="55" t="s">
        <v>3258</v>
      </c>
      <c r="L154" s="67" t="s">
        <v>3259</v>
      </c>
      <c r="M154" s="65"/>
      <c r="N154" s="67" t="s">
        <v>3260</v>
      </c>
      <c r="O154" s="65"/>
      <c r="P154" s="67" t="s">
        <v>3261</v>
      </c>
      <c r="Q154" s="65"/>
      <c r="R154" s="73" t="s">
        <v>3262</v>
      </c>
      <c r="S154" s="65"/>
      <c r="T154" s="67" t="s">
        <v>3263</v>
      </c>
      <c r="U154" s="65"/>
    </row>
    <row r="155" spans="1:21" ht="24.75" customHeight="1" x14ac:dyDescent="0.15">
      <c r="A155" s="75"/>
      <c r="B155" s="69"/>
      <c r="C155" s="69"/>
      <c r="D155" s="69"/>
      <c r="E155" s="69"/>
      <c r="F155" s="69"/>
      <c r="G155" s="69"/>
      <c r="H155" s="69"/>
      <c r="I155" s="69"/>
      <c r="J155" s="69"/>
      <c r="K155" s="69"/>
      <c r="L155" s="69"/>
      <c r="M155" s="69"/>
      <c r="N155" s="69"/>
      <c r="O155" s="65"/>
      <c r="P155" s="67" t="s">
        <v>3264</v>
      </c>
      <c r="Q155" s="65"/>
      <c r="R155" s="70" t="s">
        <v>3265</v>
      </c>
      <c r="S155" s="65"/>
      <c r="T155" s="67" t="s">
        <v>3266</v>
      </c>
      <c r="U155" s="65"/>
    </row>
    <row r="156" spans="1:21" ht="12.75" customHeight="1" x14ac:dyDescent="0.15">
      <c r="A156" s="68"/>
      <c r="B156" s="69"/>
      <c r="C156" s="69"/>
      <c r="D156" s="69"/>
      <c r="E156" s="69"/>
      <c r="F156" s="69"/>
      <c r="G156" s="69"/>
      <c r="H156" s="69"/>
      <c r="I156" s="69"/>
      <c r="J156" s="69"/>
      <c r="K156" s="69"/>
      <c r="L156" s="69"/>
      <c r="M156" s="69"/>
      <c r="N156" s="69"/>
      <c r="O156" s="65"/>
      <c r="P156" s="70" t="s">
        <v>3267</v>
      </c>
      <c r="Q156" s="65"/>
      <c r="R156" s="71">
        <v>31503</v>
      </c>
      <c r="S156" s="65"/>
      <c r="T156" s="70" t="s">
        <v>3268</v>
      </c>
      <c r="U156" s="65"/>
    </row>
    <row r="157" spans="1:21" ht="13.5" customHeight="1" x14ac:dyDescent="0.15">
      <c r="A157" s="68"/>
      <c r="B157" s="69"/>
      <c r="C157" s="69"/>
      <c r="D157" s="69"/>
      <c r="E157" s="69"/>
      <c r="F157" s="69"/>
      <c r="G157" s="69"/>
      <c r="H157" s="69"/>
      <c r="I157" s="69"/>
      <c r="J157" s="69"/>
      <c r="K157" s="69"/>
      <c r="L157" s="69"/>
      <c r="M157" s="69"/>
      <c r="N157" s="69"/>
      <c r="O157" s="65"/>
      <c r="P157" s="70" t="s">
        <v>3269</v>
      </c>
      <c r="Q157" s="65"/>
      <c r="R157" s="71">
        <v>31872</v>
      </c>
      <c r="S157" s="65"/>
      <c r="T157" s="70" t="s">
        <v>3270</v>
      </c>
      <c r="U157" s="65"/>
    </row>
    <row r="158" spans="1:21" ht="12.75" customHeight="1" x14ac:dyDescent="0.15">
      <c r="A158" s="68"/>
      <c r="B158" s="69"/>
      <c r="C158" s="69"/>
      <c r="D158" s="69"/>
      <c r="E158" s="69"/>
      <c r="F158" s="69"/>
      <c r="G158" s="69"/>
      <c r="H158" s="69"/>
      <c r="I158" s="69"/>
      <c r="J158" s="69"/>
      <c r="K158" s="69"/>
      <c r="L158" s="69"/>
      <c r="M158" s="69"/>
      <c r="N158" s="69"/>
      <c r="O158" s="65"/>
      <c r="P158" s="70" t="s">
        <v>3271</v>
      </c>
      <c r="Q158" s="65"/>
      <c r="R158" s="71">
        <v>35997</v>
      </c>
      <c r="S158" s="65"/>
      <c r="T158" s="70" t="s">
        <v>3272</v>
      </c>
      <c r="U158" s="65"/>
    </row>
    <row r="159" spans="1:21" ht="21" customHeight="1" x14ac:dyDescent="0.15">
      <c r="A159" s="60" t="s">
        <v>3273</v>
      </c>
      <c r="B159" s="72" t="s">
        <v>3274</v>
      </c>
      <c r="C159" s="65"/>
      <c r="D159" s="72" t="s">
        <v>3275</v>
      </c>
      <c r="E159" s="69"/>
      <c r="F159" s="65"/>
      <c r="G159" s="72" t="s">
        <v>3276</v>
      </c>
      <c r="H159" s="65"/>
      <c r="I159" s="72" t="s">
        <v>3277</v>
      </c>
      <c r="J159" s="65"/>
      <c r="K159" s="60" t="s">
        <v>3278</v>
      </c>
      <c r="L159" s="72" t="s">
        <v>3279</v>
      </c>
      <c r="M159" s="65"/>
      <c r="N159" s="72" t="s">
        <v>3280</v>
      </c>
      <c r="O159" s="65"/>
      <c r="P159" s="72" t="s">
        <v>3281</v>
      </c>
      <c r="Q159" s="65"/>
      <c r="R159" s="72" t="s">
        <v>3282</v>
      </c>
      <c r="S159" s="65"/>
      <c r="T159" s="72" t="s">
        <v>3283</v>
      </c>
      <c r="U159" s="65"/>
    </row>
    <row r="160" spans="1:21" ht="13.5" customHeight="1" x14ac:dyDescent="0.15">
      <c r="A160" s="61">
        <v>1013</v>
      </c>
      <c r="B160" s="70" t="s">
        <v>3284</v>
      </c>
      <c r="C160" s="65"/>
      <c r="D160" s="70" t="s">
        <v>3285</v>
      </c>
      <c r="E160" s="69"/>
      <c r="F160" s="65"/>
      <c r="G160" s="70" t="s">
        <v>3286</v>
      </c>
      <c r="H160" s="65"/>
      <c r="I160" s="70" t="s">
        <v>3287</v>
      </c>
      <c r="J160" s="65"/>
      <c r="K160" s="56" t="s">
        <v>3288</v>
      </c>
      <c r="L160" s="70" t="s">
        <v>3289</v>
      </c>
      <c r="M160" s="65"/>
      <c r="N160" s="70" t="s">
        <v>3290</v>
      </c>
      <c r="O160" s="65"/>
      <c r="P160" s="70" t="s">
        <v>3291</v>
      </c>
      <c r="Q160" s="65"/>
      <c r="R160" s="70" t="s">
        <v>3292</v>
      </c>
      <c r="S160" s="65"/>
      <c r="T160" s="70" t="s">
        <v>3293</v>
      </c>
      <c r="U160" s="65"/>
    </row>
    <row r="161" spans="1:21" ht="12.75" customHeight="1" x14ac:dyDescent="0.15">
      <c r="A161" s="68"/>
      <c r="B161" s="69"/>
      <c r="C161" s="69"/>
      <c r="D161" s="69"/>
      <c r="E161" s="69"/>
      <c r="F161" s="69"/>
      <c r="G161" s="69"/>
      <c r="H161" s="69"/>
      <c r="I161" s="69"/>
      <c r="J161" s="69"/>
      <c r="K161" s="69"/>
      <c r="L161" s="69"/>
      <c r="M161" s="69"/>
      <c r="N161" s="69"/>
      <c r="O161" s="65"/>
      <c r="P161" s="70" t="s">
        <v>3294</v>
      </c>
      <c r="Q161" s="65"/>
      <c r="R161" s="70" t="s">
        <v>3295</v>
      </c>
      <c r="S161" s="65"/>
      <c r="T161" s="70" t="s">
        <v>3296</v>
      </c>
      <c r="U161" s="65"/>
    </row>
    <row r="162" spans="1:21" ht="24.75" customHeight="1" x14ac:dyDescent="0.15">
      <c r="A162" s="75"/>
      <c r="B162" s="69"/>
      <c r="C162" s="69"/>
      <c r="D162" s="69"/>
      <c r="E162" s="69"/>
      <c r="F162" s="69"/>
      <c r="G162" s="69"/>
      <c r="H162" s="69"/>
      <c r="I162" s="69"/>
      <c r="J162" s="69"/>
      <c r="K162" s="69"/>
      <c r="L162" s="69"/>
      <c r="M162" s="69"/>
      <c r="N162" s="69"/>
      <c r="O162" s="65"/>
      <c r="P162" s="67" t="s">
        <v>3297</v>
      </c>
      <c r="Q162" s="65"/>
      <c r="R162" s="70" t="s">
        <v>3298</v>
      </c>
      <c r="S162" s="65"/>
      <c r="T162" s="67" t="s">
        <v>3299</v>
      </c>
      <c r="U162" s="65"/>
    </row>
    <row r="163" spans="1:21" ht="12.75" customHeight="1" x14ac:dyDescent="0.15">
      <c r="A163" s="68"/>
      <c r="B163" s="69"/>
      <c r="C163" s="69"/>
      <c r="D163" s="69"/>
      <c r="E163" s="69"/>
      <c r="F163" s="69"/>
      <c r="G163" s="69"/>
      <c r="H163" s="69"/>
      <c r="I163" s="69"/>
      <c r="J163" s="69"/>
      <c r="K163" s="69"/>
      <c r="L163" s="69"/>
      <c r="M163" s="69"/>
      <c r="N163" s="69"/>
      <c r="O163" s="65"/>
      <c r="P163" s="70" t="s">
        <v>3300</v>
      </c>
      <c r="Q163" s="65"/>
      <c r="R163" s="70" t="s">
        <v>3301</v>
      </c>
      <c r="S163" s="65"/>
      <c r="T163" s="70" t="s">
        <v>3302</v>
      </c>
      <c r="U163" s="65"/>
    </row>
    <row r="164" spans="1:21" ht="13.5" customHeight="1" x14ac:dyDescent="0.15">
      <c r="A164" s="61">
        <v>1014</v>
      </c>
      <c r="B164" s="70" t="s">
        <v>3303</v>
      </c>
      <c r="C164" s="65"/>
      <c r="D164" s="70" t="s">
        <v>3304</v>
      </c>
      <c r="E164" s="69"/>
      <c r="F164" s="65"/>
      <c r="G164" s="70" t="s">
        <v>3305</v>
      </c>
      <c r="H164" s="65"/>
      <c r="I164" s="70" t="s">
        <v>3306</v>
      </c>
      <c r="J164" s="65"/>
      <c r="K164" s="56" t="s">
        <v>3307</v>
      </c>
      <c r="L164" s="70" t="s">
        <v>3308</v>
      </c>
      <c r="M164" s="65"/>
      <c r="N164" s="70" t="s">
        <v>3309</v>
      </c>
      <c r="O164" s="65"/>
      <c r="P164" s="70" t="s">
        <v>3310</v>
      </c>
      <c r="Q164" s="65"/>
      <c r="R164" s="70" t="s">
        <v>3311</v>
      </c>
      <c r="S164" s="65"/>
      <c r="T164" s="70" t="s">
        <v>3312</v>
      </c>
      <c r="U164" s="65"/>
    </row>
    <row r="165" spans="1:21" ht="12.75" customHeight="1" x14ac:dyDescent="0.15">
      <c r="A165" s="68"/>
      <c r="B165" s="69"/>
      <c r="C165" s="69"/>
      <c r="D165" s="69"/>
      <c r="E165" s="69"/>
      <c r="F165" s="69"/>
      <c r="G165" s="69"/>
      <c r="H165" s="69"/>
      <c r="I165" s="69"/>
      <c r="J165" s="69"/>
      <c r="K165" s="69"/>
      <c r="L165" s="69"/>
      <c r="M165" s="69"/>
      <c r="N165" s="69"/>
      <c r="O165" s="65"/>
      <c r="P165" s="70" t="s">
        <v>3313</v>
      </c>
      <c r="Q165" s="65"/>
      <c r="R165" s="70" t="s">
        <v>3314</v>
      </c>
      <c r="S165" s="65"/>
      <c r="T165" s="70" t="s">
        <v>3315</v>
      </c>
      <c r="U165" s="65"/>
    </row>
    <row r="166" spans="1:21" ht="12.75" customHeight="1" x14ac:dyDescent="0.15">
      <c r="A166" s="68"/>
      <c r="B166" s="69"/>
      <c r="C166" s="69"/>
      <c r="D166" s="69"/>
      <c r="E166" s="69"/>
      <c r="F166" s="69"/>
      <c r="G166" s="69"/>
      <c r="H166" s="69"/>
      <c r="I166" s="69"/>
      <c r="J166" s="69"/>
      <c r="K166" s="69"/>
      <c r="L166" s="69"/>
      <c r="M166" s="69"/>
      <c r="N166" s="69"/>
      <c r="O166" s="65"/>
      <c r="P166" s="70" t="s">
        <v>3316</v>
      </c>
      <c r="Q166" s="65"/>
      <c r="R166" s="70" t="s">
        <v>3317</v>
      </c>
      <c r="S166" s="65"/>
      <c r="T166" s="70" t="s">
        <v>3318</v>
      </c>
      <c r="U166" s="65"/>
    </row>
    <row r="167" spans="1:21" ht="25.5" customHeight="1" x14ac:dyDescent="0.15">
      <c r="A167" s="75"/>
      <c r="B167" s="69"/>
      <c r="C167" s="69"/>
      <c r="D167" s="69"/>
      <c r="E167" s="69"/>
      <c r="F167" s="69"/>
      <c r="G167" s="69"/>
      <c r="H167" s="69"/>
      <c r="I167" s="69"/>
      <c r="J167" s="69"/>
      <c r="K167" s="69"/>
      <c r="L167" s="69"/>
      <c r="M167" s="69"/>
      <c r="N167" s="69"/>
      <c r="O167" s="65"/>
      <c r="P167" s="67" t="s">
        <v>3319</v>
      </c>
      <c r="Q167" s="65"/>
      <c r="R167" s="70" t="s">
        <v>3320</v>
      </c>
      <c r="S167" s="65"/>
      <c r="T167" s="67" t="s">
        <v>3321</v>
      </c>
      <c r="U167" s="65"/>
    </row>
    <row r="168" spans="1:21" ht="25.5" customHeight="1" x14ac:dyDescent="0.15">
      <c r="A168" s="75"/>
      <c r="B168" s="69"/>
      <c r="C168" s="69"/>
      <c r="D168" s="69"/>
      <c r="E168" s="69"/>
      <c r="F168" s="69"/>
      <c r="G168" s="69"/>
      <c r="H168" s="69"/>
      <c r="I168" s="69"/>
      <c r="J168" s="69"/>
      <c r="K168" s="69"/>
      <c r="L168" s="69"/>
      <c r="M168" s="69"/>
      <c r="N168" s="69"/>
      <c r="O168" s="65"/>
      <c r="P168" s="67" t="s">
        <v>3322</v>
      </c>
      <c r="Q168" s="65"/>
      <c r="R168" s="70" t="s">
        <v>3323</v>
      </c>
      <c r="S168" s="65"/>
      <c r="T168" s="67" t="s">
        <v>3324</v>
      </c>
      <c r="U168" s="65"/>
    </row>
    <row r="169" spans="1:21" ht="12.75" customHeight="1" x14ac:dyDescent="0.15">
      <c r="A169" s="61">
        <v>1015</v>
      </c>
      <c r="B169" s="70" t="s">
        <v>3325</v>
      </c>
      <c r="C169" s="65"/>
      <c r="D169" s="70" t="s">
        <v>3326</v>
      </c>
      <c r="E169" s="69"/>
      <c r="F169" s="65"/>
      <c r="G169" s="70" t="s">
        <v>3327</v>
      </c>
      <c r="H169" s="65"/>
      <c r="I169" s="70" t="s">
        <v>3328</v>
      </c>
      <c r="J169" s="65"/>
      <c r="K169" s="56" t="s">
        <v>3329</v>
      </c>
      <c r="L169" s="70" t="s">
        <v>3330</v>
      </c>
      <c r="M169" s="65"/>
      <c r="N169" s="70" t="s">
        <v>3331</v>
      </c>
      <c r="O169" s="65"/>
      <c r="P169" s="70" t="s">
        <v>3332</v>
      </c>
      <c r="Q169" s="65"/>
      <c r="R169" s="70" t="s">
        <v>3333</v>
      </c>
      <c r="S169" s="65"/>
      <c r="T169" s="70" t="s">
        <v>3334</v>
      </c>
      <c r="U169" s="65"/>
    </row>
    <row r="170" spans="1:21" ht="12.75" customHeight="1" x14ac:dyDescent="0.15">
      <c r="A170" s="68"/>
      <c r="B170" s="69"/>
      <c r="C170" s="69"/>
      <c r="D170" s="69"/>
      <c r="E170" s="69"/>
      <c r="F170" s="69"/>
      <c r="G170" s="69"/>
      <c r="H170" s="69"/>
      <c r="I170" s="69"/>
      <c r="J170" s="69"/>
      <c r="K170" s="69"/>
      <c r="L170" s="69"/>
      <c r="M170" s="69"/>
      <c r="N170" s="69"/>
      <c r="O170" s="65"/>
      <c r="P170" s="70" t="s">
        <v>3335</v>
      </c>
      <c r="Q170" s="65"/>
      <c r="R170" s="70" t="s">
        <v>3336</v>
      </c>
      <c r="S170" s="65"/>
      <c r="T170" s="70" t="s">
        <v>3337</v>
      </c>
      <c r="U170" s="65"/>
    </row>
    <row r="171" spans="1:21" ht="12.75" customHeight="1" x14ac:dyDescent="0.15">
      <c r="A171" s="68"/>
      <c r="B171" s="69"/>
      <c r="C171" s="69"/>
      <c r="D171" s="69"/>
      <c r="E171" s="69"/>
      <c r="F171" s="69"/>
      <c r="G171" s="69"/>
      <c r="H171" s="69"/>
      <c r="I171" s="69"/>
      <c r="J171" s="69"/>
      <c r="K171" s="69"/>
      <c r="L171" s="69"/>
      <c r="M171" s="69"/>
      <c r="N171" s="69"/>
      <c r="O171" s="65"/>
      <c r="P171" s="70" t="s">
        <v>3338</v>
      </c>
      <c r="Q171" s="65"/>
      <c r="R171" s="70" t="s">
        <v>3339</v>
      </c>
      <c r="S171" s="65"/>
      <c r="T171" s="70" t="s">
        <v>3340</v>
      </c>
      <c r="U171" s="65"/>
    </row>
    <row r="172" spans="1:21" ht="25.5" customHeight="1" x14ac:dyDescent="0.15">
      <c r="A172" s="75"/>
      <c r="B172" s="69"/>
      <c r="C172" s="69"/>
      <c r="D172" s="69"/>
      <c r="E172" s="69"/>
      <c r="F172" s="69"/>
      <c r="G172" s="69"/>
      <c r="H172" s="69"/>
      <c r="I172" s="69"/>
      <c r="J172" s="69"/>
      <c r="K172" s="69"/>
      <c r="L172" s="69"/>
      <c r="M172" s="69"/>
      <c r="N172" s="69"/>
      <c r="O172" s="65"/>
      <c r="P172" s="67" t="s">
        <v>3341</v>
      </c>
      <c r="Q172" s="65"/>
      <c r="R172" s="70" t="s">
        <v>3342</v>
      </c>
      <c r="S172" s="65"/>
      <c r="T172" s="67" t="s">
        <v>3343</v>
      </c>
      <c r="U172" s="65"/>
    </row>
    <row r="173" spans="1:21" ht="12.75" customHeight="1" x14ac:dyDescent="0.15">
      <c r="A173" s="68"/>
      <c r="B173" s="69"/>
      <c r="C173" s="69"/>
      <c r="D173" s="69"/>
      <c r="E173" s="69"/>
      <c r="F173" s="69"/>
      <c r="G173" s="69"/>
      <c r="H173" s="69"/>
      <c r="I173" s="69"/>
      <c r="J173" s="69"/>
      <c r="K173" s="69"/>
      <c r="L173" s="69"/>
      <c r="M173" s="69"/>
      <c r="N173" s="69"/>
      <c r="O173" s="65"/>
      <c r="P173" s="70" t="s">
        <v>3344</v>
      </c>
      <c r="Q173" s="65"/>
      <c r="R173" s="71">
        <v>34675</v>
      </c>
      <c r="S173" s="65"/>
      <c r="T173" s="70" t="s">
        <v>3345</v>
      </c>
      <c r="U173" s="65"/>
    </row>
    <row r="174" spans="1:21" ht="12.75" customHeight="1" x14ac:dyDescent="0.15">
      <c r="A174" s="61">
        <v>1016</v>
      </c>
      <c r="B174" s="70" t="s">
        <v>3346</v>
      </c>
      <c r="C174" s="65"/>
      <c r="D174" s="76">
        <v>587075</v>
      </c>
      <c r="E174" s="69"/>
      <c r="F174" s="65"/>
      <c r="G174" s="70" t="s">
        <v>3347</v>
      </c>
      <c r="H174" s="65"/>
      <c r="I174" s="70" t="s">
        <v>3348</v>
      </c>
      <c r="J174" s="65"/>
      <c r="K174" s="56" t="s">
        <v>3349</v>
      </c>
      <c r="L174" s="70" t="s">
        <v>3350</v>
      </c>
      <c r="M174" s="65"/>
      <c r="N174" s="70" t="s">
        <v>3351</v>
      </c>
      <c r="O174" s="65"/>
      <c r="P174" s="70" t="s">
        <v>3352</v>
      </c>
      <c r="Q174" s="65"/>
      <c r="R174" s="70" t="s">
        <v>3353</v>
      </c>
      <c r="S174" s="65"/>
      <c r="T174" s="70" t="s">
        <v>3354</v>
      </c>
      <c r="U174" s="65"/>
    </row>
    <row r="175" spans="1:21" ht="24.75" customHeight="1" x14ac:dyDescent="0.15">
      <c r="A175" s="75"/>
      <c r="B175" s="69"/>
      <c r="C175" s="69"/>
      <c r="D175" s="69"/>
      <c r="E175" s="69"/>
      <c r="F175" s="69"/>
      <c r="G175" s="69"/>
      <c r="H175" s="69"/>
      <c r="I175" s="69"/>
      <c r="J175" s="69"/>
      <c r="K175" s="69"/>
      <c r="L175" s="69"/>
      <c r="M175" s="69"/>
      <c r="N175" s="69"/>
      <c r="O175" s="65"/>
      <c r="P175" s="67" t="s">
        <v>3355</v>
      </c>
      <c r="Q175" s="65"/>
      <c r="R175" s="70" t="s">
        <v>3356</v>
      </c>
      <c r="S175" s="65"/>
      <c r="T175" s="67" t="s">
        <v>3357</v>
      </c>
      <c r="U175" s="65"/>
    </row>
    <row r="176" spans="1:21" ht="25.5" customHeight="1" x14ac:dyDescent="0.15">
      <c r="A176" s="75"/>
      <c r="B176" s="69"/>
      <c r="C176" s="69"/>
      <c r="D176" s="69"/>
      <c r="E176" s="69"/>
      <c r="F176" s="69"/>
      <c r="G176" s="69"/>
      <c r="H176" s="69"/>
      <c r="I176" s="69"/>
      <c r="J176" s="69"/>
      <c r="K176" s="69"/>
      <c r="L176" s="69"/>
      <c r="M176" s="69"/>
      <c r="N176" s="69"/>
      <c r="O176" s="65"/>
      <c r="P176" s="67" t="s">
        <v>3358</v>
      </c>
      <c r="Q176" s="65"/>
      <c r="R176" s="70" t="s">
        <v>3359</v>
      </c>
      <c r="S176" s="65"/>
      <c r="T176" s="67" t="s">
        <v>3360</v>
      </c>
      <c r="U176" s="65"/>
    </row>
    <row r="177" spans="1:21" ht="13.5" customHeight="1" x14ac:dyDescent="0.15">
      <c r="A177" s="68"/>
      <c r="B177" s="69"/>
      <c r="C177" s="69"/>
      <c r="D177" s="69"/>
      <c r="E177" s="69"/>
      <c r="F177" s="69"/>
      <c r="G177" s="69"/>
      <c r="H177" s="69"/>
      <c r="I177" s="69"/>
      <c r="J177" s="69"/>
      <c r="K177" s="69"/>
      <c r="L177" s="69"/>
      <c r="M177" s="69"/>
      <c r="N177" s="69"/>
      <c r="O177" s="65"/>
      <c r="P177" s="70" t="s">
        <v>3361</v>
      </c>
      <c r="Q177" s="65"/>
      <c r="R177" s="71">
        <v>31872</v>
      </c>
      <c r="S177" s="65"/>
      <c r="T177" s="70" t="s">
        <v>3362</v>
      </c>
      <c r="U177" s="65"/>
    </row>
    <row r="178" spans="1:21" ht="12.75" customHeight="1" x14ac:dyDescent="0.15">
      <c r="A178" s="68"/>
      <c r="B178" s="69"/>
      <c r="C178" s="69"/>
      <c r="D178" s="69"/>
      <c r="E178" s="69"/>
      <c r="F178" s="69"/>
      <c r="G178" s="69"/>
      <c r="H178" s="69"/>
      <c r="I178" s="69"/>
      <c r="J178" s="69"/>
      <c r="K178" s="69"/>
      <c r="L178" s="69"/>
      <c r="M178" s="69"/>
      <c r="N178" s="69"/>
      <c r="O178" s="65"/>
      <c r="P178" s="70" t="s">
        <v>3363</v>
      </c>
      <c r="Q178" s="65"/>
      <c r="R178" s="71">
        <v>34081</v>
      </c>
      <c r="S178" s="65"/>
      <c r="T178" s="70" t="s">
        <v>3364</v>
      </c>
      <c r="U178" s="65"/>
    </row>
    <row r="179" spans="1:21" ht="24.75" customHeight="1" x14ac:dyDescent="0.15">
      <c r="A179" s="61">
        <v>1017</v>
      </c>
      <c r="B179" s="67" t="s">
        <v>3365</v>
      </c>
      <c r="C179" s="65"/>
      <c r="D179" s="66">
        <v>587076</v>
      </c>
      <c r="E179" s="69"/>
      <c r="F179" s="65"/>
      <c r="G179" s="67" t="s">
        <v>3366</v>
      </c>
      <c r="H179" s="65"/>
      <c r="I179" s="70" t="s">
        <v>3367</v>
      </c>
      <c r="J179" s="65"/>
      <c r="K179" s="55" t="s">
        <v>3368</v>
      </c>
      <c r="L179" s="67" t="s">
        <v>3369</v>
      </c>
      <c r="M179" s="65"/>
      <c r="N179" s="67" t="s">
        <v>3370</v>
      </c>
      <c r="O179" s="65"/>
      <c r="P179" s="67" t="s">
        <v>3371</v>
      </c>
      <c r="Q179" s="65"/>
      <c r="R179" s="70" t="s">
        <v>3372</v>
      </c>
      <c r="S179" s="65"/>
      <c r="T179" s="67" t="s">
        <v>3373</v>
      </c>
      <c r="U179" s="65"/>
    </row>
    <row r="180" spans="1:21" ht="12.75" customHeight="1" x14ac:dyDescent="0.15">
      <c r="A180" s="68"/>
      <c r="B180" s="69"/>
      <c r="C180" s="69"/>
      <c r="D180" s="69"/>
      <c r="E180" s="69"/>
      <c r="F180" s="69"/>
      <c r="G180" s="69"/>
      <c r="H180" s="69"/>
      <c r="I180" s="69"/>
      <c r="J180" s="69"/>
      <c r="K180" s="69"/>
      <c r="L180" s="69"/>
      <c r="M180" s="69"/>
      <c r="N180" s="69"/>
      <c r="O180" s="65"/>
      <c r="P180" s="70" t="s">
        <v>3374</v>
      </c>
      <c r="Q180" s="65"/>
      <c r="R180" s="70" t="s">
        <v>3375</v>
      </c>
      <c r="S180" s="65"/>
      <c r="T180" s="70" t="s">
        <v>3376</v>
      </c>
      <c r="U180" s="65"/>
    </row>
    <row r="181" spans="1:21" ht="25.5" customHeight="1" x14ac:dyDescent="0.15">
      <c r="A181" s="75"/>
      <c r="B181" s="69"/>
      <c r="C181" s="69"/>
      <c r="D181" s="69"/>
      <c r="E181" s="69"/>
      <c r="F181" s="69"/>
      <c r="G181" s="69"/>
      <c r="H181" s="69"/>
      <c r="I181" s="69"/>
      <c r="J181" s="69"/>
      <c r="K181" s="69"/>
      <c r="L181" s="69"/>
      <c r="M181" s="69"/>
      <c r="N181" s="69"/>
      <c r="O181" s="65"/>
      <c r="P181" s="67" t="s">
        <v>3377</v>
      </c>
      <c r="Q181" s="65"/>
      <c r="R181" s="70" t="s">
        <v>3378</v>
      </c>
      <c r="S181" s="65"/>
      <c r="T181" s="67" t="s">
        <v>3379</v>
      </c>
      <c r="U181" s="65"/>
    </row>
    <row r="182" spans="1:21" ht="12.75" customHeight="1" x14ac:dyDescent="0.15">
      <c r="A182" s="68"/>
      <c r="B182" s="69"/>
      <c r="C182" s="69"/>
      <c r="D182" s="69"/>
      <c r="E182" s="69"/>
      <c r="F182" s="69"/>
      <c r="G182" s="69"/>
      <c r="H182" s="69"/>
      <c r="I182" s="69"/>
      <c r="J182" s="69"/>
      <c r="K182" s="69"/>
      <c r="L182" s="69"/>
      <c r="M182" s="69"/>
      <c r="N182" s="69"/>
      <c r="O182" s="65"/>
      <c r="P182" s="70" t="s">
        <v>3380</v>
      </c>
      <c r="Q182" s="65"/>
      <c r="R182" s="71">
        <v>31872</v>
      </c>
      <c r="S182" s="65"/>
      <c r="T182" s="70" t="s">
        <v>3381</v>
      </c>
      <c r="U182" s="65"/>
    </row>
    <row r="183" spans="1:21" ht="12.75" customHeight="1" x14ac:dyDescent="0.15">
      <c r="A183" s="68"/>
      <c r="B183" s="69"/>
      <c r="C183" s="69"/>
      <c r="D183" s="69"/>
      <c r="E183" s="69"/>
      <c r="F183" s="69"/>
      <c r="G183" s="69"/>
      <c r="H183" s="69"/>
      <c r="I183" s="69"/>
      <c r="J183" s="69"/>
      <c r="K183" s="69"/>
      <c r="L183" s="69"/>
      <c r="M183" s="69"/>
      <c r="N183" s="69"/>
      <c r="O183" s="65"/>
      <c r="P183" s="70" t="s">
        <v>3382</v>
      </c>
      <c r="Q183" s="65"/>
      <c r="R183" s="71">
        <v>35447</v>
      </c>
      <c r="S183" s="65"/>
      <c r="T183" s="70" t="s">
        <v>3383</v>
      </c>
      <c r="U183" s="65"/>
    </row>
    <row r="184" spans="1:21" ht="25.5" customHeight="1" x14ac:dyDescent="0.15">
      <c r="A184" s="61">
        <v>1018</v>
      </c>
      <c r="B184" s="67" t="s">
        <v>3384</v>
      </c>
      <c r="C184" s="65"/>
      <c r="D184" s="66">
        <v>587077</v>
      </c>
      <c r="E184" s="69"/>
      <c r="F184" s="65"/>
      <c r="G184" s="67" t="s">
        <v>3385</v>
      </c>
      <c r="H184" s="65"/>
      <c r="I184" s="70" t="s">
        <v>3386</v>
      </c>
      <c r="J184" s="65"/>
      <c r="K184" s="55" t="s">
        <v>3387</v>
      </c>
      <c r="L184" s="67" t="s">
        <v>3388</v>
      </c>
      <c r="M184" s="65"/>
      <c r="N184" s="67" t="s">
        <v>3389</v>
      </c>
      <c r="O184" s="65"/>
      <c r="P184" s="67" t="s">
        <v>3390</v>
      </c>
      <c r="Q184" s="65"/>
      <c r="R184" s="70" t="s">
        <v>3391</v>
      </c>
      <c r="S184" s="65"/>
      <c r="T184" s="67" t="s">
        <v>3392</v>
      </c>
      <c r="U184" s="65"/>
    </row>
    <row r="185" spans="1:21" ht="13.5" customHeight="1" x14ac:dyDescent="0.15">
      <c r="A185" s="68"/>
      <c r="B185" s="69"/>
      <c r="C185" s="69"/>
      <c r="D185" s="69"/>
      <c r="E185" s="69"/>
      <c r="F185" s="69"/>
      <c r="G185" s="69"/>
      <c r="H185" s="69"/>
      <c r="I185" s="69"/>
      <c r="J185" s="69"/>
      <c r="K185" s="69"/>
      <c r="L185" s="69"/>
      <c r="M185" s="69"/>
      <c r="N185" s="69"/>
      <c r="O185" s="65"/>
      <c r="P185" s="70" t="s">
        <v>3393</v>
      </c>
      <c r="Q185" s="65"/>
      <c r="R185" s="70" t="s">
        <v>3394</v>
      </c>
      <c r="S185" s="65"/>
      <c r="T185" s="70" t="s">
        <v>3395</v>
      </c>
      <c r="U185" s="65"/>
    </row>
    <row r="186" spans="1:21" ht="25.5" customHeight="1" x14ac:dyDescent="0.15">
      <c r="A186" s="75"/>
      <c r="B186" s="69"/>
      <c r="C186" s="69"/>
      <c r="D186" s="69"/>
      <c r="E186" s="69"/>
      <c r="F186" s="69"/>
      <c r="G186" s="69"/>
      <c r="H186" s="69"/>
      <c r="I186" s="69"/>
      <c r="J186" s="69"/>
      <c r="K186" s="69"/>
      <c r="L186" s="69"/>
      <c r="M186" s="69"/>
      <c r="N186" s="69"/>
      <c r="O186" s="65"/>
      <c r="P186" s="67" t="s">
        <v>3396</v>
      </c>
      <c r="Q186" s="65"/>
      <c r="R186" s="73" t="s">
        <v>3397</v>
      </c>
      <c r="S186" s="65"/>
      <c r="T186" s="67" t="s">
        <v>3398</v>
      </c>
      <c r="U186" s="65"/>
    </row>
    <row r="187" spans="1:21" ht="12.75" customHeight="1" x14ac:dyDescent="0.15">
      <c r="A187" s="68"/>
      <c r="B187" s="69"/>
      <c r="C187" s="69"/>
      <c r="D187" s="69"/>
      <c r="E187" s="69"/>
      <c r="F187" s="69"/>
      <c r="G187" s="69"/>
      <c r="H187" s="69"/>
      <c r="I187" s="69"/>
      <c r="J187" s="69"/>
      <c r="K187" s="69"/>
      <c r="L187" s="69"/>
      <c r="M187" s="69"/>
      <c r="N187" s="69"/>
      <c r="O187" s="65"/>
      <c r="P187" s="70" t="s">
        <v>3399</v>
      </c>
      <c r="Q187" s="65"/>
      <c r="R187" s="71">
        <v>31872</v>
      </c>
      <c r="S187" s="65"/>
      <c r="T187" s="70" t="s">
        <v>3400</v>
      </c>
      <c r="U187" s="65"/>
    </row>
    <row r="188" spans="1:21" ht="12.75" customHeight="1" x14ac:dyDescent="0.15">
      <c r="A188" s="68"/>
      <c r="B188" s="69"/>
      <c r="C188" s="69"/>
      <c r="D188" s="69"/>
      <c r="E188" s="69"/>
      <c r="F188" s="69"/>
      <c r="G188" s="69"/>
      <c r="H188" s="69"/>
      <c r="I188" s="69"/>
      <c r="J188" s="69"/>
      <c r="K188" s="69"/>
      <c r="L188" s="69"/>
      <c r="M188" s="69"/>
      <c r="N188" s="69"/>
      <c r="O188" s="65"/>
      <c r="P188" s="70" t="s">
        <v>3401</v>
      </c>
      <c r="Q188" s="65"/>
      <c r="R188" s="71">
        <v>34274</v>
      </c>
      <c r="S188" s="65"/>
      <c r="T188" s="70" t="s">
        <v>3402</v>
      </c>
      <c r="U188" s="65"/>
    </row>
    <row r="189" spans="1:21" ht="13.5" customHeight="1" x14ac:dyDescent="0.15">
      <c r="A189" s="61">
        <v>1019</v>
      </c>
      <c r="B189" s="70" t="s">
        <v>3403</v>
      </c>
      <c r="C189" s="65"/>
      <c r="D189" s="76">
        <v>587078</v>
      </c>
      <c r="E189" s="69"/>
      <c r="F189" s="65"/>
      <c r="G189" s="70" t="s">
        <v>3404</v>
      </c>
      <c r="H189" s="65"/>
      <c r="I189" s="70" t="s">
        <v>3405</v>
      </c>
      <c r="J189" s="65"/>
      <c r="K189" s="56" t="s">
        <v>3406</v>
      </c>
      <c r="L189" s="70" t="s">
        <v>3407</v>
      </c>
      <c r="M189" s="65"/>
      <c r="N189" s="70" t="s">
        <v>3408</v>
      </c>
      <c r="O189" s="65"/>
      <c r="P189" s="70" t="s">
        <v>3409</v>
      </c>
      <c r="Q189" s="65"/>
      <c r="R189" s="70" t="s">
        <v>3410</v>
      </c>
      <c r="S189" s="65"/>
      <c r="T189" s="70" t="s">
        <v>3411</v>
      </c>
      <c r="U189" s="65"/>
    </row>
    <row r="190" spans="1:21" ht="12.75" customHeight="1" x14ac:dyDescent="0.15">
      <c r="A190" s="68"/>
      <c r="B190" s="69"/>
      <c r="C190" s="69"/>
      <c r="D190" s="69"/>
      <c r="E190" s="69"/>
      <c r="F190" s="69"/>
      <c r="G190" s="69"/>
      <c r="H190" s="69"/>
      <c r="I190" s="69"/>
      <c r="J190" s="69"/>
      <c r="K190" s="69"/>
      <c r="L190" s="69"/>
      <c r="M190" s="69"/>
      <c r="N190" s="69"/>
      <c r="O190" s="65"/>
      <c r="P190" s="70" t="s">
        <v>3412</v>
      </c>
      <c r="Q190" s="65"/>
      <c r="R190" s="70" t="s">
        <v>3413</v>
      </c>
      <c r="S190" s="65"/>
      <c r="T190" s="70" t="s">
        <v>3414</v>
      </c>
      <c r="U190" s="65"/>
    </row>
    <row r="191" spans="1:21" ht="21" customHeight="1" x14ac:dyDescent="0.15">
      <c r="A191" s="60" t="s">
        <v>3415</v>
      </c>
      <c r="B191" s="72" t="s">
        <v>3416</v>
      </c>
      <c r="C191" s="65"/>
      <c r="D191" s="72" t="s">
        <v>3417</v>
      </c>
      <c r="E191" s="69"/>
      <c r="F191" s="65"/>
      <c r="G191" s="72" t="s">
        <v>3418</v>
      </c>
      <c r="H191" s="65"/>
      <c r="I191" s="72" t="s">
        <v>3419</v>
      </c>
      <c r="J191" s="65"/>
      <c r="K191" s="60" t="s">
        <v>3420</v>
      </c>
      <c r="L191" s="72" t="s">
        <v>3421</v>
      </c>
      <c r="M191" s="65"/>
      <c r="N191" s="72" t="s">
        <v>3422</v>
      </c>
      <c r="O191" s="65"/>
      <c r="P191" s="72" t="s">
        <v>3423</v>
      </c>
      <c r="Q191" s="65"/>
      <c r="R191" s="72" t="s">
        <v>3424</v>
      </c>
      <c r="S191" s="65"/>
      <c r="T191" s="72" t="s">
        <v>3425</v>
      </c>
      <c r="U191" s="65"/>
    </row>
    <row r="192" spans="1:21" ht="25.5" customHeight="1" x14ac:dyDescent="0.15">
      <c r="A192" s="75"/>
      <c r="B192" s="69"/>
      <c r="C192" s="69"/>
      <c r="D192" s="69"/>
      <c r="E192" s="69"/>
      <c r="F192" s="69"/>
      <c r="G192" s="69"/>
      <c r="H192" s="69"/>
      <c r="I192" s="69"/>
      <c r="J192" s="69"/>
      <c r="K192" s="69"/>
      <c r="L192" s="69"/>
      <c r="M192" s="69"/>
      <c r="N192" s="69"/>
      <c r="O192" s="65"/>
      <c r="P192" s="67" t="s">
        <v>3426</v>
      </c>
      <c r="Q192" s="65"/>
      <c r="R192" s="70" t="s">
        <v>3427</v>
      </c>
      <c r="S192" s="65"/>
      <c r="T192" s="67" t="s">
        <v>3428</v>
      </c>
      <c r="U192" s="65"/>
    </row>
    <row r="193" spans="1:21" ht="12.75" customHeight="1" x14ac:dyDescent="0.15">
      <c r="A193" s="68"/>
      <c r="B193" s="69"/>
      <c r="C193" s="69"/>
      <c r="D193" s="69"/>
      <c r="E193" s="69"/>
      <c r="F193" s="69"/>
      <c r="G193" s="69"/>
      <c r="H193" s="69"/>
      <c r="I193" s="69"/>
      <c r="J193" s="69"/>
      <c r="K193" s="69"/>
      <c r="L193" s="69"/>
      <c r="M193" s="69"/>
      <c r="N193" s="69"/>
      <c r="O193" s="65"/>
      <c r="P193" s="70" t="s">
        <v>3429</v>
      </c>
      <c r="Q193" s="65"/>
      <c r="R193" s="71">
        <v>31872</v>
      </c>
      <c r="S193" s="65"/>
      <c r="T193" s="70" t="s">
        <v>3430</v>
      </c>
      <c r="U193" s="65"/>
    </row>
    <row r="194" spans="1:21" ht="12.75" customHeight="1" x14ac:dyDescent="0.15">
      <c r="A194" s="68"/>
      <c r="B194" s="69"/>
      <c r="C194" s="69"/>
      <c r="D194" s="69"/>
      <c r="E194" s="69"/>
      <c r="F194" s="69"/>
      <c r="G194" s="69"/>
      <c r="H194" s="69"/>
      <c r="I194" s="69"/>
      <c r="J194" s="69"/>
      <c r="K194" s="69"/>
      <c r="L194" s="69"/>
      <c r="M194" s="69"/>
      <c r="N194" s="69"/>
      <c r="O194" s="65"/>
      <c r="P194" s="70" t="s">
        <v>3431</v>
      </c>
      <c r="Q194" s="65"/>
      <c r="R194" s="71">
        <v>34760</v>
      </c>
      <c r="S194" s="65"/>
      <c r="T194" s="70" t="s">
        <v>3432</v>
      </c>
      <c r="U194" s="65"/>
    </row>
    <row r="195" spans="1:21" ht="12.75" customHeight="1" x14ac:dyDescent="0.15">
      <c r="A195" s="61">
        <v>1020</v>
      </c>
      <c r="B195" s="70" t="s">
        <v>3433</v>
      </c>
      <c r="C195" s="65"/>
      <c r="D195" s="76">
        <v>587079</v>
      </c>
      <c r="E195" s="69"/>
      <c r="F195" s="65"/>
      <c r="G195" s="70" t="s">
        <v>3434</v>
      </c>
      <c r="H195" s="65"/>
      <c r="I195" s="70" t="s">
        <v>3435</v>
      </c>
      <c r="J195" s="65"/>
      <c r="K195" s="56" t="s">
        <v>3436</v>
      </c>
      <c r="L195" s="70" t="s">
        <v>3437</v>
      </c>
      <c r="M195" s="65"/>
      <c r="N195" s="70" t="s">
        <v>3438</v>
      </c>
      <c r="O195" s="65"/>
      <c r="P195" s="70" t="s">
        <v>3439</v>
      </c>
      <c r="Q195" s="65"/>
      <c r="R195" s="70" t="s">
        <v>3440</v>
      </c>
      <c r="S195" s="65"/>
      <c r="T195" s="70" t="s">
        <v>3441</v>
      </c>
      <c r="U195" s="65"/>
    </row>
    <row r="196" spans="1:21" ht="13.5" customHeight="1" x14ac:dyDescent="0.15">
      <c r="A196" s="68"/>
      <c r="B196" s="69"/>
      <c r="C196" s="69"/>
      <c r="D196" s="69"/>
      <c r="E196" s="69"/>
      <c r="F196" s="69"/>
      <c r="G196" s="69"/>
      <c r="H196" s="69"/>
      <c r="I196" s="69"/>
      <c r="J196" s="69"/>
      <c r="K196" s="69"/>
      <c r="L196" s="69"/>
      <c r="M196" s="69"/>
      <c r="N196" s="69"/>
      <c r="O196" s="65"/>
      <c r="P196" s="70" t="s">
        <v>3442</v>
      </c>
      <c r="Q196" s="65"/>
      <c r="R196" s="70" t="s">
        <v>3443</v>
      </c>
      <c r="S196" s="65"/>
      <c r="T196" s="70" t="s">
        <v>3444</v>
      </c>
      <c r="U196" s="65"/>
    </row>
    <row r="197" spans="1:21" ht="25.5" customHeight="1" x14ac:dyDescent="0.15">
      <c r="A197" s="75"/>
      <c r="B197" s="69"/>
      <c r="C197" s="69"/>
      <c r="D197" s="69"/>
      <c r="E197" s="69"/>
      <c r="F197" s="69"/>
      <c r="G197" s="69"/>
      <c r="H197" s="69"/>
      <c r="I197" s="69"/>
      <c r="J197" s="69"/>
      <c r="K197" s="69"/>
      <c r="L197" s="69"/>
      <c r="M197" s="69"/>
      <c r="N197" s="69"/>
      <c r="O197" s="65"/>
      <c r="P197" s="67" t="s">
        <v>3445</v>
      </c>
      <c r="Q197" s="65"/>
      <c r="R197" s="73" t="s">
        <v>3446</v>
      </c>
      <c r="S197" s="65"/>
      <c r="T197" s="67" t="s">
        <v>3447</v>
      </c>
      <c r="U197" s="65"/>
    </row>
    <row r="198" spans="1:21" ht="12.75" customHeight="1" x14ac:dyDescent="0.15">
      <c r="A198" s="68"/>
      <c r="B198" s="69"/>
      <c r="C198" s="69"/>
      <c r="D198" s="69"/>
      <c r="E198" s="69"/>
      <c r="F198" s="69"/>
      <c r="G198" s="69"/>
      <c r="H198" s="69"/>
      <c r="I198" s="69"/>
      <c r="J198" s="69"/>
      <c r="K198" s="69"/>
      <c r="L198" s="69"/>
      <c r="M198" s="69"/>
      <c r="N198" s="69"/>
      <c r="O198" s="65"/>
      <c r="P198" s="70" t="s">
        <v>3448</v>
      </c>
      <c r="Q198" s="65"/>
      <c r="R198" s="71">
        <v>31872</v>
      </c>
      <c r="S198" s="65"/>
      <c r="T198" s="70" t="s">
        <v>3449</v>
      </c>
      <c r="U198" s="65"/>
    </row>
    <row r="199" spans="1:21" ht="12.75" customHeight="1" x14ac:dyDescent="0.15">
      <c r="A199" s="68"/>
      <c r="B199" s="69"/>
      <c r="C199" s="69"/>
      <c r="D199" s="69"/>
      <c r="E199" s="69"/>
      <c r="F199" s="69"/>
      <c r="G199" s="69"/>
      <c r="H199" s="69"/>
      <c r="I199" s="69"/>
      <c r="J199" s="69"/>
      <c r="K199" s="69"/>
      <c r="L199" s="69"/>
      <c r="M199" s="69"/>
      <c r="N199" s="69"/>
      <c r="O199" s="65"/>
      <c r="P199" s="70" t="s">
        <v>3450</v>
      </c>
      <c r="Q199" s="65"/>
      <c r="R199" s="71">
        <v>33212</v>
      </c>
      <c r="S199" s="65"/>
      <c r="T199" s="70" t="s">
        <v>3451</v>
      </c>
      <c r="U199" s="65"/>
    </row>
    <row r="200" spans="1:21" ht="13.5" customHeight="1" x14ac:dyDescent="0.15">
      <c r="A200" s="61">
        <v>1021</v>
      </c>
      <c r="B200" s="70" t="s">
        <v>3452</v>
      </c>
      <c r="C200" s="65"/>
      <c r="D200" s="76">
        <v>587080</v>
      </c>
      <c r="E200" s="69"/>
      <c r="F200" s="65"/>
      <c r="G200" s="70" t="s">
        <v>3453</v>
      </c>
      <c r="H200" s="65"/>
      <c r="I200" s="70" t="s">
        <v>3454</v>
      </c>
      <c r="J200" s="65"/>
      <c r="K200" s="56" t="s">
        <v>3455</v>
      </c>
      <c r="L200" s="70" t="s">
        <v>3456</v>
      </c>
      <c r="M200" s="65"/>
      <c r="N200" s="70" t="s">
        <v>3457</v>
      </c>
      <c r="O200" s="65"/>
      <c r="P200" s="70" t="s">
        <v>3458</v>
      </c>
      <c r="Q200" s="65"/>
      <c r="R200" s="70" t="s">
        <v>3459</v>
      </c>
      <c r="S200" s="65"/>
      <c r="T200" s="70" t="s">
        <v>3460</v>
      </c>
      <c r="U200" s="65"/>
    </row>
    <row r="201" spans="1:21" ht="12.75" customHeight="1" x14ac:dyDescent="0.15">
      <c r="A201" s="68"/>
      <c r="B201" s="69"/>
      <c r="C201" s="69"/>
      <c r="D201" s="69"/>
      <c r="E201" s="69"/>
      <c r="F201" s="69"/>
      <c r="G201" s="69"/>
      <c r="H201" s="69"/>
      <c r="I201" s="69"/>
      <c r="J201" s="69"/>
      <c r="K201" s="69"/>
      <c r="L201" s="69"/>
      <c r="M201" s="69"/>
      <c r="N201" s="69"/>
      <c r="O201" s="65"/>
      <c r="P201" s="70" t="s">
        <v>3461</v>
      </c>
      <c r="Q201" s="65"/>
      <c r="R201" s="70" t="s">
        <v>3462</v>
      </c>
      <c r="S201" s="65"/>
      <c r="T201" s="70" t="s">
        <v>3463</v>
      </c>
      <c r="U201" s="65"/>
    </row>
    <row r="202" spans="1:21" ht="25.5" customHeight="1" x14ac:dyDescent="0.15">
      <c r="A202" s="75"/>
      <c r="B202" s="69"/>
      <c r="C202" s="69"/>
      <c r="D202" s="69"/>
      <c r="E202" s="69"/>
      <c r="F202" s="69"/>
      <c r="G202" s="69"/>
      <c r="H202" s="69"/>
      <c r="I202" s="69"/>
      <c r="J202" s="69"/>
      <c r="K202" s="69"/>
      <c r="L202" s="69"/>
      <c r="M202" s="69"/>
      <c r="N202" s="69"/>
      <c r="O202" s="65"/>
      <c r="P202" s="67" t="s">
        <v>3464</v>
      </c>
      <c r="Q202" s="65"/>
      <c r="R202" s="73" t="s">
        <v>3465</v>
      </c>
      <c r="S202" s="65"/>
      <c r="T202" s="67" t="s">
        <v>3466</v>
      </c>
      <c r="U202" s="65"/>
    </row>
    <row r="203" spans="1:21" ht="12.75" customHeight="1" x14ac:dyDescent="0.15">
      <c r="A203" s="68"/>
      <c r="B203" s="69"/>
      <c r="C203" s="69"/>
      <c r="D203" s="69"/>
      <c r="E203" s="69"/>
      <c r="F203" s="69"/>
      <c r="G203" s="69"/>
      <c r="H203" s="69"/>
      <c r="I203" s="69"/>
      <c r="J203" s="69"/>
      <c r="K203" s="69"/>
      <c r="L203" s="69"/>
      <c r="M203" s="69"/>
      <c r="N203" s="69"/>
      <c r="O203" s="65"/>
      <c r="P203" s="70" t="s">
        <v>3467</v>
      </c>
      <c r="Q203" s="65"/>
      <c r="R203" s="71">
        <v>31872</v>
      </c>
      <c r="S203" s="65"/>
      <c r="T203" s="70" t="s">
        <v>3468</v>
      </c>
      <c r="U203" s="65"/>
    </row>
    <row r="204" spans="1:21" ht="13.5" customHeight="1" x14ac:dyDescent="0.15">
      <c r="A204" s="68"/>
      <c r="B204" s="69"/>
      <c r="C204" s="69"/>
      <c r="D204" s="69"/>
      <c r="E204" s="69"/>
      <c r="F204" s="69"/>
      <c r="G204" s="69"/>
      <c r="H204" s="69"/>
      <c r="I204" s="69"/>
      <c r="J204" s="69"/>
      <c r="K204" s="69"/>
      <c r="L204" s="69"/>
      <c r="M204" s="69"/>
      <c r="N204" s="69"/>
      <c r="O204" s="65"/>
      <c r="P204" s="70" t="s">
        <v>3469</v>
      </c>
      <c r="Q204" s="65"/>
      <c r="R204" s="71">
        <v>36349</v>
      </c>
      <c r="S204" s="65"/>
      <c r="T204" s="70" t="s">
        <v>3470</v>
      </c>
      <c r="U204" s="65"/>
    </row>
    <row r="205" spans="1:21" ht="25.5" customHeight="1" x14ac:dyDescent="0.15">
      <c r="A205" s="61">
        <v>1022</v>
      </c>
      <c r="B205" s="67" t="s">
        <v>3471</v>
      </c>
      <c r="C205" s="65"/>
      <c r="D205" s="66">
        <v>9420</v>
      </c>
      <c r="E205" s="69"/>
      <c r="F205" s="65"/>
      <c r="G205" s="67" t="s">
        <v>3472</v>
      </c>
      <c r="H205" s="65"/>
      <c r="I205" s="73" t="s">
        <v>3473</v>
      </c>
      <c r="J205" s="65"/>
      <c r="K205" s="55" t="s">
        <v>3474</v>
      </c>
      <c r="L205" s="67" t="s">
        <v>3475</v>
      </c>
      <c r="M205" s="65"/>
      <c r="N205" s="67" t="s">
        <v>3476</v>
      </c>
      <c r="O205" s="65"/>
      <c r="P205" s="67" t="s">
        <v>3477</v>
      </c>
      <c r="Q205" s="65"/>
      <c r="R205" s="73" t="s">
        <v>3478</v>
      </c>
      <c r="S205" s="65"/>
      <c r="T205" s="67" t="s">
        <v>3479</v>
      </c>
      <c r="U205" s="65"/>
    </row>
    <row r="206" spans="1:21" ht="12.75" customHeight="1" x14ac:dyDescent="0.15">
      <c r="A206" s="68"/>
      <c r="B206" s="69"/>
      <c r="C206" s="69"/>
      <c r="D206" s="69"/>
      <c r="E206" s="69"/>
      <c r="F206" s="69"/>
      <c r="G206" s="69"/>
      <c r="H206" s="69"/>
      <c r="I206" s="69"/>
      <c r="J206" s="69"/>
      <c r="K206" s="69"/>
      <c r="L206" s="69"/>
      <c r="M206" s="69"/>
      <c r="N206" s="69"/>
      <c r="O206" s="65"/>
      <c r="P206" s="70" t="s">
        <v>3480</v>
      </c>
      <c r="Q206" s="65"/>
      <c r="R206" s="70" t="s">
        <v>3481</v>
      </c>
      <c r="S206" s="65"/>
      <c r="T206" s="70" t="s">
        <v>3482</v>
      </c>
      <c r="U206" s="65"/>
    </row>
    <row r="207" spans="1:21" ht="12.75" customHeight="1" x14ac:dyDescent="0.15">
      <c r="A207" s="68"/>
      <c r="B207" s="69"/>
      <c r="C207" s="69"/>
      <c r="D207" s="69"/>
      <c r="E207" s="69"/>
      <c r="F207" s="69"/>
      <c r="G207" s="69"/>
      <c r="H207" s="69"/>
      <c r="I207" s="69"/>
      <c r="J207" s="69"/>
      <c r="K207" s="69"/>
      <c r="L207" s="69"/>
      <c r="M207" s="69"/>
      <c r="N207" s="69"/>
      <c r="O207" s="65"/>
      <c r="P207" s="70" t="s">
        <v>3483</v>
      </c>
      <c r="Q207" s="65"/>
      <c r="R207" s="71">
        <v>31503</v>
      </c>
      <c r="S207" s="65"/>
      <c r="T207" s="70" t="s">
        <v>3484</v>
      </c>
      <c r="U207" s="65"/>
    </row>
    <row r="208" spans="1:21" ht="13.5" customHeight="1" x14ac:dyDescent="0.15">
      <c r="A208" s="68"/>
      <c r="B208" s="69"/>
      <c r="C208" s="69"/>
      <c r="D208" s="69"/>
      <c r="E208" s="69"/>
      <c r="F208" s="69"/>
      <c r="G208" s="69"/>
      <c r="H208" s="69"/>
      <c r="I208" s="69"/>
      <c r="J208" s="69"/>
      <c r="K208" s="69"/>
      <c r="L208" s="69"/>
      <c r="M208" s="69"/>
      <c r="N208" s="69"/>
      <c r="O208" s="65"/>
      <c r="P208" s="70" t="s">
        <v>3485</v>
      </c>
      <c r="Q208" s="65"/>
      <c r="R208" s="71">
        <v>31872</v>
      </c>
      <c r="S208" s="65"/>
      <c r="T208" s="70" t="s">
        <v>3486</v>
      </c>
      <c r="U208" s="65"/>
    </row>
    <row r="209" spans="1:21" ht="12.75" customHeight="1" x14ac:dyDescent="0.15">
      <c r="A209" s="68"/>
      <c r="B209" s="69"/>
      <c r="C209" s="69"/>
      <c r="D209" s="69"/>
      <c r="E209" s="69"/>
      <c r="F209" s="69"/>
      <c r="G209" s="69"/>
      <c r="H209" s="69"/>
      <c r="I209" s="69"/>
      <c r="J209" s="69"/>
      <c r="K209" s="69"/>
      <c r="L209" s="69"/>
      <c r="M209" s="69"/>
      <c r="N209" s="69"/>
      <c r="O209" s="65"/>
      <c r="P209" s="70" t="s">
        <v>3487</v>
      </c>
      <c r="Q209" s="65"/>
      <c r="R209" s="71">
        <v>35969</v>
      </c>
      <c r="S209" s="65"/>
      <c r="T209" s="70" t="s">
        <v>3488</v>
      </c>
      <c r="U209" s="65"/>
    </row>
    <row r="210" spans="1:21" ht="12.75" customHeight="1" x14ac:dyDescent="0.15">
      <c r="A210" s="68"/>
      <c r="B210" s="69"/>
      <c r="C210" s="69"/>
      <c r="D210" s="69"/>
      <c r="E210" s="69"/>
      <c r="F210" s="69"/>
      <c r="G210" s="69"/>
      <c r="H210" s="69"/>
      <c r="I210" s="69"/>
      <c r="J210" s="69"/>
      <c r="K210" s="69"/>
      <c r="L210" s="69"/>
      <c r="M210" s="69"/>
      <c r="N210" s="69"/>
      <c r="O210" s="65"/>
      <c r="P210" s="70" t="s">
        <v>3489</v>
      </c>
      <c r="Q210" s="65"/>
      <c r="R210" s="71">
        <v>36626</v>
      </c>
      <c r="S210" s="65"/>
      <c r="T210" s="70" t="s">
        <v>3490</v>
      </c>
      <c r="U210" s="65"/>
    </row>
    <row r="211" spans="1:21" ht="25.5" customHeight="1" x14ac:dyDescent="0.15">
      <c r="A211" s="61">
        <v>1023</v>
      </c>
      <c r="B211" s="67" t="s">
        <v>3491</v>
      </c>
      <c r="C211" s="65"/>
      <c r="D211" s="66">
        <v>1929</v>
      </c>
      <c r="E211" s="69"/>
      <c r="F211" s="65"/>
      <c r="G211" s="67" t="s">
        <v>3492</v>
      </c>
      <c r="H211" s="65"/>
      <c r="I211" s="70" t="s">
        <v>3493</v>
      </c>
      <c r="J211" s="65"/>
      <c r="K211" s="55" t="s">
        <v>3494</v>
      </c>
      <c r="L211" s="67" t="s">
        <v>3495</v>
      </c>
      <c r="M211" s="65"/>
      <c r="N211" s="67" t="s">
        <v>3496</v>
      </c>
      <c r="O211" s="65"/>
      <c r="P211" s="67" t="s">
        <v>3497</v>
      </c>
      <c r="Q211" s="65"/>
      <c r="R211" s="70" t="s">
        <v>3498</v>
      </c>
      <c r="S211" s="65"/>
      <c r="T211" s="67" t="s">
        <v>3499</v>
      </c>
      <c r="U211" s="65"/>
    </row>
    <row r="212" spans="1:21" ht="13.5" customHeight="1" x14ac:dyDescent="0.15">
      <c r="A212" s="68"/>
      <c r="B212" s="69"/>
      <c r="C212" s="69"/>
      <c r="D212" s="69"/>
      <c r="E212" s="69"/>
      <c r="F212" s="69"/>
      <c r="G212" s="69"/>
      <c r="H212" s="69"/>
      <c r="I212" s="69"/>
      <c r="J212" s="69"/>
      <c r="K212" s="69"/>
      <c r="L212" s="69"/>
      <c r="M212" s="69"/>
      <c r="N212" s="69"/>
      <c r="O212" s="65"/>
      <c r="P212" s="70" t="s">
        <v>3500</v>
      </c>
      <c r="Q212" s="65"/>
      <c r="R212" s="70" t="s">
        <v>3501</v>
      </c>
      <c r="S212" s="65"/>
      <c r="T212" s="70" t="s">
        <v>3502</v>
      </c>
      <c r="U212" s="65"/>
    </row>
    <row r="213" spans="1:21" ht="12.75" customHeight="1" x14ac:dyDescent="0.15">
      <c r="A213" s="68"/>
      <c r="B213" s="69"/>
      <c r="C213" s="69"/>
      <c r="D213" s="69"/>
      <c r="E213" s="69"/>
      <c r="F213" s="69"/>
      <c r="G213" s="69"/>
      <c r="H213" s="69"/>
      <c r="I213" s="69"/>
      <c r="J213" s="69"/>
      <c r="K213" s="69"/>
      <c r="L213" s="69"/>
      <c r="M213" s="69"/>
      <c r="N213" s="69"/>
      <c r="O213" s="65"/>
      <c r="P213" s="70" t="s">
        <v>3503</v>
      </c>
      <c r="Q213" s="65"/>
      <c r="R213" s="71">
        <v>31765</v>
      </c>
      <c r="S213" s="65"/>
      <c r="T213" s="70" t="s">
        <v>3504</v>
      </c>
      <c r="U213" s="65"/>
    </row>
    <row r="214" spans="1:21" ht="12.75" customHeight="1" x14ac:dyDescent="0.15">
      <c r="A214" s="68"/>
      <c r="B214" s="69"/>
      <c r="C214" s="69"/>
      <c r="D214" s="69"/>
      <c r="E214" s="69"/>
      <c r="F214" s="69"/>
      <c r="G214" s="69"/>
      <c r="H214" s="69"/>
      <c r="I214" s="69"/>
      <c r="J214" s="69"/>
      <c r="K214" s="69"/>
      <c r="L214" s="69"/>
      <c r="M214" s="69"/>
      <c r="N214" s="69"/>
      <c r="O214" s="65"/>
      <c r="P214" s="70" t="s">
        <v>3505</v>
      </c>
      <c r="Q214" s="65"/>
      <c r="R214" s="71">
        <v>31872</v>
      </c>
      <c r="S214" s="65"/>
      <c r="T214" s="70" t="s">
        <v>3506</v>
      </c>
      <c r="U214" s="65"/>
    </row>
    <row r="215" spans="1:21" ht="12.75" customHeight="1" x14ac:dyDescent="0.15">
      <c r="A215" s="68"/>
      <c r="B215" s="69"/>
      <c r="C215" s="69"/>
      <c r="D215" s="69"/>
      <c r="E215" s="69"/>
      <c r="F215" s="69"/>
      <c r="G215" s="69"/>
      <c r="H215" s="69"/>
      <c r="I215" s="69"/>
      <c r="J215" s="69"/>
      <c r="K215" s="69"/>
      <c r="L215" s="69"/>
      <c r="M215" s="69"/>
      <c r="N215" s="69"/>
      <c r="O215" s="65"/>
      <c r="P215" s="70" t="s">
        <v>3507</v>
      </c>
      <c r="Q215" s="65"/>
      <c r="R215" s="71">
        <v>35216</v>
      </c>
      <c r="S215" s="65"/>
      <c r="T215" s="70" t="s">
        <v>3508</v>
      </c>
      <c r="U215" s="65"/>
    </row>
    <row r="216" spans="1:21" ht="13.5" customHeight="1" x14ac:dyDescent="0.15">
      <c r="A216" s="61">
        <v>1024</v>
      </c>
      <c r="B216" s="70" t="s">
        <v>3509</v>
      </c>
      <c r="C216" s="65"/>
      <c r="D216" s="76">
        <v>880356</v>
      </c>
      <c r="E216" s="69"/>
      <c r="F216" s="65"/>
      <c r="G216" s="70" t="s">
        <v>3510</v>
      </c>
      <c r="H216" s="65"/>
      <c r="I216" s="70" t="s">
        <v>3511</v>
      </c>
      <c r="J216" s="65"/>
      <c r="K216" s="56" t="s">
        <v>3512</v>
      </c>
      <c r="L216" s="70" t="s">
        <v>3513</v>
      </c>
      <c r="M216" s="65"/>
      <c r="N216" s="70" t="s">
        <v>3514</v>
      </c>
      <c r="O216" s="65"/>
      <c r="P216" s="70" t="s">
        <v>3515</v>
      </c>
      <c r="Q216" s="65"/>
      <c r="R216" s="70" t="s">
        <v>3516</v>
      </c>
      <c r="S216" s="65"/>
      <c r="T216" s="70" t="s">
        <v>3517</v>
      </c>
      <c r="U216" s="65"/>
    </row>
    <row r="217" spans="1:21" ht="12.75" customHeight="1" x14ac:dyDescent="0.15">
      <c r="A217" s="68"/>
      <c r="B217" s="69"/>
      <c r="C217" s="69"/>
      <c r="D217" s="69"/>
      <c r="E217" s="69"/>
      <c r="F217" s="69"/>
      <c r="G217" s="69"/>
      <c r="H217" s="69"/>
      <c r="I217" s="69"/>
      <c r="J217" s="69"/>
      <c r="K217" s="69"/>
      <c r="L217" s="69"/>
      <c r="M217" s="69"/>
      <c r="N217" s="69"/>
      <c r="O217" s="65"/>
      <c r="P217" s="70" t="s">
        <v>3518</v>
      </c>
      <c r="Q217" s="65"/>
      <c r="R217" s="70" t="s">
        <v>3519</v>
      </c>
      <c r="S217" s="65"/>
      <c r="T217" s="70" t="s">
        <v>3520</v>
      </c>
      <c r="U217" s="65"/>
    </row>
    <row r="218" spans="1:21" ht="12.75" customHeight="1" x14ac:dyDescent="0.15">
      <c r="A218" s="68"/>
      <c r="B218" s="69"/>
      <c r="C218" s="69"/>
      <c r="D218" s="69"/>
      <c r="E218" s="69"/>
      <c r="F218" s="69"/>
      <c r="G218" s="69"/>
      <c r="H218" s="69"/>
      <c r="I218" s="69"/>
      <c r="J218" s="69"/>
      <c r="K218" s="69"/>
      <c r="L218" s="69"/>
      <c r="M218" s="69"/>
      <c r="N218" s="69"/>
      <c r="O218" s="65"/>
      <c r="P218" s="70" t="s">
        <v>3521</v>
      </c>
      <c r="Q218" s="65"/>
      <c r="R218" s="71">
        <v>31472</v>
      </c>
      <c r="S218" s="65"/>
      <c r="T218" s="70" t="s">
        <v>3522</v>
      </c>
      <c r="U218" s="65"/>
    </row>
    <row r="219" spans="1:21" ht="12.75" customHeight="1" x14ac:dyDescent="0.15">
      <c r="A219" s="68"/>
      <c r="B219" s="69"/>
      <c r="C219" s="69"/>
      <c r="D219" s="69"/>
      <c r="E219" s="69"/>
      <c r="F219" s="69"/>
      <c r="G219" s="69"/>
      <c r="H219" s="69"/>
      <c r="I219" s="69"/>
      <c r="J219" s="69"/>
      <c r="K219" s="69"/>
      <c r="L219" s="69"/>
      <c r="M219" s="69"/>
      <c r="N219" s="69"/>
      <c r="O219" s="65"/>
      <c r="P219" s="70" t="s">
        <v>3523</v>
      </c>
      <c r="Q219" s="65"/>
      <c r="R219" s="71">
        <v>31978</v>
      </c>
      <c r="S219" s="65"/>
      <c r="T219" s="70" t="s">
        <v>3524</v>
      </c>
      <c r="U219" s="65"/>
    </row>
    <row r="220" spans="1:21" ht="13.5" customHeight="1" x14ac:dyDescent="0.15">
      <c r="A220" s="68"/>
      <c r="B220" s="69"/>
      <c r="C220" s="69"/>
      <c r="D220" s="69"/>
      <c r="E220" s="69"/>
      <c r="F220" s="69"/>
      <c r="G220" s="69"/>
      <c r="H220" s="69"/>
      <c r="I220" s="69"/>
      <c r="J220" s="69"/>
      <c r="K220" s="69"/>
      <c r="L220" s="69"/>
      <c r="M220" s="69"/>
      <c r="N220" s="69"/>
      <c r="O220" s="65"/>
      <c r="P220" s="70" t="s">
        <v>3525</v>
      </c>
      <c r="Q220" s="65"/>
      <c r="R220" s="71">
        <v>32428</v>
      </c>
      <c r="S220" s="65"/>
      <c r="T220" s="70" t="s">
        <v>3526</v>
      </c>
      <c r="U220" s="65"/>
    </row>
    <row r="221" spans="1:21" ht="12.75" customHeight="1" x14ac:dyDescent="0.15">
      <c r="A221" s="68"/>
      <c r="B221" s="69"/>
      <c r="C221" s="69"/>
      <c r="D221" s="69"/>
      <c r="E221" s="69"/>
      <c r="F221" s="69"/>
      <c r="G221" s="69"/>
      <c r="H221" s="69"/>
      <c r="I221" s="69"/>
      <c r="J221" s="69"/>
      <c r="K221" s="69"/>
      <c r="L221" s="69"/>
      <c r="M221" s="69"/>
      <c r="N221" s="69"/>
      <c r="O221" s="65"/>
      <c r="P221" s="70" t="s">
        <v>3527</v>
      </c>
      <c r="Q221" s="65"/>
      <c r="R221" s="71">
        <v>33053</v>
      </c>
      <c r="S221" s="65"/>
      <c r="T221" s="70" t="s">
        <v>3528</v>
      </c>
      <c r="U221" s="65"/>
    </row>
    <row r="222" spans="1:21" ht="25.5" customHeight="1" x14ac:dyDescent="0.15">
      <c r="A222" s="61">
        <v>1025</v>
      </c>
      <c r="B222" s="67" t="s">
        <v>3529</v>
      </c>
      <c r="C222" s="65"/>
      <c r="D222" s="67" t="s">
        <v>3530</v>
      </c>
      <c r="E222" s="69"/>
      <c r="F222" s="65"/>
      <c r="G222" s="67" t="s">
        <v>3531</v>
      </c>
      <c r="H222" s="65"/>
      <c r="I222" s="73" t="s">
        <v>3532</v>
      </c>
      <c r="J222" s="65"/>
      <c r="K222" s="55" t="s">
        <v>3533</v>
      </c>
      <c r="L222" s="67" t="s">
        <v>3534</v>
      </c>
      <c r="M222" s="65"/>
      <c r="N222" s="67" t="s">
        <v>3535</v>
      </c>
      <c r="O222" s="65"/>
      <c r="P222" s="67" t="s">
        <v>3536</v>
      </c>
      <c r="Q222" s="65"/>
      <c r="R222" s="73" t="s">
        <v>3537</v>
      </c>
      <c r="S222" s="65"/>
      <c r="T222" s="67" t="s">
        <v>3538</v>
      </c>
      <c r="U222" s="65"/>
    </row>
    <row r="223" spans="1:21" ht="24.75" customHeight="1" x14ac:dyDescent="0.15">
      <c r="A223" s="75"/>
      <c r="B223" s="69"/>
      <c r="C223" s="69"/>
      <c r="D223" s="69"/>
      <c r="E223" s="69"/>
      <c r="F223" s="69"/>
      <c r="G223" s="69"/>
      <c r="H223" s="69"/>
      <c r="I223" s="69"/>
      <c r="J223" s="69"/>
      <c r="K223" s="69"/>
      <c r="L223" s="69"/>
      <c r="M223" s="69"/>
      <c r="N223" s="69"/>
      <c r="O223" s="65"/>
      <c r="P223" s="67" t="s">
        <v>3539</v>
      </c>
      <c r="Q223" s="65"/>
      <c r="R223" s="70" t="s">
        <v>3540</v>
      </c>
      <c r="S223" s="65"/>
      <c r="T223" s="67" t="s">
        <v>3541</v>
      </c>
      <c r="U223" s="65"/>
    </row>
    <row r="224" spans="1:21" ht="21" customHeight="1" x14ac:dyDescent="0.15">
      <c r="A224" s="60" t="s">
        <v>3542</v>
      </c>
      <c r="B224" s="72" t="s">
        <v>3543</v>
      </c>
      <c r="C224" s="65"/>
      <c r="D224" s="72" t="s">
        <v>3544</v>
      </c>
      <c r="E224" s="69"/>
      <c r="F224" s="65"/>
      <c r="G224" s="72" t="s">
        <v>3545</v>
      </c>
      <c r="H224" s="65"/>
      <c r="I224" s="72" t="s">
        <v>3546</v>
      </c>
      <c r="J224" s="65"/>
      <c r="K224" s="60" t="s">
        <v>3547</v>
      </c>
      <c r="L224" s="72" t="s">
        <v>3548</v>
      </c>
      <c r="M224" s="65"/>
      <c r="N224" s="72" t="s">
        <v>3549</v>
      </c>
      <c r="O224" s="65"/>
      <c r="P224" s="72" t="s">
        <v>3550</v>
      </c>
      <c r="Q224" s="65"/>
      <c r="R224" s="72" t="s">
        <v>3551</v>
      </c>
      <c r="S224" s="65"/>
      <c r="T224" s="72" t="s">
        <v>3552</v>
      </c>
      <c r="U224" s="65"/>
    </row>
    <row r="225" spans="1:21" ht="13.5" customHeight="1" x14ac:dyDescent="0.15">
      <c r="A225" s="68"/>
      <c r="B225" s="69"/>
      <c r="C225" s="69"/>
      <c r="D225" s="69"/>
      <c r="E225" s="69"/>
      <c r="F225" s="69"/>
      <c r="G225" s="69"/>
      <c r="H225" s="69"/>
      <c r="I225" s="69"/>
      <c r="J225" s="69"/>
      <c r="K225" s="69"/>
      <c r="L225" s="69"/>
      <c r="M225" s="69"/>
      <c r="N225" s="69"/>
      <c r="O225" s="65"/>
      <c r="P225" s="70" t="s">
        <v>3553</v>
      </c>
      <c r="Q225" s="65"/>
      <c r="R225" s="71">
        <v>31680</v>
      </c>
      <c r="S225" s="65"/>
      <c r="T225" s="70" t="s">
        <v>3554</v>
      </c>
      <c r="U225" s="65"/>
    </row>
    <row r="226" spans="1:21" ht="12.75" customHeight="1" x14ac:dyDescent="0.15">
      <c r="A226" s="68"/>
      <c r="B226" s="69"/>
      <c r="C226" s="69"/>
      <c r="D226" s="69"/>
      <c r="E226" s="69"/>
      <c r="F226" s="69"/>
      <c r="G226" s="69"/>
      <c r="H226" s="69"/>
      <c r="I226" s="69"/>
      <c r="J226" s="69"/>
      <c r="K226" s="69"/>
      <c r="L226" s="69"/>
      <c r="M226" s="69"/>
      <c r="N226" s="69"/>
      <c r="O226" s="65"/>
      <c r="P226" s="70" t="s">
        <v>3555</v>
      </c>
      <c r="Q226" s="65"/>
      <c r="R226" s="71">
        <v>31978</v>
      </c>
      <c r="S226" s="65"/>
      <c r="T226" s="70" t="s">
        <v>3556</v>
      </c>
      <c r="U226" s="65"/>
    </row>
    <row r="227" spans="1:21" ht="12.75" customHeight="1" x14ac:dyDescent="0.15">
      <c r="A227" s="68"/>
      <c r="B227" s="69"/>
      <c r="C227" s="69"/>
      <c r="D227" s="69"/>
      <c r="E227" s="69"/>
      <c r="F227" s="69"/>
      <c r="G227" s="69"/>
      <c r="H227" s="69"/>
      <c r="I227" s="69"/>
      <c r="J227" s="69"/>
      <c r="K227" s="69"/>
      <c r="L227" s="69"/>
      <c r="M227" s="69"/>
      <c r="N227" s="69"/>
      <c r="O227" s="65"/>
      <c r="P227" s="70" t="s">
        <v>3557</v>
      </c>
      <c r="Q227" s="65"/>
      <c r="R227" s="71">
        <v>35576</v>
      </c>
      <c r="S227" s="65"/>
      <c r="T227" s="70" t="s">
        <v>3558</v>
      </c>
      <c r="U227" s="65"/>
    </row>
    <row r="228" spans="1:21" ht="12.75" customHeight="1" x14ac:dyDescent="0.15">
      <c r="A228" s="61">
        <v>1026</v>
      </c>
      <c r="B228" s="70" t="s">
        <v>3559</v>
      </c>
      <c r="C228" s="65"/>
      <c r="D228" s="70" t="s">
        <v>3560</v>
      </c>
      <c r="E228" s="69"/>
      <c r="F228" s="65"/>
      <c r="G228" s="70" t="s">
        <v>3561</v>
      </c>
      <c r="H228" s="65"/>
      <c r="I228" s="70" t="s">
        <v>3562</v>
      </c>
      <c r="J228" s="65"/>
      <c r="K228" s="56" t="s">
        <v>3563</v>
      </c>
      <c r="L228" s="70" t="s">
        <v>3564</v>
      </c>
      <c r="M228" s="65"/>
      <c r="N228" s="70" t="s">
        <v>3565</v>
      </c>
      <c r="O228" s="65"/>
      <c r="P228" s="70" t="s">
        <v>3566</v>
      </c>
      <c r="Q228" s="65"/>
      <c r="R228" s="70" t="s">
        <v>3567</v>
      </c>
      <c r="S228" s="65"/>
      <c r="T228" s="70" t="s">
        <v>3568</v>
      </c>
      <c r="U228" s="65"/>
    </row>
    <row r="229" spans="1:21" ht="13.5" customHeight="1" x14ac:dyDescent="0.15">
      <c r="A229" s="68"/>
      <c r="B229" s="69"/>
      <c r="C229" s="69"/>
      <c r="D229" s="69"/>
      <c r="E229" s="69"/>
      <c r="F229" s="69"/>
      <c r="G229" s="69"/>
      <c r="H229" s="69"/>
      <c r="I229" s="69"/>
      <c r="J229" s="69"/>
      <c r="K229" s="69"/>
      <c r="L229" s="69"/>
      <c r="M229" s="69"/>
      <c r="N229" s="69"/>
      <c r="O229" s="65"/>
      <c r="P229" s="70" t="s">
        <v>3569</v>
      </c>
      <c r="Q229" s="65"/>
      <c r="R229" s="70" t="s">
        <v>3570</v>
      </c>
      <c r="S229" s="65"/>
      <c r="T229" s="70" t="s">
        <v>3571</v>
      </c>
      <c r="U229" s="65"/>
    </row>
    <row r="230" spans="1:21" ht="12.75" customHeight="1" x14ac:dyDescent="0.15">
      <c r="A230" s="68"/>
      <c r="B230" s="69"/>
      <c r="C230" s="69"/>
      <c r="D230" s="69"/>
      <c r="E230" s="69"/>
      <c r="F230" s="69"/>
      <c r="G230" s="69"/>
      <c r="H230" s="69"/>
      <c r="I230" s="69"/>
      <c r="J230" s="69"/>
      <c r="K230" s="69"/>
      <c r="L230" s="69"/>
      <c r="M230" s="69"/>
      <c r="N230" s="69"/>
      <c r="O230" s="65"/>
      <c r="P230" s="70" t="s">
        <v>3572</v>
      </c>
      <c r="Q230" s="65"/>
      <c r="R230" s="71">
        <v>31472</v>
      </c>
      <c r="S230" s="65"/>
      <c r="T230" s="70" t="s">
        <v>3573</v>
      </c>
      <c r="U230" s="65"/>
    </row>
    <row r="231" spans="1:21" ht="12.75" customHeight="1" x14ac:dyDescent="0.15">
      <c r="A231" s="68"/>
      <c r="B231" s="69"/>
      <c r="C231" s="69"/>
      <c r="D231" s="69"/>
      <c r="E231" s="69"/>
      <c r="F231" s="69"/>
      <c r="G231" s="69"/>
      <c r="H231" s="69"/>
      <c r="I231" s="69"/>
      <c r="J231" s="69"/>
      <c r="K231" s="69"/>
      <c r="L231" s="69"/>
      <c r="M231" s="69"/>
      <c r="N231" s="69"/>
      <c r="O231" s="65"/>
      <c r="P231" s="70" t="s">
        <v>3574</v>
      </c>
      <c r="Q231" s="65"/>
      <c r="R231" s="71">
        <v>31978</v>
      </c>
      <c r="S231" s="65"/>
      <c r="T231" s="70" t="s">
        <v>3575</v>
      </c>
      <c r="U231" s="65"/>
    </row>
    <row r="232" spans="1:21" ht="12.75" customHeight="1" x14ac:dyDescent="0.15">
      <c r="A232" s="68"/>
      <c r="B232" s="69"/>
      <c r="C232" s="69"/>
      <c r="D232" s="69"/>
      <c r="E232" s="69"/>
      <c r="F232" s="69"/>
      <c r="G232" s="69"/>
      <c r="H232" s="69"/>
      <c r="I232" s="69"/>
      <c r="J232" s="69"/>
      <c r="K232" s="69"/>
      <c r="L232" s="69"/>
      <c r="M232" s="69"/>
      <c r="N232" s="69"/>
      <c r="O232" s="65"/>
      <c r="P232" s="70" t="s">
        <v>3576</v>
      </c>
      <c r="Q232" s="65"/>
      <c r="R232" s="71">
        <v>33222</v>
      </c>
      <c r="S232" s="65"/>
      <c r="T232" s="70" t="s">
        <v>3577</v>
      </c>
      <c r="U232" s="65"/>
    </row>
    <row r="233" spans="1:21" ht="25.5" customHeight="1" x14ac:dyDescent="0.15">
      <c r="A233" s="61">
        <v>1029</v>
      </c>
      <c r="B233" s="67" t="s">
        <v>3578</v>
      </c>
      <c r="C233" s="65"/>
      <c r="D233" s="67" t="s">
        <v>3579</v>
      </c>
      <c r="E233" s="69"/>
      <c r="F233" s="65"/>
      <c r="G233" s="67" t="s">
        <v>3580</v>
      </c>
      <c r="H233" s="65"/>
      <c r="I233" s="70" t="s">
        <v>3581</v>
      </c>
      <c r="J233" s="65"/>
      <c r="K233" s="55" t="s">
        <v>3582</v>
      </c>
      <c r="L233" s="67" t="s">
        <v>3583</v>
      </c>
      <c r="M233" s="65"/>
      <c r="N233" s="67" t="s">
        <v>3584</v>
      </c>
      <c r="O233" s="65"/>
      <c r="P233" s="67" t="s">
        <v>3585</v>
      </c>
      <c r="Q233" s="65"/>
      <c r="R233" s="70" t="s">
        <v>3586</v>
      </c>
      <c r="S233" s="65"/>
      <c r="T233" s="67" t="s">
        <v>3587</v>
      </c>
      <c r="U233" s="65"/>
    </row>
    <row r="234" spans="1:21" ht="12.75" customHeight="1" x14ac:dyDescent="0.15">
      <c r="A234" s="68"/>
      <c r="B234" s="69"/>
      <c r="C234" s="69"/>
      <c r="D234" s="69"/>
      <c r="E234" s="69"/>
      <c r="F234" s="69"/>
      <c r="G234" s="69"/>
      <c r="H234" s="69"/>
      <c r="I234" s="69"/>
      <c r="J234" s="69"/>
      <c r="K234" s="69"/>
      <c r="L234" s="69"/>
      <c r="M234" s="69"/>
      <c r="N234" s="69"/>
      <c r="O234" s="65"/>
      <c r="P234" s="70" t="s">
        <v>3588</v>
      </c>
      <c r="Q234" s="65"/>
      <c r="R234" s="70" t="s">
        <v>3589</v>
      </c>
      <c r="S234" s="65"/>
      <c r="T234" s="70" t="s">
        <v>3590</v>
      </c>
      <c r="U234" s="65"/>
    </row>
    <row r="235" spans="1:21" ht="24.75" customHeight="1" x14ac:dyDescent="0.15">
      <c r="A235" s="75"/>
      <c r="B235" s="69"/>
      <c r="C235" s="69"/>
      <c r="D235" s="69"/>
      <c r="E235" s="69"/>
      <c r="F235" s="69"/>
      <c r="G235" s="69"/>
      <c r="H235" s="69"/>
      <c r="I235" s="69"/>
      <c r="J235" s="69"/>
      <c r="K235" s="69"/>
      <c r="L235" s="69"/>
      <c r="M235" s="69"/>
      <c r="N235" s="69"/>
      <c r="O235" s="65"/>
      <c r="P235" s="67" t="s">
        <v>3591</v>
      </c>
      <c r="Q235" s="65"/>
      <c r="R235" s="70" t="s">
        <v>3592</v>
      </c>
      <c r="S235" s="65"/>
      <c r="T235" s="67" t="s">
        <v>3593</v>
      </c>
      <c r="U235" s="65"/>
    </row>
    <row r="236" spans="1:21" ht="12.75" customHeight="1" x14ac:dyDescent="0.15">
      <c r="A236" s="68"/>
      <c r="B236" s="69"/>
      <c r="C236" s="69"/>
      <c r="D236" s="69"/>
      <c r="E236" s="69"/>
      <c r="F236" s="69"/>
      <c r="G236" s="69"/>
      <c r="H236" s="69"/>
      <c r="I236" s="69"/>
      <c r="J236" s="69"/>
      <c r="K236" s="69"/>
      <c r="L236" s="69"/>
      <c r="M236" s="69"/>
      <c r="N236" s="69"/>
      <c r="O236" s="65"/>
      <c r="P236" s="70" t="s">
        <v>3594</v>
      </c>
      <c r="Q236" s="65"/>
      <c r="R236" s="70" t="s">
        <v>3595</v>
      </c>
      <c r="S236" s="65"/>
      <c r="T236" s="70" t="s">
        <v>3596</v>
      </c>
      <c r="U236" s="65"/>
    </row>
    <row r="237" spans="1:21" ht="25.5" customHeight="1" x14ac:dyDescent="0.15">
      <c r="A237" s="61">
        <v>1030</v>
      </c>
      <c r="B237" s="67" t="s">
        <v>3597</v>
      </c>
      <c r="C237" s="65"/>
      <c r="D237" s="66">
        <v>880355</v>
      </c>
      <c r="E237" s="69"/>
      <c r="F237" s="65"/>
      <c r="G237" s="67" t="s">
        <v>3598</v>
      </c>
      <c r="H237" s="65"/>
      <c r="I237" s="70" t="s">
        <v>3599</v>
      </c>
      <c r="J237" s="65"/>
      <c r="K237" s="55" t="s">
        <v>3600</v>
      </c>
      <c r="L237" s="67" t="s">
        <v>3601</v>
      </c>
      <c r="M237" s="65"/>
      <c r="N237" s="67" t="s">
        <v>3602</v>
      </c>
      <c r="O237" s="65"/>
      <c r="P237" s="67" t="s">
        <v>3603</v>
      </c>
      <c r="Q237" s="65"/>
      <c r="R237" s="70" t="s">
        <v>3604</v>
      </c>
      <c r="S237" s="65"/>
      <c r="T237" s="67" t="s">
        <v>3605</v>
      </c>
      <c r="U237" s="65"/>
    </row>
    <row r="238" spans="1:21" ht="12.75" customHeight="1" x14ac:dyDescent="0.15">
      <c r="A238" s="68"/>
      <c r="B238" s="69"/>
      <c r="C238" s="69"/>
      <c r="D238" s="69"/>
      <c r="E238" s="69"/>
      <c r="F238" s="69"/>
      <c r="G238" s="69"/>
      <c r="H238" s="69"/>
      <c r="I238" s="69"/>
      <c r="J238" s="69"/>
      <c r="K238" s="69"/>
      <c r="L238" s="69"/>
      <c r="M238" s="69"/>
      <c r="N238" s="69"/>
      <c r="O238" s="65"/>
      <c r="P238" s="70" t="s">
        <v>3606</v>
      </c>
      <c r="Q238" s="65"/>
      <c r="R238" s="70" t="s">
        <v>3607</v>
      </c>
      <c r="S238" s="65"/>
      <c r="T238" s="70" t="s">
        <v>3608</v>
      </c>
      <c r="U238" s="65"/>
    </row>
    <row r="239" spans="1:21" ht="12.75" customHeight="1" x14ac:dyDescent="0.15">
      <c r="A239" s="68"/>
      <c r="B239" s="69"/>
      <c r="C239" s="69"/>
      <c r="D239" s="69"/>
      <c r="E239" s="69"/>
      <c r="F239" s="69"/>
      <c r="G239" s="69"/>
      <c r="H239" s="69"/>
      <c r="I239" s="69"/>
      <c r="J239" s="69"/>
      <c r="K239" s="69"/>
      <c r="L239" s="69"/>
      <c r="M239" s="69"/>
      <c r="N239" s="69"/>
      <c r="O239" s="65"/>
      <c r="P239" s="70" t="s">
        <v>3609</v>
      </c>
      <c r="Q239" s="65"/>
      <c r="R239" s="71">
        <v>31680</v>
      </c>
      <c r="S239" s="65"/>
      <c r="T239" s="70" t="s">
        <v>3610</v>
      </c>
      <c r="U239" s="65"/>
    </row>
    <row r="240" spans="1:21" ht="12.75" customHeight="1" x14ac:dyDescent="0.15">
      <c r="A240" s="68"/>
      <c r="B240" s="69"/>
      <c r="C240" s="69"/>
      <c r="D240" s="69"/>
      <c r="E240" s="69"/>
      <c r="F240" s="69"/>
      <c r="G240" s="69"/>
      <c r="H240" s="69"/>
      <c r="I240" s="69"/>
      <c r="J240" s="69"/>
      <c r="K240" s="69"/>
      <c r="L240" s="69"/>
      <c r="M240" s="69"/>
      <c r="N240" s="69"/>
      <c r="O240" s="65"/>
      <c r="P240" s="70" t="s">
        <v>3611</v>
      </c>
      <c r="Q240" s="65"/>
      <c r="R240" s="71">
        <v>31978</v>
      </c>
      <c r="S240" s="65"/>
      <c r="T240" s="70" t="s">
        <v>3612</v>
      </c>
      <c r="U240" s="65"/>
    </row>
    <row r="241" spans="1:21" ht="13.5" customHeight="1" x14ac:dyDescent="0.15">
      <c r="A241" s="68"/>
      <c r="B241" s="69"/>
      <c r="C241" s="69"/>
      <c r="D241" s="69"/>
      <c r="E241" s="69"/>
      <c r="F241" s="69"/>
      <c r="G241" s="69"/>
      <c r="H241" s="69"/>
      <c r="I241" s="69"/>
      <c r="J241" s="69"/>
      <c r="K241" s="69"/>
      <c r="L241" s="69"/>
      <c r="M241" s="69"/>
      <c r="N241" s="69"/>
      <c r="O241" s="65"/>
      <c r="P241" s="70" t="s">
        <v>3613</v>
      </c>
      <c r="Q241" s="65"/>
      <c r="R241" s="71">
        <v>32428</v>
      </c>
      <c r="S241" s="65"/>
      <c r="T241" s="70" t="s">
        <v>3614</v>
      </c>
      <c r="U241" s="65"/>
    </row>
    <row r="242" spans="1:21" ht="12.75" customHeight="1" x14ac:dyDescent="0.15">
      <c r="A242" s="68"/>
      <c r="B242" s="69"/>
      <c r="C242" s="69"/>
      <c r="D242" s="69"/>
      <c r="E242" s="69"/>
      <c r="F242" s="69"/>
      <c r="G242" s="69"/>
      <c r="H242" s="69"/>
      <c r="I242" s="69"/>
      <c r="J242" s="69"/>
      <c r="K242" s="69"/>
      <c r="L242" s="69"/>
      <c r="M242" s="69"/>
      <c r="N242" s="69"/>
      <c r="O242" s="65"/>
      <c r="P242" s="70" t="s">
        <v>3615</v>
      </c>
      <c r="Q242" s="65"/>
      <c r="R242" s="71">
        <v>32660</v>
      </c>
      <c r="S242" s="65"/>
      <c r="T242" s="70" t="s">
        <v>3616</v>
      </c>
      <c r="U242" s="65"/>
    </row>
    <row r="243" spans="1:21" ht="24.75" customHeight="1" x14ac:dyDescent="0.15">
      <c r="A243" s="61">
        <v>1031</v>
      </c>
      <c r="B243" s="67" t="s">
        <v>3617</v>
      </c>
      <c r="C243" s="65"/>
      <c r="D243" s="66">
        <v>920342</v>
      </c>
      <c r="E243" s="69"/>
      <c r="F243" s="65"/>
      <c r="G243" s="67" t="s">
        <v>3618</v>
      </c>
      <c r="H243" s="65"/>
      <c r="I243" s="70" t="s">
        <v>3619</v>
      </c>
      <c r="J243" s="65"/>
      <c r="K243" s="55" t="s">
        <v>3620</v>
      </c>
      <c r="L243" s="67" t="s">
        <v>3621</v>
      </c>
      <c r="M243" s="65"/>
      <c r="N243" s="67" t="s">
        <v>3622</v>
      </c>
      <c r="O243" s="65"/>
      <c r="P243" s="67" t="s">
        <v>3623</v>
      </c>
      <c r="Q243" s="65"/>
      <c r="R243" s="70" t="s">
        <v>3624</v>
      </c>
      <c r="S243" s="65"/>
      <c r="T243" s="67" t="s">
        <v>3625</v>
      </c>
      <c r="U243" s="65"/>
    </row>
    <row r="244" spans="1:21" ht="12.75" customHeight="1" x14ac:dyDescent="0.15">
      <c r="A244" s="68"/>
      <c r="B244" s="69"/>
      <c r="C244" s="69"/>
      <c r="D244" s="69"/>
      <c r="E244" s="69"/>
      <c r="F244" s="69"/>
      <c r="G244" s="69"/>
      <c r="H244" s="69"/>
      <c r="I244" s="69"/>
      <c r="J244" s="69"/>
      <c r="K244" s="69"/>
      <c r="L244" s="69"/>
      <c r="M244" s="69"/>
      <c r="N244" s="69"/>
      <c r="O244" s="65"/>
      <c r="P244" s="70" t="s">
        <v>3626</v>
      </c>
      <c r="Q244" s="65"/>
      <c r="R244" s="70" t="s">
        <v>3627</v>
      </c>
      <c r="S244" s="65"/>
      <c r="T244" s="70" t="s">
        <v>3628</v>
      </c>
      <c r="U244" s="65"/>
    </row>
    <row r="245" spans="1:21" ht="13.5" customHeight="1" x14ac:dyDescent="0.15">
      <c r="A245" s="68"/>
      <c r="B245" s="69"/>
      <c r="C245" s="69"/>
      <c r="D245" s="69"/>
      <c r="E245" s="69"/>
      <c r="F245" s="69"/>
      <c r="G245" s="69"/>
      <c r="H245" s="69"/>
      <c r="I245" s="69"/>
      <c r="J245" s="69"/>
      <c r="K245" s="69"/>
      <c r="L245" s="69"/>
      <c r="M245" s="69"/>
      <c r="N245" s="69"/>
      <c r="O245" s="65"/>
      <c r="P245" s="70" t="s">
        <v>3629</v>
      </c>
      <c r="Q245" s="65"/>
      <c r="R245" s="71">
        <v>31680</v>
      </c>
      <c r="S245" s="65"/>
      <c r="T245" s="70" t="s">
        <v>3630</v>
      </c>
      <c r="U245" s="65"/>
    </row>
    <row r="246" spans="1:21" ht="12.75" customHeight="1" x14ac:dyDescent="0.15">
      <c r="A246" s="68"/>
      <c r="B246" s="69"/>
      <c r="C246" s="69"/>
      <c r="D246" s="69"/>
      <c r="E246" s="69"/>
      <c r="F246" s="69"/>
      <c r="G246" s="69"/>
      <c r="H246" s="69"/>
      <c r="I246" s="69"/>
      <c r="J246" s="69"/>
      <c r="K246" s="69"/>
      <c r="L246" s="69"/>
      <c r="M246" s="69"/>
      <c r="N246" s="69"/>
      <c r="O246" s="65"/>
      <c r="P246" s="70" t="s">
        <v>3631</v>
      </c>
      <c r="Q246" s="65"/>
      <c r="R246" s="71">
        <v>31978</v>
      </c>
      <c r="S246" s="65"/>
      <c r="T246" s="70" t="s">
        <v>3632</v>
      </c>
      <c r="U246" s="65"/>
    </row>
    <row r="247" spans="1:21" ht="12.75" customHeight="1" x14ac:dyDescent="0.15">
      <c r="A247" s="68"/>
      <c r="B247" s="69"/>
      <c r="C247" s="69"/>
      <c r="D247" s="69"/>
      <c r="E247" s="69"/>
      <c r="F247" s="69"/>
      <c r="G247" s="69"/>
      <c r="H247" s="69"/>
      <c r="I247" s="69"/>
      <c r="J247" s="69"/>
      <c r="K247" s="69"/>
      <c r="L247" s="69"/>
      <c r="M247" s="69"/>
      <c r="N247" s="69"/>
      <c r="O247" s="65"/>
      <c r="P247" s="70" t="s">
        <v>3633</v>
      </c>
      <c r="Q247" s="65"/>
      <c r="R247" s="71">
        <v>33801</v>
      </c>
      <c r="S247" s="65"/>
      <c r="T247" s="70" t="s">
        <v>3634</v>
      </c>
      <c r="U247" s="65"/>
    </row>
    <row r="248" spans="1:21" ht="12.75" customHeight="1" x14ac:dyDescent="0.15">
      <c r="A248" s="68"/>
      <c r="B248" s="69"/>
      <c r="C248" s="69"/>
      <c r="D248" s="69"/>
      <c r="E248" s="69"/>
      <c r="F248" s="69"/>
      <c r="G248" s="69"/>
      <c r="H248" s="69"/>
      <c r="I248" s="69"/>
      <c r="J248" s="69"/>
      <c r="K248" s="69"/>
      <c r="L248" s="69"/>
      <c r="M248" s="69"/>
      <c r="N248" s="69"/>
      <c r="O248" s="65"/>
      <c r="P248" s="70" t="s">
        <v>3635</v>
      </c>
      <c r="Q248" s="65"/>
      <c r="R248" s="71">
        <v>38005</v>
      </c>
      <c r="S248" s="65"/>
      <c r="T248" s="70" t="s">
        <v>3636</v>
      </c>
      <c r="U248" s="65"/>
    </row>
    <row r="249" spans="1:21" ht="25.5" customHeight="1" x14ac:dyDescent="0.15">
      <c r="A249" s="61">
        <v>1032</v>
      </c>
      <c r="B249" s="67" t="s">
        <v>3637</v>
      </c>
      <c r="C249" s="65"/>
      <c r="D249" s="67" t="s">
        <v>3638</v>
      </c>
      <c r="E249" s="69"/>
      <c r="F249" s="65"/>
      <c r="G249" s="67" t="s">
        <v>3639</v>
      </c>
      <c r="H249" s="65"/>
      <c r="I249" s="70" t="s">
        <v>3640</v>
      </c>
      <c r="J249" s="65"/>
      <c r="K249" s="55" t="s">
        <v>3641</v>
      </c>
      <c r="L249" s="67" t="s">
        <v>3642</v>
      </c>
      <c r="M249" s="65"/>
      <c r="N249" s="67" t="s">
        <v>3643</v>
      </c>
      <c r="O249" s="65"/>
      <c r="P249" s="67" t="s">
        <v>3644</v>
      </c>
      <c r="Q249" s="65"/>
      <c r="R249" s="70" t="s">
        <v>3645</v>
      </c>
      <c r="S249" s="65"/>
      <c r="T249" s="67" t="s">
        <v>3646</v>
      </c>
      <c r="U249" s="65"/>
    </row>
    <row r="250" spans="1:21" ht="25.5" customHeight="1" x14ac:dyDescent="0.15">
      <c r="A250" s="75"/>
      <c r="B250" s="69"/>
      <c r="C250" s="69"/>
      <c r="D250" s="69"/>
      <c r="E250" s="69"/>
      <c r="F250" s="69"/>
      <c r="G250" s="69"/>
      <c r="H250" s="69"/>
      <c r="I250" s="69"/>
      <c r="J250" s="69"/>
      <c r="K250" s="69"/>
      <c r="L250" s="69"/>
      <c r="M250" s="69"/>
      <c r="N250" s="69"/>
      <c r="O250" s="65"/>
      <c r="P250" s="67" t="s">
        <v>3647</v>
      </c>
      <c r="Q250" s="65"/>
      <c r="R250" s="73" t="s">
        <v>3648</v>
      </c>
      <c r="S250" s="65"/>
      <c r="T250" s="67" t="s">
        <v>3649</v>
      </c>
      <c r="U250" s="65"/>
    </row>
    <row r="251" spans="1:21" ht="12.75" customHeight="1" x14ac:dyDescent="0.15">
      <c r="A251" s="68"/>
      <c r="B251" s="69"/>
      <c r="C251" s="69"/>
      <c r="D251" s="69"/>
      <c r="E251" s="69"/>
      <c r="F251" s="69"/>
      <c r="G251" s="69"/>
      <c r="H251" s="69"/>
      <c r="I251" s="69"/>
      <c r="J251" s="69"/>
      <c r="K251" s="69"/>
      <c r="L251" s="69"/>
      <c r="M251" s="69"/>
      <c r="N251" s="69"/>
      <c r="O251" s="65"/>
      <c r="P251" s="70" t="s">
        <v>3650</v>
      </c>
      <c r="Q251" s="65"/>
      <c r="R251" s="71">
        <v>31472</v>
      </c>
      <c r="S251" s="65"/>
      <c r="T251" s="70" t="s">
        <v>3651</v>
      </c>
      <c r="U251" s="65"/>
    </row>
    <row r="252" spans="1:21" ht="12.75" customHeight="1" x14ac:dyDescent="0.15">
      <c r="A252" s="68"/>
      <c r="B252" s="69"/>
      <c r="C252" s="69"/>
      <c r="D252" s="69"/>
      <c r="E252" s="69"/>
      <c r="F252" s="69"/>
      <c r="G252" s="69"/>
      <c r="H252" s="69"/>
      <c r="I252" s="69"/>
      <c r="J252" s="69"/>
      <c r="K252" s="69"/>
      <c r="L252" s="69"/>
      <c r="M252" s="69"/>
      <c r="N252" s="69"/>
      <c r="O252" s="65"/>
      <c r="P252" s="70" t="s">
        <v>3652</v>
      </c>
      <c r="Q252" s="65"/>
      <c r="R252" s="71">
        <v>31978</v>
      </c>
      <c r="S252" s="65"/>
      <c r="T252" s="70" t="s">
        <v>3653</v>
      </c>
      <c r="U252" s="65"/>
    </row>
    <row r="253" spans="1:21" ht="12.75" customHeight="1" x14ac:dyDescent="0.15">
      <c r="A253" s="68"/>
      <c r="B253" s="69"/>
      <c r="C253" s="69"/>
      <c r="D253" s="69"/>
      <c r="E253" s="69"/>
      <c r="F253" s="69"/>
      <c r="G253" s="69"/>
      <c r="H253" s="69"/>
      <c r="I253" s="69"/>
      <c r="J253" s="69"/>
      <c r="K253" s="69"/>
      <c r="L253" s="69"/>
      <c r="M253" s="69"/>
      <c r="N253" s="69"/>
      <c r="O253" s="65"/>
      <c r="P253" s="70" t="s">
        <v>3654</v>
      </c>
      <c r="Q253" s="65"/>
      <c r="R253" s="71">
        <v>35500</v>
      </c>
      <c r="S253" s="65"/>
      <c r="T253" s="70" t="s">
        <v>3655</v>
      </c>
      <c r="U253" s="65"/>
    </row>
    <row r="254" spans="1:21" ht="25.5" customHeight="1" x14ac:dyDescent="0.15">
      <c r="A254" s="61">
        <v>1033</v>
      </c>
      <c r="B254" s="67" t="s">
        <v>3656</v>
      </c>
      <c r="C254" s="65"/>
      <c r="D254" s="67" t="s">
        <v>3657</v>
      </c>
      <c r="E254" s="69"/>
      <c r="F254" s="65"/>
      <c r="G254" s="67" t="s">
        <v>3658</v>
      </c>
      <c r="H254" s="65"/>
      <c r="I254" s="70" t="s">
        <v>3659</v>
      </c>
      <c r="J254" s="65"/>
      <c r="K254" s="55" t="s">
        <v>3660</v>
      </c>
      <c r="L254" s="67" t="s">
        <v>3661</v>
      </c>
      <c r="M254" s="65"/>
      <c r="N254" s="67" t="s">
        <v>3662</v>
      </c>
      <c r="O254" s="65"/>
      <c r="P254" s="67" t="s">
        <v>3663</v>
      </c>
      <c r="Q254" s="65"/>
      <c r="R254" s="70" t="s">
        <v>3664</v>
      </c>
      <c r="S254" s="65"/>
      <c r="T254" s="67" t="s">
        <v>3665</v>
      </c>
      <c r="U254" s="65"/>
    </row>
    <row r="255" spans="1:21" ht="12.75" customHeight="1" x14ac:dyDescent="0.15">
      <c r="A255" s="68"/>
      <c r="B255" s="69"/>
      <c r="C255" s="69"/>
      <c r="D255" s="69"/>
      <c r="E255" s="69"/>
      <c r="F255" s="69"/>
      <c r="G255" s="69"/>
      <c r="H255" s="69"/>
      <c r="I255" s="69"/>
      <c r="J255" s="69"/>
      <c r="K255" s="69"/>
      <c r="L255" s="69"/>
      <c r="M255" s="69"/>
      <c r="N255" s="69"/>
      <c r="O255" s="65"/>
      <c r="P255" s="70" t="s">
        <v>3666</v>
      </c>
      <c r="Q255" s="65"/>
      <c r="R255" s="70" t="s">
        <v>3667</v>
      </c>
      <c r="S255" s="65"/>
      <c r="T255" s="70" t="s">
        <v>3668</v>
      </c>
      <c r="U255" s="65"/>
    </row>
    <row r="256" spans="1:21" ht="12.75" customHeight="1" x14ac:dyDescent="0.15">
      <c r="A256" s="68"/>
      <c r="B256" s="69"/>
      <c r="C256" s="69"/>
      <c r="D256" s="69"/>
      <c r="E256" s="69"/>
      <c r="F256" s="69"/>
      <c r="G256" s="69"/>
      <c r="H256" s="69"/>
      <c r="I256" s="69"/>
      <c r="J256" s="69"/>
      <c r="K256" s="69"/>
      <c r="L256" s="69"/>
      <c r="M256" s="69"/>
      <c r="N256" s="69"/>
      <c r="O256" s="65"/>
      <c r="P256" s="70" t="s">
        <v>3669</v>
      </c>
      <c r="Q256" s="65"/>
      <c r="R256" s="71">
        <v>31472</v>
      </c>
      <c r="S256" s="65"/>
      <c r="T256" s="70" t="s">
        <v>3670</v>
      </c>
      <c r="U256" s="65"/>
    </row>
    <row r="257" spans="1:21" ht="21" customHeight="1" x14ac:dyDescent="0.15">
      <c r="A257" s="60" t="s">
        <v>3671</v>
      </c>
      <c r="B257" s="72" t="s">
        <v>3672</v>
      </c>
      <c r="C257" s="65"/>
      <c r="D257" s="72" t="s">
        <v>3673</v>
      </c>
      <c r="E257" s="69"/>
      <c r="F257" s="65"/>
      <c r="G257" s="72" t="s">
        <v>3674</v>
      </c>
      <c r="H257" s="65"/>
      <c r="I257" s="72" t="s">
        <v>3675</v>
      </c>
      <c r="J257" s="65"/>
      <c r="K257" s="60" t="s">
        <v>3676</v>
      </c>
      <c r="L257" s="72" t="s">
        <v>3677</v>
      </c>
      <c r="M257" s="65"/>
      <c r="N257" s="72" t="s">
        <v>3678</v>
      </c>
      <c r="O257" s="65"/>
      <c r="P257" s="72" t="s">
        <v>3679</v>
      </c>
      <c r="Q257" s="65"/>
      <c r="R257" s="72" t="s">
        <v>3680</v>
      </c>
      <c r="S257" s="65"/>
      <c r="T257" s="72" t="s">
        <v>3681</v>
      </c>
      <c r="U257" s="65"/>
    </row>
    <row r="258" spans="1:21" ht="13.5" customHeight="1" x14ac:dyDescent="0.15">
      <c r="A258" s="68"/>
      <c r="B258" s="69"/>
      <c r="C258" s="69"/>
      <c r="D258" s="69"/>
      <c r="E258" s="69"/>
      <c r="F258" s="69"/>
      <c r="G258" s="69"/>
      <c r="H258" s="69"/>
      <c r="I258" s="69"/>
      <c r="J258" s="69"/>
      <c r="K258" s="69"/>
      <c r="L258" s="69"/>
      <c r="M258" s="69"/>
      <c r="N258" s="69"/>
      <c r="O258" s="65"/>
      <c r="P258" s="70" t="s">
        <v>3682</v>
      </c>
      <c r="Q258" s="65"/>
      <c r="R258" s="71">
        <v>31978</v>
      </c>
      <c r="S258" s="65"/>
      <c r="T258" s="70" t="s">
        <v>3683</v>
      </c>
      <c r="U258" s="65"/>
    </row>
    <row r="259" spans="1:21" ht="12.75" customHeight="1" x14ac:dyDescent="0.15">
      <c r="A259" s="68"/>
      <c r="B259" s="69"/>
      <c r="C259" s="69"/>
      <c r="D259" s="69"/>
      <c r="E259" s="69"/>
      <c r="F259" s="69"/>
      <c r="G259" s="69"/>
      <c r="H259" s="69"/>
      <c r="I259" s="69"/>
      <c r="J259" s="69"/>
      <c r="K259" s="69"/>
      <c r="L259" s="69"/>
      <c r="M259" s="69"/>
      <c r="N259" s="69"/>
      <c r="O259" s="65"/>
      <c r="P259" s="70" t="s">
        <v>3684</v>
      </c>
      <c r="Q259" s="65"/>
      <c r="R259" s="71">
        <v>32351</v>
      </c>
      <c r="S259" s="65"/>
      <c r="T259" s="70" t="s">
        <v>3685</v>
      </c>
      <c r="U259" s="65"/>
    </row>
    <row r="260" spans="1:21" ht="36.75" customHeight="1" x14ac:dyDescent="0.15">
      <c r="A260" s="61">
        <v>1034</v>
      </c>
      <c r="B260" s="67" t="s">
        <v>3686</v>
      </c>
      <c r="C260" s="65"/>
      <c r="D260" s="67" t="s">
        <v>3687</v>
      </c>
      <c r="E260" s="69"/>
      <c r="F260" s="65"/>
      <c r="G260" s="67" t="s">
        <v>3688</v>
      </c>
      <c r="H260" s="65"/>
      <c r="I260" s="70" t="s">
        <v>3689</v>
      </c>
      <c r="J260" s="65"/>
      <c r="K260" s="55" t="s">
        <v>3690</v>
      </c>
      <c r="L260" s="67" t="s">
        <v>3691</v>
      </c>
      <c r="M260" s="65"/>
      <c r="N260" s="67" t="s">
        <v>3692</v>
      </c>
      <c r="O260" s="65"/>
      <c r="P260" s="67" t="s">
        <v>3693</v>
      </c>
      <c r="Q260" s="65"/>
      <c r="R260" s="70" t="s">
        <v>3694</v>
      </c>
      <c r="S260" s="65"/>
      <c r="T260" s="70" t="s">
        <v>3695</v>
      </c>
      <c r="U260" s="65"/>
    </row>
    <row r="261" spans="1:21" ht="38.25" customHeight="1" x14ac:dyDescent="0.15">
      <c r="A261" s="75"/>
      <c r="B261" s="69"/>
      <c r="C261" s="69"/>
      <c r="D261" s="69"/>
      <c r="E261" s="69"/>
      <c r="F261" s="69"/>
      <c r="G261" s="69"/>
      <c r="H261" s="69"/>
      <c r="I261" s="69"/>
      <c r="J261" s="69"/>
      <c r="K261" s="69"/>
      <c r="L261" s="69"/>
      <c r="M261" s="69"/>
      <c r="N261" s="69"/>
      <c r="O261" s="65"/>
      <c r="P261" s="77" t="s">
        <v>3696</v>
      </c>
      <c r="Q261" s="65"/>
      <c r="R261" s="77" t="s">
        <v>3697</v>
      </c>
      <c r="S261" s="65"/>
      <c r="T261" s="70" t="s">
        <v>3698</v>
      </c>
      <c r="U261" s="65"/>
    </row>
    <row r="262" spans="1:21" ht="12.75" customHeight="1" x14ac:dyDescent="0.15">
      <c r="A262" s="68"/>
      <c r="B262" s="69"/>
      <c r="C262" s="69"/>
      <c r="D262" s="69"/>
      <c r="E262" s="69"/>
      <c r="F262" s="69"/>
      <c r="G262" s="69"/>
      <c r="H262" s="69"/>
      <c r="I262" s="69"/>
      <c r="J262" s="69"/>
      <c r="K262" s="69"/>
      <c r="L262" s="69"/>
      <c r="M262" s="69"/>
      <c r="N262" s="69"/>
      <c r="O262" s="65"/>
      <c r="P262" s="70" t="s">
        <v>3699</v>
      </c>
      <c r="Q262" s="65"/>
      <c r="R262" s="70" t="s">
        <v>3700</v>
      </c>
      <c r="S262" s="65"/>
      <c r="T262" s="70" t="s">
        <v>3701</v>
      </c>
      <c r="U262" s="65"/>
    </row>
    <row r="263" spans="1:21" ht="13.5" customHeight="1" x14ac:dyDescent="0.15">
      <c r="A263" s="68"/>
      <c r="B263" s="69"/>
      <c r="C263" s="69"/>
      <c r="D263" s="69"/>
      <c r="E263" s="69"/>
      <c r="F263" s="69"/>
      <c r="G263" s="69"/>
      <c r="H263" s="69"/>
      <c r="I263" s="69"/>
      <c r="J263" s="69"/>
      <c r="K263" s="69"/>
      <c r="L263" s="69"/>
      <c r="M263" s="69"/>
      <c r="N263" s="69"/>
      <c r="O263" s="65"/>
      <c r="P263" s="70" t="s">
        <v>3702</v>
      </c>
      <c r="Q263" s="65"/>
      <c r="R263" s="71">
        <v>31775</v>
      </c>
      <c r="S263" s="65"/>
      <c r="T263" s="70" t="s">
        <v>3703</v>
      </c>
      <c r="U263" s="65"/>
    </row>
    <row r="264" spans="1:21" ht="12.75" customHeight="1" x14ac:dyDescent="0.15">
      <c r="A264" s="68"/>
      <c r="B264" s="69"/>
      <c r="C264" s="69"/>
      <c r="D264" s="69"/>
      <c r="E264" s="69"/>
      <c r="F264" s="69"/>
      <c r="G264" s="69"/>
      <c r="H264" s="69"/>
      <c r="I264" s="69"/>
      <c r="J264" s="69"/>
      <c r="K264" s="69"/>
      <c r="L264" s="69"/>
      <c r="M264" s="69"/>
      <c r="N264" s="69"/>
      <c r="O264" s="65"/>
      <c r="P264" s="70" t="s">
        <v>3704</v>
      </c>
      <c r="Q264" s="65"/>
      <c r="R264" s="71">
        <v>31850</v>
      </c>
      <c r="S264" s="65"/>
      <c r="T264" s="70" t="s">
        <v>3705</v>
      </c>
      <c r="U264" s="65"/>
    </row>
    <row r="265" spans="1:21" ht="12.75" customHeight="1" x14ac:dyDescent="0.15">
      <c r="A265" s="68"/>
      <c r="B265" s="69"/>
      <c r="C265" s="69"/>
      <c r="D265" s="69"/>
      <c r="E265" s="69"/>
      <c r="F265" s="69"/>
      <c r="G265" s="69"/>
      <c r="H265" s="69"/>
      <c r="I265" s="69"/>
      <c r="J265" s="69"/>
      <c r="K265" s="69"/>
      <c r="L265" s="69"/>
      <c r="M265" s="69"/>
      <c r="N265" s="69"/>
      <c r="O265" s="65"/>
      <c r="P265" s="70" t="s">
        <v>3706</v>
      </c>
      <c r="Q265" s="65"/>
      <c r="R265" s="71">
        <v>31881</v>
      </c>
      <c r="S265" s="65"/>
      <c r="T265" s="70" t="s">
        <v>3707</v>
      </c>
      <c r="U265" s="65"/>
    </row>
    <row r="266" spans="1:21" ht="12.75" customHeight="1" x14ac:dyDescent="0.15">
      <c r="A266" s="68"/>
      <c r="B266" s="69"/>
      <c r="C266" s="69"/>
      <c r="D266" s="69"/>
      <c r="E266" s="69"/>
      <c r="F266" s="69"/>
      <c r="G266" s="69"/>
      <c r="H266" s="69"/>
      <c r="I266" s="69"/>
      <c r="J266" s="69"/>
      <c r="K266" s="69"/>
      <c r="L266" s="69"/>
      <c r="M266" s="69"/>
      <c r="N266" s="69"/>
      <c r="O266" s="65"/>
      <c r="P266" s="70" t="s">
        <v>3708</v>
      </c>
      <c r="Q266" s="65"/>
      <c r="R266" s="71">
        <v>31978</v>
      </c>
      <c r="S266" s="65"/>
      <c r="T266" s="70" t="s">
        <v>3709</v>
      </c>
      <c r="U266" s="65"/>
    </row>
    <row r="267" spans="1:21" ht="13.5" customHeight="1" x14ac:dyDescent="0.15">
      <c r="A267" s="68"/>
      <c r="B267" s="69"/>
      <c r="C267" s="69"/>
      <c r="D267" s="69"/>
      <c r="E267" s="69"/>
      <c r="F267" s="69"/>
      <c r="G267" s="69"/>
      <c r="H267" s="69"/>
      <c r="I267" s="69"/>
      <c r="J267" s="69"/>
      <c r="K267" s="69"/>
      <c r="L267" s="69"/>
      <c r="M267" s="69"/>
      <c r="N267" s="69"/>
      <c r="O267" s="65"/>
      <c r="P267" s="70" t="s">
        <v>3710</v>
      </c>
      <c r="Q267" s="65"/>
      <c r="R267" s="71">
        <v>33648</v>
      </c>
      <c r="S267" s="65"/>
      <c r="T267" s="70" t="s">
        <v>3711</v>
      </c>
      <c r="U267" s="65"/>
    </row>
    <row r="268" spans="1:21" ht="25.5" customHeight="1" x14ac:dyDescent="0.15">
      <c r="A268" s="61">
        <v>1035</v>
      </c>
      <c r="B268" s="67" t="s">
        <v>3712</v>
      </c>
      <c r="C268" s="65"/>
      <c r="D268" s="67" t="s">
        <v>3713</v>
      </c>
      <c r="E268" s="69"/>
      <c r="F268" s="65"/>
      <c r="G268" s="67" t="s">
        <v>3714</v>
      </c>
      <c r="H268" s="65"/>
      <c r="I268" s="73" t="s">
        <v>3715</v>
      </c>
      <c r="J268" s="65"/>
      <c r="K268" s="55" t="s">
        <v>3716</v>
      </c>
      <c r="L268" s="67" t="s">
        <v>3717</v>
      </c>
      <c r="M268" s="65"/>
      <c r="N268" s="67" t="s">
        <v>3718</v>
      </c>
      <c r="O268" s="65"/>
      <c r="P268" s="67" t="s">
        <v>3719</v>
      </c>
      <c r="Q268" s="65"/>
      <c r="R268" s="73" t="s">
        <v>3720</v>
      </c>
      <c r="S268" s="65"/>
      <c r="T268" s="67" t="s">
        <v>3721</v>
      </c>
      <c r="U268" s="65"/>
    </row>
    <row r="269" spans="1:21" ht="12.75" customHeight="1" x14ac:dyDescent="0.15">
      <c r="A269" s="68"/>
      <c r="B269" s="69"/>
      <c r="C269" s="69"/>
      <c r="D269" s="69"/>
      <c r="E269" s="69"/>
      <c r="F269" s="69"/>
      <c r="G269" s="69"/>
      <c r="H269" s="69"/>
      <c r="I269" s="69"/>
      <c r="J269" s="69"/>
      <c r="K269" s="69"/>
      <c r="L269" s="69"/>
      <c r="M269" s="69"/>
      <c r="N269" s="69"/>
      <c r="O269" s="65"/>
      <c r="P269" s="70" t="s">
        <v>3722</v>
      </c>
      <c r="Q269" s="65"/>
      <c r="R269" s="70" t="s">
        <v>3723</v>
      </c>
      <c r="S269" s="65"/>
      <c r="T269" s="70" t="s">
        <v>3724</v>
      </c>
      <c r="U269" s="65"/>
    </row>
    <row r="270" spans="1:21" ht="12.75" customHeight="1" x14ac:dyDescent="0.15">
      <c r="A270" s="68"/>
      <c r="B270" s="69"/>
      <c r="C270" s="69"/>
      <c r="D270" s="69"/>
      <c r="E270" s="69"/>
      <c r="F270" s="69"/>
      <c r="G270" s="69"/>
      <c r="H270" s="69"/>
      <c r="I270" s="69"/>
      <c r="J270" s="69"/>
      <c r="K270" s="69"/>
      <c r="L270" s="69"/>
      <c r="M270" s="69"/>
      <c r="N270" s="69"/>
      <c r="O270" s="65"/>
      <c r="P270" s="70" t="s">
        <v>3725</v>
      </c>
      <c r="Q270" s="65"/>
      <c r="R270" s="70" t="s">
        <v>3726</v>
      </c>
      <c r="S270" s="65"/>
      <c r="T270" s="70" t="s">
        <v>3727</v>
      </c>
      <c r="U270" s="65"/>
    </row>
    <row r="271" spans="1:21" ht="13.5" customHeight="1" x14ac:dyDescent="0.15">
      <c r="A271" s="68"/>
      <c r="B271" s="69"/>
      <c r="C271" s="69"/>
      <c r="D271" s="69"/>
      <c r="E271" s="69"/>
      <c r="F271" s="69"/>
      <c r="G271" s="69"/>
      <c r="H271" s="69"/>
      <c r="I271" s="69"/>
      <c r="J271" s="69"/>
      <c r="K271" s="69"/>
      <c r="L271" s="69"/>
      <c r="M271" s="69"/>
      <c r="N271" s="69"/>
      <c r="O271" s="65"/>
      <c r="P271" s="70" t="s">
        <v>3728</v>
      </c>
      <c r="Q271" s="65"/>
      <c r="R271" s="71">
        <v>31775</v>
      </c>
      <c r="S271" s="65"/>
      <c r="T271" s="70" t="s">
        <v>3729</v>
      </c>
      <c r="U271" s="65"/>
    </row>
    <row r="272" spans="1:21" ht="12.75" customHeight="1" x14ac:dyDescent="0.15">
      <c r="A272" s="68"/>
      <c r="B272" s="69"/>
      <c r="C272" s="69"/>
      <c r="D272" s="69"/>
      <c r="E272" s="69"/>
      <c r="F272" s="69"/>
      <c r="G272" s="69"/>
      <c r="H272" s="69"/>
      <c r="I272" s="69"/>
      <c r="J272" s="69"/>
      <c r="K272" s="69"/>
      <c r="L272" s="69"/>
      <c r="M272" s="69"/>
      <c r="N272" s="69"/>
      <c r="O272" s="65"/>
      <c r="P272" s="70" t="s">
        <v>3730</v>
      </c>
      <c r="Q272" s="65"/>
      <c r="R272" s="71">
        <v>31850</v>
      </c>
      <c r="S272" s="65"/>
      <c r="T272" s="70" t="s">
        <v>3731</v>
      </c>
      <c r="U272" s="65"/>
    </row>
    <row r="273" spans="1:21" ht="12.75" customHeight="1" x14ac:dyDescent="0.15">
      <c r="A273" s="68"/>
      <c r="B273" s="69"/>
      <c r="C273" s="69"/>
      <c r="D273" s="69"/>
      <c r="E273" s="69"/>
      <c r="F273" s="69"/>
      <c r="G273" s="69"/>
      <c r="H273" s="69"/>
      <c r="I273" s="69"/>
      <c r="J273" s="69"/>
      <c r="K273" s="69"/>
      <c r="L273" s="69"/>
      <c r="M273" s="69"/>
      <c r="N273" s="69"/>
      <c r="O273" s="65"/>
      <c r="P273" s="70" t="s">
        <v>3732</v>
      </c>
      <c r="Q273" s="65"/>
      <c r="R273" s="71">
        <v>31978</v>
      </c>
      <c r="S273" s="65"/>
      <c r="T273" s="70" t="s">
        <v>3733</v>
      </c>
      <c r="U273" s="65"/>
    </row>
    <row r="274" spans="1:21" ht="12.75" customHeight="1" x14ac:dyDescent="0.15">
      <c r="A274" s="68"/>
      <c r="B274" s="69"/>
      <c r="C274" s="69"/>
      <c r="D274" s="69"/>
      <c r="E274" s="69"/>
      <c r="F274" s="69"/>
      <c r="G274" s="69"/>
      <c r="H274" s="69"/>
      <c r="I274" s="69"/>
      <c r="J274" s="69"/>
      <c r="K274" s="69"/>
      <c r="L274" s="69"/>
      <c r="M274" s="69"/>
      <c r="N274" s="69"/>
      <c r="O274" s="65"/>
      <c r="P274" s="70" t="s">
        <v>3734</v>
      </c>
      <c r="Q274" s="65"/>
      <c r="R274" s="71">
        <v>33200</v>
      </c>
      <c r="S274" s="65"/>
      <c r="T274" s="70" t="s">
        <v>3735</v>
      </c>
      <c r="U274" s="65"/>
    </row>
    <row r="275" spans="1:21" ht="25.5" customHeight="1" x14ac:dyDescent="0.15">
      <c r="A275" s="61">
        <v>1036</v>
      </c>
      <c r="B275" s="67" t="s">
        <v>3736</v>
      </c>
      <c r="C275" s="65"/>
      <c r="D275" s="67" t="s">
        <v>3737</v>
      </c>
      <c r="E275" s="69"/>
      <c r="F275" s="65"/>
      <c r="G275" s="67" t="s">
        <v>3738</v>
      </c>
      <c r="H275" s="65"/>
      <c r="I275" s="70" t="s">
        <v>3739</v>
      </c>
      <c r="J275" s="65"/>
      <c r="K275" s="55" t="s">
        <v>3740</v>
      </c>
      <c r="L275" s="67" t="s">
        <v>3741</v>
      </c>
      <c r="M275" s="65"/>
      <c r="N275" s="67" t="s">
        <v>3742</v>
      </c>
      <c r="O275" s="65"/>
      <c r="P275" s="67" t="s">
        <v>3743</v>
      </c>
      <c r="Q275" s="65"/>
      <c r="R275" s="70" t="s">
        <v>3744</v>
      </c>
      <c r="S275" s="65"/>
      <c r="T275" s="67" t="s">
        <v>3745</v>
      </c>
      <c r="U275" s="65"/>
    </row>
    <row r="276" spans="1:21" ht="12.75" customHeight="1" x14ac:dyDescent="0.15">
      <c r="A276" s="68"/>
      <c r="B276" s="69"/>
      <c r="C276" s="69"/>
      <c r="D276" s="69"/>
      <c r="E276" s="69"/>
      <c r="F276" s="69"/>
      <c r="G276" s="69"/>
      <c r="H276" s="69"/>
      <c r="I276" s="69"/>
      <c r="J276" s="69"/>
      <c r="K276" s="69"/>
      <c r="L276" s="69"/>
      <c r="M276" s="69"/>
      <c r="N276" s="69"/>
      <c r="O276" s="65"/>
      <c r="P276" s="70" t="s">
        <v>3746</v>
      </c>
      <c r="Q276" s="65"/>
      <c r="R276" s="70" t="s">
        <v>3747</v>
      </c>
      <c r="S276" s="65"/>
      <c r="T276" s="70" t="s">
        <v>3748</v>
      </c>
      <c r="U276" s="65"/>
    </row>
    <row r="277" spans="1:21" ht="12.75" customHeight="1" x14ac:dyDescent="0.15">
      <c r="A277" s="68"/>
      <c r="B277" s="69"/>
      <c r="C277" s="69"/>
      <c r="D277" s="69"/>
      <c r="E277" s="69"/>
      <c r="F277" s="69"/>
      <c r="G277" s="69"/>
      <c r="H277" s="69"/>
      <c r="I277" s="69"/>
      <c r="J277" s="69"/>
      <c r="K277" s="69"/>
      <c r="L277" s="69"/>
      <c r="M277" s="69"/>
      <c r="N277" s="69"/>
      <c r="O277" s="65"/>
      <c r="P277" s="70" t="s">
        <v>3749</v>
      </c>
      <c r="Q277" s="65"/>
      <c r="R277" s="70" t="s">
        <v>3750</v>
      </c>
      <c r="S277" s="65"/>
      <c r="T277" s="70" t="s">
        <v>3751</v>
      </c>
      <c r="U277" s="65"/>
    </row>
    <row r="278" spans="1:21" ht="12.75" customHeight="1" x14ac:dyDescent="0.15">
      <c r="A278" s="68"/>
      <c r="B278" s="69"/>
      <c r="C278" s="69"/>
      <c r="D278" s="69"/>
      <c r="E278" s="69"/>
      <c r="F278" s="69"/>
      <c r="G278" s="69"/>
      <c r="H278" s="69"/>
      <c r="I278" s="69"/>
      <c r="J278" s="69"/>
      <c r="K278" s="69"/>
      <c r="L278" s="69"/>
      <c r="M278" s="69"/>
      <c r="N278" s="69"/>
      <c r="O278" s="65"/>
      <c r="P278" s="70" t="s">
        <v>3752</v>
      </c>
      <c r="Q278" s="65"/>
      <c r="R278" s="71">
        <v>31775</v>
      </c>
      <c r="S278" s="65"/>
      <c r="T278" s="70" t="s">
        <v>3753</v>
      </c>
      <c r="U278" s="65"/>
    </row>
    <row r="279" spans="1:21" ht="13.5" customHeight="1" x14ac:dyDescent="0.15">
      <c r="A279" s="68"/>
      <c r="B279" s="69"/>
      <c r="C279" s="69"/>
      <c r="D279" s="69"/>
      <c r="E279" s="69"/>
      <c r="F279" s="69"/>
      <c r="G279" s="69"/>
      <c r="H279" s="69"/>
      <c r="I279" s="69"/>
      <c r="J279" s="69"/>
      <c r="K279" s="69"/>
      <c r="L279" s="69"/>
      <c r="M279" s="69"/>
      <c r="N279" s="69"/>
      <c r="O279" s="65"/>
      <c r="P279" s="70" t="s">
        <v>3754</v>
      </c>
      <c r="Q279" s="65"/>
      <c r="R279" s="71">
        <v>31881</v>
      </c>
      <c r="S279" s="65"/>
      <c r="T279" s="70" t="s">
        <v>3755</v>
      </c>
      <c r="U279" s="65"/>
    </row>
    <row r="280" spans="1:21" ht="12.75" customHeight="1" x14ac:dyDescent="0.15">
      <c r="A280" s="68"/>
      <c r="B280" s="69"/>
      <c r="C280" s="69"/>
      <c r="D280" s="69"/>
      <c r="E280" s="69"/>
      <c r="F280" s="69"/>
      <c r="G280" s="69"/>
      <c r="H280" s="69"/>
      <c r="I280" s="69"/>
      <c r="J280" s="69"/>
      <c r="K280" s="69"/>
      <c r="L280" s="69"/>
      <c r="M280" s="69"/>
      <c r="N280" s="69"/>
      <c r="O280" s="65"/>
      <c r="P280" s="70" t="s">
        <v>3756</v>
      </c>
      <c r="Q280" s="65"/>
      <c r="R280" s="71">
        <v>31978</v>
      </c>
      <c r="S280" s="65"/>
      <c r="T280" s="70" t="s">
        <v>3757</v>
      </c>
      <c r="U280" s="65"/>
    </row>
    <row r="281" spans="1:21" ht="12.75" customHeight="1" x14ac:dyDescent="0.15">
      <c r="A281" s="68"/>
      <c r="B281" s="69"/>
      <c r="C281" s="69"/>
      <c r="D281" s="69"/>
      <c r="E281" s="69"/>
      <c r="F281" s="69"/>
      <c r="G281" s="69"/>
      <c r="H281" s="69"/>
      <c r="I281" s="69"/>
      <c r="J281" s="69"/>
      <c r="K281" s="69"/>
      <c r="L281" s="69"/>
      <c r="M281" s="69"/>
      <c r="N281" s="69"/>
      <c r="O281" s="65"/>
      <c r="P281" s="70" t="s">
        <v>3758</v>
      </c>
      <c r="Q281" s="65"/>
      <c r="R281" s="71">
        <v>32806</v>
      </c>
      <c r="S281" s="65"/>
      <c r="T281" s="70" t="s">
        <v>3759</v>
      </c>
      <c r="U281" s="65"/>
    </row>
    <row r="282" spans="1:21" ht="24.75" customHeight="1" x14ac:dyDescent="0.15">
      <c r="A282" s="61">
        <v>1037</v>
      </c>
      <c r="B282" s="67" t="s">
        <v>3760</v>
      </c>
      <c r="C282" s="65"/>
      <c r="D282" s="67" t="s">
        <v>3761</v>
      </c>
      <c r="E282" s="69"/>
      <c r="F282" s="65"/>
      <c r="G282" s="67" t="s">
        <v>3762</v>
      </c>
      <c r="H282" s="65"/>
      <c r="I282" s="70" t="s">
        <v>3763</v>
      </c>
      <c r="J282" s="65"/>
      <c r="K282" s="55" t="s">
        <v>3764</v>
      </c>
      <c r="L282" s="67" t="s">
        <v>3765</v>
      </c>
      <c r="M282" s="65"/>
      <c r="N282" s="67" t="s">
        <v>3766</v>
      </c>
      <c r="O282" s="65"/>
      <c r="P282" s="67" t="s">
        <v>3767</v>
      </c>
      <c r="Q282" s="65"/>
      <c r="R282" s="70" t="s">
        <v>3768</v>
      </c>
      <c r="S282" s="65"/>
      <c r="T282" s="67" t="s">
        <v>3769</v>
      </c>
      <c r="U282" s="65"/>
    </row>
    <row r="283" spans="1:21" ht="12.75" customHeight="1" x14ac:dyDescent="0.15">
      <c r="A283" s="68"/>
      <c r="B283" s="69"/>
      <c r="C283" s="69"/>
      <c r="D283" s="69"/>
      <c r="E283" s="69"/>
      <c r="F283" s="69"/>
      <c r="G283" s="69"/>
      <c r="H283" s="69"/>
      <c r="I283" s="69"/>
      <c r="J283" s="69"/>
      <c r="K283" s="69"/>
      <c r="L283" s="69"/>
      <c r="M283" s="69"/>
      <c r="N283" s="69"/>
      <c r="O283" s="65"/>
      <c r="P283" s="70" t="s">
        <v>3770</v>
      </c>
      <c r="Q283" s="65"/>
      <c r="R283" s="70" t="s">
        <v>3771</v>
      </c>
      <c r="S283" s="65"/>
      <c r="T283" s="70" t="s">
        <v>3772</v>
      </c>
      <c r="U283" s="65"/>
    </row>
    <row r="284" spans="1:21" ht="13.5" customHeight="1" x14ac:dyDescent="0.15">
      <c r="A284" s="68"/>
      <c r="B284" s="69"/>
      <c r="C284" s="69"/>
      <c r="D284" s="69"/>
      <c r="E284" s="69"/>
      <c r="F284" s="69"/>
      <c r="G284" s="69"/>
      <c r="H284" s="69"/>
      <c r="I284" s="69"/>
      <c r="J284" s="69"/>
      <c r="K284" s="69"/>
      <c r="L284" s="69"/>
      <c r="M284" s="69"/>
      <c r="N284" s="69"/>
      <c r="O284" s="65"/>
      <c r="P284" s="70" t="s">
        <v>3773</v>
      </c>
      <c r="Q284" s="65"/>
      <c r="R284" s="71">
        <v>31472</v>
      </c>
      <c r="S284" s="65"/>
      <c r="T284" s="70" t="s">
        <v>3774</v>
      </c>
      <c r="U284" s="65"/>
    </row>
    <row r="285" spans="1:21" ht="12.75" customHeight="1" x14ac:dyDescent="0.15">
      <c r="A285" s="68"/>
      <c r="B285" s="69"/>
      <c r="C285" s="69"/>
      <c r="D285" s="69"/>
      <c r="E285" s="69"/>
      <c r="F285" s="69"/>
      <c r="G285" s="69"/>
      <c r="H285" s="69"/>
      <c r="I285" s="69"/>
      <c r="J285" s="69"/>
      <c r="K285" s="69"/>
      <c r="L285" s="69"/>
      <c r="M285" s="69"/>
      <c r="N285" s="69"/>
      <c r="O285" s="65"/>
      <c r="P285" s="70" t="s">
        <v>3775</v>
      </c>
      <c r="Q285" s="65"/>
      <c r="R285" s="71">
        <v>31978</v>
      </c>
      <c r="S285" s="65"/>
      <c r="T285" s="70" t="s">
        <v>3776</v>
      </c>
      <c r="U285" s="65"/>
    </row>
    <row r="286" spans="1:21" ht="12.75" customHeight="1" x14ac:dyDescent="0.15">
      <c r="A286" s="68"/>
      <c r="B286" s="69"/>
      <c r="C286" s="69"/>
      <c r="D286" s="69"/>
      <c r="E286" s="69"/>
      <c r="F286" s="69"/>
      <c r="G286" s="69"/>
      <c r="H286" s="69"/>
      <c r="I286" s="69"/>
      <c r="J286" s="69"/>
      <c r="K286" s="69"/>
      <c r="L286" s="69"/>
      <c r="M286" s="69"/>
      <c r="N286" s="69"/>
      <c r="O286" s="65"/>
      <c r="P286" s="70" t="s">
        <v>3777</v>
      </c>
      <c r="Q286" s="65"/>
      <c r="R286" s="71">
        <v>33025</v>
      </c>
      <c r="S286" s="65"/>
      <c r="T286" s="70" t="s">
        <v>3778</v>
      </c>
      <c r="U286" s="65"/>
    </row>
    <row r="287" spans="1:21" ht="13.5" customHeight="1" x14ac:dyDescent="0.15">
      <c r="A287" s="61">
        <v>1038</v>
      </c>
      <c r="B287" s="70" t="s">
        <v>3779</v>
      </c>
      <c r="C287" s="65"/>
      <c r="D287" s="70" t="s">
        <v>3780</v>
      </c>
      <c r="E287" s="69"/>
      <c r="F287" s="65"/>
      <c r="G287" s="70" t="s">
        <v>3781</v>
      </c>
      <c r="H287" s="65"/>
      <c r="I287" s="70" t="s">
        <v>3782</v>
      </c>
      <c r="J287" s="65"/>
      <c r="K287" s="56" t="s">
        <v>3783</v>
      </c>
      <c r="L287" s="70" t="s">
        <v>3784</v>
      </c>
      <c r="M287" s="65"/>
      <c r="N287" s="70" t="s">
        <v>3785</v>
      </c>
      <c r="O287" s="65"/>
      <c r="P287" s="70" t="s">
        <v>3786</v>
      </c>
      <c r="Q287" s="65"/>
      <c r="R287" s="70" t="s">
        <v>3787</v>
      </c>
      <c r="S287" s="65"/>
      <c r="T287" s="70" t="s">
        <v>3788</v>
      </c>
      <c r="U287" s="65"/>
    </row>
    <row r="288" spans="1:21" ht="12.75" customHeight="1" x14ac:dyDescent="0.15">
      <c r="A288" s="68"/>
      <c r="B288" s="69"/>
      <c r="C288" s="69"/>
      <c r="D288" s="69"/>
      <c r="E288" s="69"/>
      <c r="F288" s="69"/>
      <c r="G288" s="69"/>
      <c r="H288" s="69"/>
      <c r="I288" s="69"/>
      <c r="J288" s="69"/>
      <c r="K288" s="69"/>
      <c r="L288" s="69"/>
      <c r="M288" s="69"/>
      <c r="N288" s="69"/>
      <c r="O288" s="65"/>
      <c r="P288" s="70" t="s">
        <v>3789</v>
      </c>
      <c r="Q288" s="65"/>
      <c r="R288" s="70" t="s">
        <v>3790</v>
      </c>
      <c r="S288" s="65"/>
      <c r="T288" s="70" t="s">
        <v>3791</v>
      </c>
      <c r="U288" s="65"/>
    </row>
    <row r="289" spans="1:21" ht="12.75" customHeight="1" x14ac:dyDescent="0.15">
      <c r="A289" s="68"/>
      <c r="B289" s="69"/>
      <c r="C289" s="69"/>
      <c r="D289" s="69"/>
      <c r="E289" s="69"/>
      <c r="F289" s="69"/>
      <c r="G289" s="69"/>
      <c r="H289" s="69"/>
      <c r="I289" s="69"/>
      <c r="J289" s="69"/>
      <c r="K289" s="69"/>
      <c r="L289" s="69"/>
      <c r="M289" s="69"/>
      <c r="N289" s="69"/>
      <c r="O289" s="65"/>
      <c r="P289" s="70" t="s">
        <v>3792</v>
      </c>
      <c r="Q289" s="65"/>
      <c r="R289" s="71">
        <v>31543</v>
      </c>
      <c r="S289" s="65"/>
      <c r="T289" s="70" t="s">
        <v>3793</v>
      </c>
      <c r="U289" s="65"/>
    </row>
    <row r="290" spans="1:21" ht="21" customHeight="1" x14ac:dyDescent="0.15">
      <c r="A290" s="60" t="s">
        <v>3794</v>
      </c>
      <c r="B290" s="72" t="s">
        <v>3795</v>
      </c>
      <c r="C290" s="65"/>
      <c r="D290" s="72" t="s">
        <v>3796</v>
      </c>
      <c r="E290" s="69"/>
      <c r="F290" s="65"/>
      <c r="G290" s="72" t="s">
        <v>3797</v>
      </c>
      <c r="H290" s="65"/>
      <c r="I290" s="72" t="s">
        <v>3798</v>
      </c>
      <c r="J290" s="65"/>
      <c r="K290" s="60" t="s">
        <v>3799</v>
      </c>
      <c r="L290" s="72" t="s">
        <v>3800</v>
      </c>
      <c r="M290" s="65"/>
      <c r="N290" s="72" t="s">
        <v>3801</v>
      </c>
      <c r="O290" s="65"/>
      <c r="P290" s="72" t="s">
        <v>3802</v>
      </c>
      <c r="Q290" s="65"/>
      <c r="R290" s="72" t="s">
        <v>3803</v>
      </c>
      <c r="S290" s="65"/>
      <c r="T290" s="72" t="s">
        <v>3804</v>
      </c>
      <c r="U290" s="65"/>
    </row>
    <row r="291" spans="1:21" ht="13.5" customHeight="1" x14ac:dyDescent="0.15">
      <c r="A291" s="68"/>
      <c r="B291" s="69"/>
      <c r="C291" s="69"/>
      <c r="D291" s="69"/>
      <c r="E291" s="69"/>
      <c r="F291" s="69"/>
      <c r="G291" s="69"/>
      <c r="H291" s="69"/>
      <c r="I291" s="69"/>
      <c r="J291" s="69"/>
      <c r="K291" s="69"/>
      <c r="L291" s="69"/>
      <c r="M291" s="69"/>
      <c r="N291" s="69"/>
      <c r="O291" s="65"/>
      <c r="P291" s="70" t="s">
        <v>3805</v>
      </c>
      <c r="Q291" s="65"/>
      <c r="R291" s="71">
        <v>31978</v>
      </c>
      <c r="S291" s="65"/>
      <c r="T291" s="70" t="s">
        <v>3806</v>
      </c>
      <c r="U291" s="65"/>
    </row>
    <row r="292" spans="1:21" ht="12.75" customHeight="1" x14ac:dyDescent="0.15">
      <c r="A292" s="68"/>
      <c r="B292" s="69"/>
      <c r="C292" s="69"/>
      <c r="D292" s="69"/>
      <c r="E292" s="69"/>
      <c r="F292" s="69"/>
      <c r="G292" s="69"/>
      <c r="H292" s="69"/>
      <c r="I292" s="69"/>
      <c r="J292" s="69"/>
      <c r="K292" s="69"/>
      <c r="L292" s="69"/>
      <c r="M292" s="69"/>
      <c r="N292" s="69"/>
      <c r="O292" s="65"/>
      <c r="P292" s="70" t="s">
        <v>3807</v>
      </c>
      <c r="Q292" s="65"/>
      <c r="R292" s="71">
        <v>32702</v>
      </c>
      <c r="S292" s="65"/>
      <c r="T292" s="70" t="s">
        <v>3808</v>
      </c>
      <c r="U292" s="65"/>
    </row>
    <row r="293" spans="1:21" ht="12.75" customHeight="1" x14ac:dyDescent="0.15">
      <c r="A293" s="61">
        <v>1039</v>
      </c>
      <c r="B293" s="70" t="s">
        <v>3809</v>
      </c>
      <c r="C293" s="65"/>
      <c r="D293" s="76">
        <v>102183</v>
      </c>
      <c r="E293" s="69"/>
      <c r="F293" s="65"/>
      <c r="G293" s="70" t="s">
        <v>3810</v>
      </c>
      <c r="H293" s="65"/>
      <c r="I293" s="70" t="s">
        <v>3811</v>
      </c>
      <c r="J293" s="65"/>
      <c r="K293" s="56" t="s">
        <v>3812</v>
      </c>
      <c r="L293" s="70" t="s">
        <v>3813</v>
      </c>
      <c r="M293" s="65"/>
      <c r="N293" s="70" t="s">
        <v>3814</v>
      </c>
      <c r="O293" s="65"/>
      <c r="P293" s="70" t="s">
        <v>3815</v>
      </c>
      <c r="Q293" s="65"/>
      <c r="R293" s="70" t="s">
        <v>3816</v>
      </c>
      <c r="S293" s="65"/>
      <c r="T293" s="70" t="s">
        <v>3817</v>
      </c>
      <c r="U293" s="65"/>
    </row>
    <row r="294" spans="1:21" ht="12.75" customHeight="1" x14ac:dyDescent="0.15">
      <c r="A294" s="68"/>
      <c r="B294" s="69"/>
      <c r="C294" s="69"/>
      <c r="D294" s="69"/>
      <c r="E294" s="69"/>
      <c r="F294" s="69"/>
      <c r="G294" s="69"/>
      <c r="H294" s="69"/>
      <c r="I294" s="69"/>
      <c r="J294" s="69"/>
      <c r="K294" s="69"/>
      <c r="L294" s="69"/>
      <c r="M294" s="69"/>
      <c r="N294" s="69"/>
      <c r="O294" s="65"/>
      <c r="P294" s="70" t="s">
        <v>3818</v>
      </c>
      <c r="Q294" s="65"/>
      <c r="R294" s="70" t="s">
        <v>3819</v>
      </c>
      <c r="S294" s="65"/>
      <c r="T294" s="70" t="s">
        <v>3820</v>
      </c>
      <c r="U294" s="65"/>
    </row>
    <row r="295" spans="1:21" ht="13.5" customHeight="1" x14ac:dyDescent="0.15">
      <c r="A295" s="68"/>
      <c r="B295" s="69"/>
      <c r="C295" s="69"/>
      <c r="D295" s="69"/>
      <c r="E295" s="69"/>
      <c r="F295" s="69"/>
      <c r="G295" s="69"/>
      <c r="H295" s="69"/>
      <c r="I295" s="69"/>
      <c r="J295" s="69"/>
      <c r="K295" s="69"/>
      <c r="L295" s="69"/>
      <c r="M295" s="69"/>
      <c r="N295" s="69"/>
      <c r="O295" s="65"/>
      <c r="P295" s="70" t="s">
        <v>3821</v>
      </c>
      <c r="Q295" s="65"/>
      <c r="R295" s="70" t="s">
        <v>3822</v>
      </c>
      <c r="S295" s="65"/>
      <c r="T295" s="70" t="s">
        <v>3823</v>
      </c>
      <c r="U295" s="65"/>
    </row>
    <row r="296" spans="1:21" ht="12.75" customHeight="1" x14ac:dyDescent="0.15">
      <c r="A296" s="68"/>
      <c r="B296" s="69"/>
      <c r="C296" s="69"/>
      <c r="D296" s="69"/>
      <c r="E296" s="69"/>
      <c r="F296" s="69"/>
      <c r="G296" s="69"/>
      <c r="H296" s="69"/>
      <c r="I296" s="69"/>
      <c r="J296" s="69"/>
      <c r="K296" s="69"/>
      <c r="L296" s="69"/>
      <c r="M296" s="69"/>
      <c r="N296" s="69"/>
      <c r="O296" s="65"/>
      <c r="P296" s="70" t="s">
        <v>3824</v>
      </c>
      <c r="Q296" s="65"/>
      <c r="R296" s="71">
        <v>32065</v>
      </c>
      <c r="S296" s="65"/>
      <c r="T296" s="70" t="s">
        <v>3825</v>
      </c>
      <c r="U296" s="65"/>
    </row>
    <row r="297" spans="1:21" ht="12.75" customHeight="1" x14ac:dyDescent="0.15">
      <c r="A297" s="68"/>
      <c r="B297" s="69"/>
      <c r="C297" s="69"/>
      <c r="D297" s="69"/>
      <c r="E297" s="69"/>
      <c r="F297" s="69"/>
      <c r="G297" s="69"/>
      <c r="H297" s="69"/>
      <c r="I297" s="69"/>
      <c r="J297" s="69"/>
      <c r="K297" s="69"/>
      <c r="L297" s="69"/>
      <c r="M297" s="69"/>
      <c r="N297" s="69"/>
      <c r="O297" s="65"/>
      <c r="P297" s="70" t="s">
        <v>3826</v>
      </c>
      <c r="Q297" s="65"/>
      <c r="R297" s="71">
        <v>33205</v>
      </c>
      <c r="S297" s="65"/>
      <c r="T297" s="70" t="s">
        <v>3827</v>
      </c>
      <c r="U297" s="65"/>
    </row>
    <row r="298" spans="1:21" ht="12.75" customHeight="1" x14ac:dyDescent="0.15">
      <c r="A298" s="68"/>
      <c r="B298" s="69"/>
      <c r="C298" s="69"/>
      <c r="D298" s="69"/>
      <c r="E298" s="69"/>
      <c r="F298" s="69"/>
      <c r="G298" s="69"/>
      <c r="H298" s="69"/>
      <c r="I298" s="69"/>
      <c r="J298" s="69"/>
      <c r="K298" s="69"/>
      <c r="L298" s="69"/>
      <c r="M298" s="69"/>
      <c r="N298" s="69"/>
      <c r="O298" s="65"/>
      <c r="P298" s="70" t="s">
        <v>3828</v>
      </c>
      <c r="Q298" s="65"/>
      <c r="R298" s="71">
        <v>35568</v>
      </c>
      <c r="S298" s="65"/>
      <c r="T298" s="70" t="s">
        <v>3829</v>
      </c>
      <c r="U298" s="65"/>
    </row>
    <row r="299" spans="1:21" ht="25.5" customHeight="1" x14ac:dyDescent="0.15">
      <c r="A299" s="61">
        <v>1040</v>
      </c>
      <c r="B299" s="67" t="s">
        <v>3830</v>
      </c>
      <c r="C299" s="65"/>
      <c r="D299" s="66">
        <v>101746</v>
      </c>
      <c r="E299" s="69"/>
      <c r="F299" s="65"/>
      <c r="G299" s="67" t="s">
        <v>3831</v>
      </c>
      <c r="H299" s="65"/>
      <c r="I299" s="70" t="s">
        <v>3832</v>
      </c>
      <c r="J299" s="65"/>
      <c r="K299" s="54">
        <v>1013</v>
      </c>
      <c r="L299" s="66">
        <v>1001</v>
      </c>
      <c r="M299" s="65"/>
      <c r="N299" s="70" t="s">
        <v>3833</v>
      </c>
      <c r="O299" s="65"/>
      <c r="P299" s="67" t="s">
        <v>3834</v>
      </c>
      <c r="Q299" s="65"/>
      <c r="R299" s="70" t="s">
        <v>3835</v>
      </c>
      <c r="S299" s="65"/>
      <c r="T299" s="67" t="s">
        <v>3836</v>
      </c>
      <c r="U299" s="65"/>
    </row>
    <row r="300" spans="1:21" ht="12.75" customHeight="1" x14ac:dyDescent="0.15">
      <c r="A300" s="68"/>
      <c r="B300" s="69"/>
      <c r="C300" s="69"/>
      <c r="D300" s="69"/>
      <c r="E300" s="69"/>
      <c r="F300" s="69"/>
      <c r="G300" s="69"/>
      <c r="H300" s="69"/>
      <c r="I300" s="69"/>
      <c r="J300" s="69"/>
      <c r="K300" s="69"/>
      <c r="L300" s="69"/>
      <c r="M300" s="69"/>
      <c r="N300" s="69"/>
      <c r="O300" s="65"/>
      <c r="P300" s="70" t="s">
        <v>3837</v>
      </c>
      <c r="Q300" s="65"/>
      <c r="R300" s="71">
        <v>32427</v>
      </c>
      <c r="S300" s="65"/>
      <c r="T300" s="70" t="s">
        <v>3838</v>
      </c>
      <c r="U300" s="65"/>
    </row>
    <row r="301" spans="1:21" ht="12.75" customHeight="1" x14ac:dyDescent="0.15">
      <c r="A301" s="68"/>
      <c r="B301" s="69"/>
      <c r="C301" s="69"/>
      <c r="D301" s="69"/>
      <c r="E301" s="69"/>
      <c r="F301" s="69"/>
      <c r="G301" s="69"/>
      <c r="H301" s="69"/>
      <c r="I301" s="69"/>
      <c r="J301" s="69"/>
      <c r="K301" s="69"/>
      <c r="L301" s="69"/>
      <c r="M301" s="69"/>
      <c r="N301" s="69"/>
      <c r="O301" s="65"/>
      <c r="P301" s="70" t="s">
        <v>3839</v>
      </c>
      <c r="Q301" s="65"/>
      <c r="R301" s="71">
        <v>37485</v>
      </c>
      <c r="S301" s="65"/>
      <c r="T301" s="70" t="s">
        <v>3840</v>
      </c>
      <c r="U301" s="65"/>
    </row>
    <row r="302" spans="1:21" ht="25.5" customHeight="1" x14ac:dyDescent="0.15">
      <c r="A302" s="61">
        <v>1041</v>
      </c>
      <c r="B302" s="67" t="s">
        <v>3841</v>
      </c>
      <c r="C302" s="65"/>
      <c r="D302" s="66">
        <v>101745</v>
      </c>
      <c r="E302" s="69"/>
      <c r="F302" s="65"/>
      <c r="G302" s="67" t="s">
        <v>3842</v>
      </c>
      <c r="H302" s="65"/>
      <c r="I302" s="70" t="s">
        <v>3843</v>
      </c>
      <c r="J302" s="65"/>
      <c r="K302" s="54">
        <v>1029</v>
      </c>
      <c r="L302" s="66">
        <v>1000</v>
      </c>
      <c r="M302" s="65"/>
      <c r="N302" s="70" t="s">
        <v>3844</v>
      </c>
      <c r="O302" s="65"/>
      <c r="P302" s="67" t="s">
        <v>3845</v>
      </c>
      <c r="Q302" s="65"/>
      <c r="R302" s="70" t="s">
        <v>3846</v>
      </c>
      <c r="S302" s="65"/>
      <c r="T302" s="67" t="s">
        <v>3847</v>
      </c>
      <c r="U302" s="65"/>
    </row>
    <row r="303" spans="1:21" ht="13.5" customHeight="1" x14ac:dyDescent="0.15">
      <c r="A303" s="68"/>
      <c r="B303" s="69"/>
      <c r="C303" s="69"/>
      <c r="D303" s="69"/>
      <c r="E303" s="69"/>
      <c r="F303" s="69"/>
      <c r="G303" s="69"/>
      <c r="H303" s="69"/>
      <c r="I303" s="69"/>
      <c r="J303" s="69"/>
      <c r="K303" s="69"/>
      <c r="L303" s="69"/>
      <c r="M303" s="69"/>
      <c r="N303" s="69"/>
      <c r="O303" s="65"/>
      <c r="P303" s="70" t="s">
        <v>3848</v>
      </c>
      <c r="Q303" s="65"/>
      <c r="R303" s="71">
        <v>32427</v>
      </c>
      <c r="S303" s="65"/>
      <c r="T303" s="70" t="s">
        <v>3849</v>
      </c>
      <c r="U303" s="65"/>
    </row>
    <row r="304" spans="1:21" ht="12.75" customHeight="1" x14ac:dyDescent="0.15">
      <c r="A304" s="68"/>
      <c r="B304" s="69"/>
      <c r="C304" s="69"/>
      <c r="D304" s="69"/>
      <c r="E304" s="69"/>
      <c r="F304" s="69"/>
      <c r="G304" s="69"/>
      <c r="H304" s="69"/>
      <c r="I304" s="69"/>
      <c r="J304" s="69"/>
      <c r="K304" s="69"/>
      <c r="L304" s="69"/>
      <c r="M304" s="69"/>
      <c r="N304" s="69"/>
      <c r="O304" s="65"/>
      <c r="P304" s="70" t="s">
        <v>3850</v>
      </c>
      <c r="Q304" s="65"/>
      <c r="R304" s="71">
        <v>36988</v>
      </c>
      <c r="S304" s="65"/>
      <c r="T304" s="70" t="s">
        <v>3851</v>
      </c>
      <c r="U304" s="65"/>
    </row>
    <row r="305" spans="1:21" ht="12.75" customHeight="1" x14ac:dyDescent="0.15">
      <c r="A305" s="61">
        <v>1042</v>
      </c>
      <c r="B305" s="70" t="s">
        <v>3852</v>
      </c>
      <c r="C305" s="65"/>
      <c r="D305" s="76">
        <v>11673</v>
      </c>
      <c r="E305" s="69"/>
      <c r="F305" s="65"/>
      <c r="G305" s="70" t="s">
        <v>3853</v>
      </c>
      <c r="H305" s="65"/>
      <c r="I305" s="70" t="s">
        <v>3854</v>
      </c>
      <c r="J305" s="65"/>
      <c r="K305" s="56" t="s">
        <v>3855</v>
      </c>
      <c r="L305" s="70" t="s">
        <v>3856</v>
      </c>
      <c r="M305" s="65"/>
      <c r="N305" s="70" t="s">
        <v>3857</v>
      </c>
      <c r="O305" s="65"/>
      <c r="P305" s="70" t="s">
        <v>3858</v>
      </c>
      <c r="Q305" s="65"/>
      <c r="R305" s="70" t="s">
        <v>3859</v>
      </c>
      <c r="S305" s="65"/>
      <c r="T305" s="70" t="s">
        <v>3860</v>
      </c>
      <c r="U305" s="65"/>
    </row>
    <row r="306" spans="1:21" ht="12.75" customHeight="1" x14ac:dyDescent="0.15">
      <c r="A306" s="68"/>
      <c r="B306" s="69"/>
      <c r="C306" s="69"/>
      <c r="D306" s="69"/>
      <c r="E306" s="69"/>
      <c r="F306" s="69"/>
      <c r="G306" s="69"/>
      <c r="H306" s="69"/>
      <c r="I306" s="69"/>
      <c r="J306" s="69"/>
      <c r="K306" s="69"/>
      <c r="L306" s="69"/>
      <c r="M306" s="69"/>
      <c r="N306" s="69"/>
      <c r="O306" s="65"/>
      <c r="P306" s="70" t="s">
        <v>3861</v>
      </c>
      <c r="Q306" s="65"/>
      <c r="R306" s="70" t="s">
        <v>3862</v>
      </c>
      <c r="S306" s="65"/>
      <c r="T306" s="70" t="s">
        <v>3863</v>
      </c>
      <c r="U306" s="65"/>
    </row>
    <row r="307" spans="1:21" ht="13.5" customHeight="1" x14ac:dyDescent="0.15">
      <c r="A307" s="68"/>
      <c r="B307" s="69"/>
      <c r="C307" s="69"/>
      <c r="D307" s="69"/>
      <c r="E307" s="69"/>
      <c r="F307" s="69"/>
      <c r="G307" s="69"/>
      <c r="H307" s="69"/>
      <c r="I307" s="69"/>
      <c r="J307" s="69"/>
      <c r="K307" s="69"/>
      <c r="L307" s="69"/>
      <c r="M307" s="69"/>
      <c r="N307" s="69"/>
      <c r="O307" s="65"/>
      <c r="P307" s="70" t="s">
        <v>3864</v>
      </c>
      <c r="Q307" s="65"/>
      <c r="R307" s="71">
        <v>32635</v>
      </c>
      <c r="S307" s="65"/>
      <c r="T307" s="70" t="s">
        <v>3865</v>
      </c>
      <c r="U307" s="65"/>
    </row>
    <row r="308" spans="1:21" ht="12.75" customHeight="1" x14ac:dyDescent="0.15">
      <c r="A308" s="68"/>
      <c r="B308" s="69"/>
      <c r="C308" s="69"/>
      <c r="D308" s="69"/>
      <c r="E308" s="69"/>
      <c r="F308" s="69"/>
      <c r="G308" s="69"/>
      <c r="H308" s="69"/>
      <c r="I308" s="69"/>
      <c r="J308" s="69"/>
      <c r="K308" s="69"/>
      <c r="L308" s="69"/>
      <c r="M308" s="69"/>
      <c r="N308" s="69"/>
      <c r="O308" s="65"/>
      <c r="P308" s="70" t="s">
        <v>3866</v>
      </c>
      <c r="Q308" s="65"/>
      <c r="R308" s="71">
        <v>32735</v>
      </c>
      <c r="S308" s="65"/>
      <c r="T308" s="70" t="s">
        <v>3867</v>
      </c>
      <c r="U308" s="65"/>
    </row>
    <row r="309" spans="1:21" ht="12.75" customHeight="1" x14ac:dyDescent="0.15">
      <c r="A309" s="68"/>
      <c r="B309" s="69"/>
      <c r="C309" s="69"/>
      <c r="D309" s="69"/>
      <c r="E309" s="69"/>
      <c r="F309" s="69"/>
      <c r="G309" s="69"/>
      <c r="H309" s="69"/>
      <c r="I309" s="69"/>
      <c r="J309" s="69"/>
      <c r="K309" s="69"/>
      <c r="L309" s="69"/>
      <c r="M309" s="69"/>
      <c r="N309" s="69"/>
      <c r="O309" s="65"/>
      <c r="P309" s="70" t="s">
        <v>3868</v>
      </c>
      <c r="Q309" s="65"/>
      <c r="R309" s="71">
        <v>36469</v>
      </c>
      <c r="S309" s="65"/>
      <c r="T309" s="70" t="s">
        <v>3869</v>
      </c>
      <c r="U309" s="65"/>
    </row>
    <row r="310" spans="1:21" ht="12.75" customHeight="1" x14ac:dyDescent="0.15">
      <c r="A310" s="61">
        <v>1043</v>
      </c>
      <c r="B310" s="70" t="s">
        <v>3870</v>
      </c>
      <c r="C310" s="65"/>
      <c r="D310" s="76">
        <v>890713</v>
      </c>
      <c r="E310" s="69"/>
      <c r="F310" s="65"/>
      <c r="G310" s="70" t="s">
        <v>3871</v>
      </c>
      <c r="H310" s="65"/>
      <c r="I310" s="70" t="s">
        <v>3872</v>
      </c>
      <c r="J310" s="65"/>
      <c r="K310" s="56" t="s">
        <v>3873</v>
      </c>
      <c r="L310" s="70" t="s">
        <v>3874</v>
      </c>
      <c r="M310" s="65"/>
      <c r="N310" s="70" t="s">
        <v>3875</v>
      </c>
      <c r="O310" s="65"/>
      <c r="P310" s="70" t="s">
        <v>3876</v>
      </c>
      <c r="Q310" s="65"/>
      <c r="R310" s="70" t="s">
        <v>3877</v>
      </c>
      <c r="S310" s="65"/>
      <c r="T310" s="70" t="s">
        <v>3878</v>
      </c>
      <c r="U310" s="65"/>
    </row>
    <row r="311" spans="1:21" ht="13.5" customHeight="1" x14ac:dyDescent="0.15">
      <c r="A311" s="68"/>
      <c r="B311" s="69"/>
      <c r="C311" s="69"/>
      <c r="D311" s="69"/>
      <c r="E311" s="69"/>
      <c r="F311" s="69"/>
      <c r="G311" s="69"/>
      <c r="H311" s="69"/>
      <c r="I311" s="69"/>
      <c r="J311" s="69"/>
      <c r="K311" s="69"/>
      <c r="L311" s="69"/>
      <c r="M311" s="69"/>
      <c r="N311" s="69"/>
      <c r="O311" s="65"/>
      <c r="P311" s="70" t="s">
        <v>3879</v>
      </c>
      <c r="Q311" s="65"/>
      <c r="R311" s="70" t="s">
        <v>3880</v>
      </c>
      <c r="S311" s="65"/>
      <c r="T311" s="70" t="s">
        <v>3881</v>
      </c>
      <c r="U311" s="65"/>
    </row>
    <row r="312" spans="1:21" ht="12.75" customHeight="1" x14ac:dyDescent="0.15">
      <c r="A312" s="68"/>
      <c r="B312" s="69"/>
      <c r="C312" s="69"/>
      <c r="D312" s="69"/>
      <c r="E312" s="69"/>
      <c r="F312" s="69"/>
      <c r="G312" s="69"/>
      <c r="H312" s="69"/>
      <c r="I312" s="69"/>
      <c r="J312" s="69"/>
      <c r="K312" s="69"/>
      <c r="L312" s="69"/>
      <c r="M312" s="69"/>
      <c r="N312" s="69"/>
      <c r="O312" s="65"/>
      <c r="P312" s="70" t="s">
        <v>3882</v>
      </c>
      <c r="Q312" s="65"/>
      <c r="R312" s="70" t="s">
        <v>3883</v>
      </c>
      <c r="S312" s="65"/>
      <c r="T312" s="70" t="s">
        <v>3884</v>
      </c>
      <c r="U312" s="65"/>
    </row>
    <row r="313" spans="1:21" ht="12.75" customHeight="1" x14ac:dyDescent="0.15">
      <c r="A313" s="68"/>
      <c r="B313" s="69"/>
      <c r="C313" s="69"/>
      <c r="D313" s="69"/>
      <c r="E313" s="69"/>
      <c r="F313" s="69"/>
      <c r="G313" s="69"/>
      <c r="H313" s="69"/>
      <c r="I313" s="69"/>
      <c r="J313" s="69"/>
      <c r="K313" s="69"/>
      <c r="L313" s="69"/>
      <c r="M313" s="69"/>
      <c r="N313" s="69"/>
      <c r="O313" s="65"/>
      <c r="P313" s="70" t="s">
        <v>3885</v>
      </c>
      <c r="Q313" s="65"/>
      <c r="R313" s="71">
        <v>32740</v>
      </c>
      <c r="S313" s="65"/>
      <c r="T313" s="70" t="s">
        <v>3886</v>
      </c>
      <c r="U313" s="65"/>
    </row>
    <row r="314" spans="1:21" ht="12.75" customHeight="1" x14ac:dyDescent="0.15">
      <c r="A314" s="68"/>
      <c r="B314" s="69"/>
      <c r="C314" s="69"/>
      <c r="D314" s="69"/>
      <c r="E314" s="69"/>
      <c r="F314" s="69"/>
      <c r="G314" s="69"/>
      <c r="H314" s="69"/>
      <c r="I314" s="69"/>
      <c r="J314" s="69"/>
      <c r="K314" s="69"/>
      <c r="L314" s="69"/>
      <c r="M314" s="69"/>
      <c r="N314" s="69"/>
      <c r="O314" s="65"/>
      <c r="P314" s="70" t="s">
        <v>3887</v>
      </c>
      <c r="Q314" s="65"/>
      <c r="R314" s="71">
        <v>35323</v>
      </c>
      <c r="S314" s="65"/>
      <c r="T314" s="70" t="s">
        <v>3888</v>
      </c>
      <c r="U314" s="65"/>
    </row>
    <row r="315" spans="1:21" ht="25.5" customHeight="1" x14ac:dyDescent="0.15">
      <c r="A315" s="61">
        <v>1044</v>
      </c>
      <c r="B315" s="67" t="s">
        <v>3889</v>
      </c>
      <c r="C315" s="65"/>
      <c r="D315" s="66">
        <v>16796</v>
      </c>
      <c r="E315" s="69"/>
      <c r="F315" s="65"/>
      <c r="G315" s="67" t="s">
        <v>3890</v>
      </c>
      <c r="H315" s="65"/>
      <c r="I315" s="70" t="s">
        <v>3891</v>
      </c>
      <c r="J315" s="65"/>
      <c r="K315" s="55" t="s">
        <v>3892</v>
      </c>
      <c r="L315" s="67" t="s">
        <v>3893</v>
      </c>
      <c r="M315" s="65"/>
      <c r="N315" s="67" t="s">
        <v>3894</v>
      </c>
      <c r="O315" s="65"/>
      <c r="P315" s="67" t="s">
        <v>3895</v>
      </c>
      <c r="Q315" s="65"/>
      <c r="R315" s="70" t="s">
        <v>3896</v>
      </c>
      <c r="S315" s="65"/>
      <c r="T315" s="67" t="s">
        <v>3897</v>
      </c>
      <c r="U315" s="65"/>
    </row>
    <row r="316" spans="1:21" ht="12.75" customHeight="1" x14ac:dyDescent="0.15">
      <c r="A316" s="68"/>
      <c r="B316" s="69"/>
      <c r="C316" s="69"/>
      <c r="D316" s="69"/>
      <c r="E316" s="69"/>
      <c r="F316" s="69"/>
      <c r="G316" s="69"/>
      <c r="H316" s="69"/>
      <c r="I316" s="69"/>
      <c r="J316" s="69"/>
      <c r="K316" s="69"/>
      <c r="L316" s="69"/>
      <c r="M316" s="69"/>
      <c r="N316" s="69"/>
      <c r="O316" s="65"/>
      <c r="P316" s="70" t="s">
        <v>3898</v>
      </c>
      <c r="Q316" s="65"/>
      <c r="R316" s="70" t="s">
        <v>3899</v>
      </c>
      <c r="S316" s="65"/>
      <c r="T316" s="70" t="s">
        <v>3900</v>
      </c>
      <c r="U316" s="65"/>
    </row>
    <row r="317" spans="1:21" ht="12.75" customHeight="1" x14ac:dyDescent="0.15">
      <c r="A317" s="68"/>
      <c r="B317" s="69"/>
      <c r="C317" s="69"/>
      <c r="D317" s="69"/>
      <c r="E317" s="69"/>
      <c r="F317" s="69"/>
      <c r="G317" s="69"/>
      <c r="H317" s="69"/>
      <c r="I317" s="69"/>
      <c r="J317" s="69"/>
      <c r="K317" s="69"/>
      <c r="L317" s="69"/>
      <c r="M317" s="69"/>
      <c r="N317" s="69"/>
      <c r="O317" s="65"/>
      <c r="P317" s="70" t="s">
        <v>3901</v>
      </c>
      <c r="Q317" s="65"/>
      <c r="R317" s="70" t="s">
        <v>3902</v>
      </c>
      <c r="S317" s="65"/>
      <c r="T317" s="70" t="s">
        <v>3903</v>
      </c>
      <c r="U317" s="65"/>
    </row>
    <row r="318" spans="1:21" ht="12.75" customHeight="1" x14ac:dyDescent="0.15">
      <c r="A318" s="68"/>
      <c r="B318" s="69"/>
      <c r="C318" s="69"/>
      <c r="D318" s="69"/>
      <c r="E318" s="69"/>
      <c r="F318" s="69"/>
      <c r="G318" s="69"/>
      <c r="H318" s="69"/>
      <c r="I318" s="69"/>
      <c r="J318" s="69"/>
      <c r="K318" s="69"/>
      <c r="L318" s="69"/>
      <c r="M318" s="69"/>
      <c r="N318" s="69"/>
      <c r="O318" s="65"/>
      <c r="P318" s="70" t="s">
        <v>3904</v>
      </c>
      <c r="Q318" s="65"/>
      <c r="R318" s="71">
        <v>32740</v>
      </c>
      <c r="S318" s="65"/>
      <c r="T318" s="70" t="s">
        <v>3905</v>
      </c>
      <c r="U318" s="65"/>
    </row>
    <row r="319" spans="1:21" ht="13.5" customHeight="1" x14ac:dyDescent="0.15">
      <c r="A319" s="68"/>
      <c r="B319" s="69"/>
      <c r="C319" s="69"/>
      <c r="D319" s="69"/>
      <c r="E319" s="69"/>
      <c r="F319" s="69"/>
      <c r="G319" s="69"/>
      <c r="H319" s="69"/>
      <c r="I319" s="69"/>
      <c r="J319" s="69"/>
      <c r="K319" s="69"/>
      <c r="L319" s="69"/>
      <c r="M319" s="69"/>
      <c r="N319" s="69"/>
      <c r="O319" s="65"/>
      <c r="P319" s="70" t="s">
        <v>3906</v>
      </c>
      <c r="Q319" s="65"/>
      <c r="R319" s="71">
        <v>33773</v>
      </c>
      <c r="S319" s="65"/>
      <c r="T319" s="70" t="s">
        <v>3907</v>
      </c>
      <c r="U319" s="65"/>
    </row>
    <row r="320" spans="1:21" ht="12.75" customHeight="1" x14ac:dyDescent="0.15">
      <c r="A320" s="68"/>
      <c r="B320" s="69"/>
      <c r="C320" s="69"/>
      <c r="D320" s="69"/>
      <c r="E320" s="69"/>
      <c r="F320" s="69"/>
      <c r="G320" s="69"/>
      <c r="H320" s="69"/>
      <c r="I320" s="69"/>
      <c r="J320" s="69"/>
      <c r="K320" s="69"/>
      <c r="L320" s="69"/>
      <c r="M320" s="69"/>
      <c r="N320" s="69"/>
      <c r="O320" s="65"/>
      <c r="P320" s="70" t="s">
        <v>3908</v>
      </c>
      <c r="Q320" s="65"/>
      <c r="R320" s="71">
        <v>35544</v>
      </c>
      <c r="S320" s="65"/>
      <c r="T320" s="70" t="s">
        <v>3909</v>
      </c>
      <c r="U320" s="65"/>
    </row>
    <row r="321" spans="1:21" ht="12.75" customHeight="1" x14ac:dyDescent="0.15">
      <c r="A321" s="68"/>
      <c r="B321" s="69"/>
      <c r="C321" s="69"/>
      <c r="D321" s="69"/>
      <c r="E321" s="69"/>
      <c r="F321" s="69"/>
      <c r="G321" s="69"/>
      <c r="H321" s="69"/>
      <c r="I321" s="69"/>
      <c r="J321" s="69"/>
      <c r="K321" s="69"/>
      <c r="L321" s="69"/>
      <c r="M321" s="69"/>
      <c r="N321" s="69"/>
      <c r="O321" s="65"/>
      <c r="P321" s="70" t="s">
        <v>3910</v>
      </c>
      <c r="Q321" s="65"/>
      <c r="R321" s="71">
        <v>37622</v>
      </c>
      <c r="S321" s="65"/>
      <c r="T321" s="70" t="s">
        <v>3911</v>
      </c>
      <c r="U321" s="65"/>
    </row>
    <row r="322" spans="1:21" ht="25.5" customHeight="1" x14ac:dyDescent="0.15">
      <c r="A322" s="61">
        <v>1045</v>
      </c>
      <c r="B322" s="67" t="s">
        <v>3912</v>
      </c>
      <c r="C322" s="65"/>
      <c r="D322" s="66">
        <v>11671</v>
      </c>
      <c r="E322" s="69"/>
      <c r="F322" s="65"/>
      <c r="G322" s="67" t="s">
        <v>3913</v>
      </c>
      <c r="H322" s="65"/>
      <c r="I322" s="64">
        <v>31822</v>
      </c>
      <c r="J322" s="65"/>
      <c r="K322" s="55" t="s">
        <v>3914</v>
      </c>
      <c r="L322" s="66">
        <v>1034</v>
      </c>
      <c r="M322" s="65"/>
      <c r="N322" s="70" t="s">
        <v>3915</v>
      </c>
      <c r="O322" s="65"/>
      <c r="P322" s="67" t="s">
        <v>3916</v>
      </c>
      <c r="Q322" s="65"/>
      <c r="R322" s="64">
        <v>31822</v>
      </c>
      <c r="S322" s="65"/>
      <c r="T322" s="67" t="s">
        <v>3917</v>
      </c>
      <c r="U322" s="65"/>
    </row>
    <row r="323" spans="1:21" ht="13.5" customHeight="1" x14ac:dyDescent="0.15">
      <c r="A323" s="68"/>
      <c r="B323" s="69"/>
      <c r="C323" s="69"/>
      <c r="D323" s="69"/>
      <c r="E323" s="69"/>
      <c r="F323" s="69"/>
      <c r="G323" s="69"/>
      <c r="H323" s="69"/>
      <c r="I323" s="69"/>
      <c r="J323" s="69"/>
      <c r="K323" s="69"/>
      <c r="L323" s="69"/>
      <c r="M323" s="69"/>
      <c r="N323" s="69"/>
      <c r="O323" s="65"/>
      <c r="P323" s="70" t="s">
        <v>3918</v>
      </c>
      <c r="Q323" s="65"/>
      <c r="R323" s="71">
        <v>31850</v>
      </c>
      <c r="S323" s="65"/>
      <c r="T323" s="70" t="s">
        <v>3919</v>
      </c>
      <c r="U323" s="65"/>
    </row>
    <row r="324" spans="1:21" ht="12.75" customHeight="1" x14ac:dyDescent="0.15">
      <c r="A324" s="68"/>
      <c r="B324" s="69"/>
      <c r="C324" s="69"/>
      <c r="D324" s="69"/>
      <c r="E324" s="69"/>
      <c r="F324" s="69"/>
      <c r="G324" s="69"/>
      <c r="H324" s="69"/>
      <c r="I324" s="69"/>
      <c r="J324" s="69"/>
      <c r="K324" s="69"/>
      <c r="L324" s="69"/>
      <c r="M324" s="69"/>
      <c r="N324" s="69"/>
      <c r="O324" s="65"/>
      <c r="P324" s="70" t="s">
        <v>3920</v>
      </c>
      <c r="Q324" s="65"/>
      <c r="R324" s="71">
        <v>31881</v>
      </c>
      <c r="S324" s="65"/>
      <c r="T324" s="70" t="s">
        <v>3921</v>
      </c>
      <c r="U324" s="65"/>
    </row>
    <row r="325" spans="1:21" ht="21" customHeight="1" x14ac:dyDescent="0.15">
      <c r="A325" s="60" t="s">
        <v>3922</v>
      </c>
      <c r="B325" s="72" t="s">
        <v>3923</v>
      </c>
      <c r="C325" s="65"/>
      <c r="D325" s="72" t="s">
        <v>3924</v>
      </c>
      <c r="E325" s="69"/>
      <c r="F325" s="65"/>
      <c r="G325" s="72" t="s">
        <v>3925</v>
      </c>
      <c r="H325" s="65"/>
      <c r="I325" s="72" t="s">
        <v>3926</v>
      </c>
      <c r="J325" s="65"/>
      <c r="K325" s="60" t="s">
        <v>3927</v>
      </c>
      <c r="L325" s="72" t="s">
        <v>3928</v>
      </c>
      <c r="M325" s="65"/>
      <c r="N325" s="72" t="s">
        <v>3929</v>
      </c>
      <c r="O325" s="65"/>
      <c r="P325" s="72" t="s">
        <v>3930</v>
      </c>
      <c r="Q325" s="65"/>
      <c r="R325" s="72" t="s">
        <v>3931</v>
      </c>
      <c r="S325" s="65"/>
      <c r="T325" s="72" t="s">
        <v>3932</v>
      </c>
      <c r="U325" s="65"/>
    </row>
    <row r="326" spans="1:21" ht="13.5" customHeight="1" x14ac:dyDescent="0.15">
      <c r="A326" s="68"/>
      <c r="B326" s="69"/>
      <c r="C326" s="69"/>
      <c r="D326" s="69"/>
      <c r="E326" s="69"/>
      <c r="F326" s="69"/>
      <c r="G326" s="69"/>
      <c r="H326" s="69"/>
      <c r="I326" s="69"/>
      <c r="J326" s="69"/>
      <c r="K326" s="69"/>
      <c r="L326" s="69"/>
      <c r="M326" s="69"/>
      <c r="N326" s="69"/>
      <c r="O326" s="65"/>
      <c r="P326" s="70" t="s">
        <v>3933</v>
      </c>
      <c r="Q326" s="65"/>
      <c r="R326" s="71">
        <v>32365</v>
      </c>
      <c r="S326" s="65"/>
      <c r="T326" s="70" t="s">
        <v>3934</v>
      </c>
      <c r="U326" s="65"/>
    </row>
    <row r="327" spans="1:21" ht="12.75" customHeight="1" x14ac:dyDescent="0.15">
      <c r="A327" s="68"/>
      <c r="B327" s="69"/>
      <c r="C327" s="69"/>
      <c r="D327" s="69"/>
      <c r="E327" s="69"/>
      <c r="F327" s="69"/>
      <c r="G327" s="69"/>
      <c r="H327" s="69"/>
      <c r="I327" s="69"/>
      <c r="J327" s="69"/>
      <c r="K327" s="69"/>
      <c r="L327" s="69"/>
      <c r="M327" s="69"/>
      <c r="N327" s="69"/>
      <c r="O327" s="65"/>
      <c r="P327" s="70" t="s">
        <v>3935</v>
      </c>
      <c r="Q327" s="65"/>
      <c r="R327" s="71">
        <v>32429</v>
      </c>
      <c r="S327" s="65"/>
      <c r="T327" s="70" t="s">
        <v>3936</v>
      </c>
      <c r="U327" s="65"/>
    </row>
    <row r="328" spans="1:21" ht="12.75" customHeight="1" x14ac:dyDescent="0.15">
      <c r="A328" s="68"/>
      <c r="B328" s="69"/>
      <c r="C328" s="69"/>
      <c r="D328" s="69"/>
      <c r="E328" s="69"/>
      <c r="F328" s="69"/>
      <c r="G328" s="69"/>
      <c r="H328" s="69"/>
      <c r="I328" s="69"/>
      <c r="J328" s="69"/>
      <c r="K328" s="69"/>
      <c r="L328" s="69"/>
      <c r="M328" s="69"/>
      <c r="N328" s="69"/>
      <c r="O328" s="65"/>
      <c r="P328" s="70" t="s">
        <v>3937</v>
      </c>
      <c r="Q328" s="65"/>
      <c r="R328" s="71">
        <v>32735</v>
      </c>
      <c r="S328" s="65"/>
      <c r="T328" s="70" t="s">
        <v>3938</v>
      </c>
      <c r="U328" s="65"/>
    </row>
    <row r="329" spans="1:21" ht="12.75" customHeight="1" x14ac:dyDescent="0.15">
      <c r="A329" s="68"/>
      <c r="B329" s="69"/>
      <c r="C329" s="69"/>
      <c r="D329" s="69"/>
      <c r="E329" s="69"/>
      <c r="F329" s="69"/>
      <c r="G329" s="69"/>
      <c r="H329" s="69"/>
      <c r="I329" s="69"/>
      <c r="J329" s="69"/>
      <c r="K329" s="69"/>
      <c r="L329" s="69"/>
      <c r="M329" s="69"/>
      <c r="N329" s="69"/>
      <c r="O329" s="65"/>
      <c r="P329" s="70" t="s">
        <v>3939</v>
      </c>
      <c r="Q329" s="65"/>
      <c r="R329" s="71">
        <v>33716</v>
      </c>
      <c r="S329" s="65"/>
      <c r="T329" s="70" t="s">
        <v>3940</v>
      </c>
      <c r="U329" s="65"/>
    </row>
    <row r="330" spans="1:21" ht="13.5" customHeight="1" x14ac:dyDescent="0.15">
      <c r="A330" s="68"/>
      <c r="B330" s="69"/>
      <c r="C330" s="69"/>
      <c r="D330" s="69"/>
      <c r="E330" s="69"/>
      <c r="F330" s="69"/>
      <c r="G330" s="69"/>
      <c r="H330" s="69"/>
      <c r="I330" s="69"/>
      <c r="J330" s="69"/>
      <c r="K330" s="69"/>
      <c r="L330" s="69"/>
      <c r="M330" s="69"/>
      <c r="N330" s="69"/>
      <c r="O330" s="65"/>
      <c r="P330" s="70" t="s">
        <v>3941</v>
      </c>
      <c r="Q330" s="65"/>
      <c r="R330" s="71">
        <v>38300</v>
      </c>
      <c r="S330" s="65"/>
      <c r="T330" s="70" t="s">
        <v>3942</v>
      </c>
      <c r="U330" s="65"/>
    </row>
    <row r="331" spans="1:21" ht="12.75" customHeight="1" x14ac:dyDescent="0.15">
      <c r="A331" s="68"/>
      <c r="B331" s="69"/>
      <c r="C331" s="69"/>
      <c r="D331" s="69"/>
      <c r="E331" s="69"/>
      <c r="F331" s="69"/>
      <c r="G331" s="69"/>
      <c r="H331" s="69"/>
      <c r="I331" s="69"/>
      <c r="J331" s="69"/>
      <c r="K331" s="69"/>
      <c r="L331" s="69"/>
      <c r="M331" s="69"/>
      <c r="N331" s="69"/>
      <c r="O331" s="65"/>
      <c r="P331" s="70" t="s">
        <v>3943</v>
      </c>
      <c r="Q331" s="65"/>
      <c r="R331" s="71">
        <v>39835</v>
      </c>
      <c r="S331" s="65"/>
      <c r="T331" s="70" t="s">
        <v>3944</v>
      </c>
      <c r="U331" s="65"/>
    </row>
    <row r="332" spans="1:21" ht="25.5" customHeight="1" x14ac:dyDescent="0.15">
      <c r="A332" s="61">
        <v>1046</v>
      </c>
      <c r="B332" s="67" t="s">
        <v>3945</v>
      </c>
      <c r="C332" s="65"/>
      <c r="D332" s="66">
        <v>11672</v>
      </c>
      <c r="E332" s="69"/>
      <c r="F332" s="65"/>
      <c r="G332" s="67" t="s">
        <v>3946</v>
      </c>
      <c r="H332" s="65"/>
      <c r="I332" s="64">
        <v>31822</v>
      </c>
      <c r="J332" s="65"/>
      <c r="K332" s="55" t="s">
        <v>3947</v>
      </c>
      <c r="L332" s="66">
        <v>1035</v>
      </c>
      <c r="M332" s="65"/>
      <c r="N332" s="73" t="s">
        <v>3948</v>
      </c>
      <c r="O332" s="65"/>
      <c r="P332" s="67" t="s">
        <v>3949</v>
      </c>
      <c r="Q332" s="65"/>
      <c r="R332" s="64">
        <v>31822</v>
      </c>
      <c r="S332" s="65"/>
      <c r="T332" s="67" t="s">
        <v>3950</v>
      </c>
      <c r="U332" s="65"/>
    </row>
    <row r="333" spans="1:21" ht="12.75" customHeight="1" x14ac:dyDescent="0.15">
      <c r="A333" s="68"/>
      <c r="B333" s="69"/>
      <c r="C333" s="69"/>
      <c r="D333" s="69"/>
      <c r="E333" s="69"/>
      <c r="F333" s="69"/>
      <c r="G333" s="69"/>
      <c r="H333" s="69"/>
      <c r="I333" s="69"/>
      <c r="J333" s="69"/>
      <c r="K333" s="69"/>
      <c r="L333" s="69"/>
      <c r="M333" s="69"/>
      <c r="N333" s="69"/>
      <c r="O333" s="65"/>
      <c r="P333" s="70" t="s">
        <v>3951</v>
      </c>
      <c r="Q333" s="65"/>
      <c r="R333" s="71">
        <v>31850</v>
      </c>
      <c r="S333" s="65"/>
      <c r="T333" s="70" t="s">
        <v>3952</v>
      </c>
      <c r="U333" s="65"/>
    </row>
    <row r="334" spans="1:21" ht="13.5" customHeight="1" x14ac:dyDescent="0.15">
      <c r="A334" s="68"/>
      <c r="B334" s="69"/>
      <c r="C334" s="69"/>
      <c r="D334" s="69"/>
      <c r="E334" s="69"/>
      <c r="F334" s="69"/>
      <c r="G334" s="69"/>
      <c r="H334" s="69"/>
      <c r="I334" s="69"/>
      <c r="J334" s="69"/>
      <c r="K334" s="69"/>
      <c r="L334" s="69"/>
      <c r="M334" s="69"/>
      <c r="N334" s="69"/>
      <c r="O334" s="65"/>
      <c r="P334" s="70" t="s">
        <v>3953</v>
      </c>
      <c r="Q334" s="65"/>
      <c r="R334" s="71">
        <v>31881</v>
      </c>
      <c r="S334" s="65"/>
      <c r="T334" s="70" t="s">
        <v>3954</v>
      </c>
      <c r="U334" s="65"/>
    </row>
    <row r="335" spans="1:21" ht="12.75" customHeight="1" x14ac:dyDescent="0.15">
      <c r="A335" s="68"/>
      <c r="B335" s="69"/>
      <c r="C335" s="69"/>
      <c r="D335" s="69"/>
      <c r="E335" s="69"/>
      <c r="F335" s="69"/>
      <c r="G335" s="69"/>
      <c r="H335" s="69"/>
      <c r="I335" s="69"/>
      <c r="J335" s="69"/>
      <c r="K335" s="69"/>
      <c r="L335" s="69"/>
      <c r="M335" s="69"/>
      <c r="N335" s="69"/>
      <c r="O335" s="65"/>
      <c r="P335" s="70" t="s">
        <v>3955</v>
      </c>
      <c r="Q335" s="65"/>
      <c r="R335" s="71">
        <v>32365</v>
      </c>
      <c r="S335" s="65"/>
      <c r="T335" s="70" t="s">
        <v>3956</v>
      </c>
      <c r="U335" s="65"/>
    </row>
    <row r="336" spans="1:21" ht="12.75" customHeight="1" x14ac:dyDescent="0.15">
      <c r="A336" s="68"/>
      <c r="B336" s="69"/>
      <c r="C336" s="69"/>
      <c r="D336" s="69"/>
      <c r="E336" s="69"/>
      <c r="F336" s="69"/>
      <c r="G336" s="69"/>
      <c r="H336" s="69"/>
      <c r="I336" s="69"/>
      <c r="J336" s="69"/>
      <c r="K336" s="69"/>
      <c r="L336" s="69"/>
      <c r="M336" s="69"/>
      <c r="N336" s="69"/>
      <c r="O336" s="65"/>
      <c r="P336" s="70" t="s">
        <v>3957</v>
      </c>
      <c r="Q336" s="65"/>
      <c r="R336" s="71">
        <v>32429</v>
      </c>
      <c r="S336" s="65"/>
      <c r="T336" s="70" t="s">
        <v>3958</v>
      </c>
      <c r="U336" s="65"/>
    </row>
    <row r="337" spans="1:21" ht="12.75" customHeight="1" x14ac:dyDescent="0.15">
      <c r="A337" s="68"/>
      <c r="B337" s="69"/>
      <c r="C337" s="69"/>
      <c r="D337" s="69"/>
      <c r="E337" s="69"/>
      <c r="F337" s="69"/>
      <c r="G337" s="69"/>
      <c r="H337" s="69"/>
      <c r="I337" s="69"/>
      <c r="J337" s="69"/>
      <c r="K337" s="69"/>
      <c r="L337" s="69"/>
      <c r="M337" s="69"/>
      <c r="N337" s="69"/>
      <c r="O337" s="65"/>
      <c r="P337" s="70" t="s">
        <v>3959</v>
      </c>
      <c r="Q337" s="65"/>
      <c r="R337" s="71">
        <v>32735</v>
      </c>
      <c r="S337" s="65"/>
      <c r="T337" s="70" t="s">
        <v>3960</v>
      </c>
      <c r="U337" s="65"/>
    </row>
    <row r="338" spans="1:21" ht="13.5" customHeight="1" x14ac:dyDescent="0.15">
      <c r="A338" s="68"/>
      <c r="B338" s="69"/>
      <c r="C338" s="69"/>
      <c r="D338" s="69"/>
      <c r="E338" s="69"/>
      <c r="F338" s="69"/>
      <c r="G338" s="69"/>
      <c r="H338" s="69"/>
      <c r="I338" s="69"/>
      <c r="J338" s="69"/>
      <c r="K338" s="69"/>
      <c r="L338" s="69"/>
      <c r="M338" s="69"/>
      <c r="N338" s="69"/>
      <c r="O338" s="65"/>
      <c r="P338" s="70" t="s">
        <v>3961</v>
      </c>
      <c r="Q338" s="65"/>
      <c r="R338" s="71">
        <v>33716</v>
      </c>
      <c r="S338" s="65"/>
      <c r="T338" s="70" t="s">
        <v>3962</v>
      </c>
      <c r="U338" s="65"/>
    </row>
    <row r="339" spans="1:21" ht="12.75" customHeight="1" x14ac:dyDescent="0.15">
      <c r="A339" s="68"/>
      <c r="B339" s="69"/>
      <c r="C339" s="69"/>
      <c r="D339" s="69"/>
      <c r="E339" s="69"/>
      <c r="F339" s="69"/>
      <c r="G339" s="69"/>
      <c r="H339" s="69"/>
      <c r="I339" s="69"/>
      <c r="J339" s="69"/>
      <c r="K339" s="69"/>
      <c r="L339" s="69"/>
      <c r="M339" s="69"/>
      <c r="N339" s="69"/>
      <c r="O339" s="65"/>
      <c r="P339" s="70" t="s">
        <v>3963</v>
      </c>
      <c r="Q339" s="65"/>
      <c r="R339" s="71">
        <v>38300</v>
      </c>
      <c r="S339" s="65"/>
      <c r="T339" s="70" t="s">
        <v>3964</v>
      </c>
      <c r="U339" s="65"/>
    </row>
    <row r="340" spans="1:21" ht="12.75" customHeight="1" x14ac:dyDescent="0.15">
      <c r="A340" s="68"/>
      <c r="B340" s="69"/>
      <c r="C340" s="69"/>
      <c r="D340" s="69"/>
      <c r="E340" s="69"/>
      <c r="F340" s="69"/>
      <c r="G340" s="69"/>
      <c r="H340" s="69"/>
      <c r="I340" s="69"/>
      <c r="J340" s="69"/>
      <c r="K340" s="69"/>
      <c r="L340" s="69"/>
      <c r="M340" s="69"/>
      <c r="N340" s="69"/>
      <c r="O340" s="65"/>
      <c r="P340" s="70" t="s">
        <v>3965</v>
      </c>
      <c r="Q340" s="65"/>
      <c r="R340" s="71">
        <v>38941</v>
      </c>
      <c r="S340" s="65"/>
      <c r="T340" s="70" t="s">
        <v>3966</v>
      </c>
      <c r="U340" s="65"/>
    </row>
    <row r="341" spans="1:21" ht="25.5" customHeight="1" x14ac:dyDescent="0.15">
      <c r="A341" s="61">
        <v>1047</v>
      </c>
      <c r="B341" s="67" t="s">
        <v>3967</v>
      </c>
      <c r="C341" s="65"/>
      <c r="D341" s="66">
        <v>1933</v>
      </c>
      <c r="E341" s="69"/>
      <c r="F341" s="65"/>
      <c r="G341" s="67" t="s">
        <v>3968</v>
      </c>
      <c r="H341" s="65"/>
      <c r="I341" s="64">
        <v>31825</v>
      </c>
      <c r="J341" s="65"/>
      <c r="K341" s="55" t="s">
        <v>3969</v>
      </c>
      <c r="L341" s="66">
        <v>1008</v>
      </c>
      <c r="M341" s="65"/>
      <c r="N341" s="70" t="s">
        <v>3970</v>
      </c>
      <c r="O341" s="65"/>
      <c r="P341" s="67" t="s">
        <v>3971</v>
      </c>
      <c r="Q341" s="65"/>
      <c r="R341" s="64">
        <v>31825</v>
      </c>
      <c r="S341" s="65"/>
      <c r="T341" s="67" t="s">
        <v>3972</v>
      </c>
      <c r="U341" s="65"/>
    </row>
    <row r="342" spans="1:21" ht="13.5" customHeight="1" x14ac:dyDescent="0.15">
      <c r="A342" s="68"/>
      <c r="B342" s="69"/>
      <c r="C342" s="69"/>
      <c r="D342" s="69"/>
      <c r="E342" s="69"/>
      <c r="F342" s="69"/>
      <c r="G342" s="69"/>
      <c r="H342" s="69"/>
      <c r="I342" s="69"/>
      <c r="J342" s="69"/>
      <c r="K342" s="69"/>
      <c r="L342" s="69"/>
      <c r="M342" s="69"/>
      <c r="N342" s="69"/>
      <c r="O342" s="65"/>
      <c r="P342" s="70" t="s">
        <v>3973</v>
      </c>
      <c r="Q342" s="65"/>
      <c r="R342" s="71">
        <v>31872</v>
      </c>
      <c r="S342" s="65"/>
      <c r="T342" s="70" t="s">
        <v>3974</v>
      </c>
      <c r="U342" s="65"/>
    </row>
    <row r="343" spans="1:21" ht="12.75" customHeight="1" x14ac:dyDescent="0.15">
      <c r="A343" s="68"/>
      <c r="B343" s="69"/>
      <c r="C343" s="69"/>
      <c r="D343" s="69"/>
      <c r="E343" s="69"/>
      <c r="F343" s="69"/>
      <c r="G343" s="69"/>
      <c r="H343" s="69"/>
      <c r="I343" s="69"/>
      <c r="J343" s="69"/>
      <c r="K343" s="69"/>
      <c r="L343" s="69"/>
      <c r="M343" s="69"/>
      <c r="N343" s="69"/>
      <c r="O343" s="65"/>
      <c r="P343" s="70" t="s">
        <v>3975</v>
      </c>
      <c r="Q343" s="65"/>
      <c r="R343" s="71">
        <v>36016</v>
      </c>
      <c r="S343" s="65"/>
      <c r="T343" s="70" t="s">
        <v>3976</v>
      </c>
      <c r="U343" s="65"/>
    </row>
    <row r="344" spans="1:21" ht="24.75" customHeight="1" x14ac:dyDescent="0.15">
      <c r="A344" s="61">
        <v>1048</v>
      </c>
      <c r="B344" s="67" t="s">
        <v>3977</v>
      </c>
      <c r="C344" s="65"/>
      <c r="D344" s="66">
        <v>1938</v>
      </c>
      <c r="E344" s="69"/>
      <c r="F344" s="65"/>
      <c r="G344" s="67" t="s">
        <v>3978</v>
      </c>
      <c r="H344" s="65"/>
      <c r="I344" s="64">
        <v>32143</v>
      </c>
      <c r="J344" s="65"/>
      <c r="K344" s="54">
        <v>1012</v>
      </c>
      <c r="L344" s="66">
        <v>1008</v>
      </c>
      <c r="M344" s="65"/>
      <c r="N344" s="70" t="s">
        <v>3979</v>
      </c>
      <c r="O344" s="65"/>
      <c r="P344" s="67" t="s">
        <v>3980</v>
      </c>
      <c r="Q344" s="65"/>
      <c r="R344" s="64">
        <v>32143</v>
      </c>
      <c r="S344" s="65"/>
      <c r="T344" s="67" t="s">
        <v>3981</v>
      </c>
      <c r="U344" s="65"/>
    </row>
    <row r="345" spans="1:21" ht="12.75" customHeight="1" x14ac:dyDescent="0.15">
      <c r="A345" s="68"/>
      <c r="B345" s="69"/>
      <c r="C345" s="69"/>
      <c r="D345" s="69"/>
      <c r="E345" s="69"/>
      <c r="F345" s="69"/>
      <c r="G345" s="69"/>
      <c r="H345" s="69"/>
      <c r="I345" s="69"/>
      <c r="J345" s="69"/>
      <c r="K345" s="69"/>
      <c r="L345" s="69"/>
      <c r="M345" s="69"/>
      <c r="N345" s="69"/>
      <c r="O345" s="65"/>
      <c r="P345" s="70" t="s">
        <v>3982</v>
      </c>
      <c r="Q345" s="65"/>
      <c r="R345" s="71">
        <v>33137</v>
      </c>
      <c r="S345" s="65"/>
      <c r="T345" s="70" t="s">
        <v>3983</v>
      </c>
      <c r="U345" s="65"/>
    </row>
    <row r="346" spans="1:21" ht="25.5" customHeight="1" x14ac:dyDescent="0.15">
      <c r="A346" s="61">
        <v>1049</v>
      </c>
      <c r="B346" s="67" t="s">
        <v>3984</v>
      </c>
      <c r="C346" s="65"/>
      <c r="D346" s="66">
        <v>1939</v>
      </c>
      <c r="E346" s="69"/>
      <c r="F346" s="65"/>
      <c r="G346" s="67" t="s">
        <v>3985</v>
      </c>
      <c r="H346" s="65"/>
      <c r="I346" s="64">
        <v>32143</v>
      </c>
      <c r="J346" s="65"/>
      <c r="K346" s="54">
        <v>1012</v>
      </c>
      <c r="L346" s="66">
        <v>1008</v>
      </c>
      <c r="M346" s="65"/>
      <c r="N346" s="70" t="s">
        <v>3986</v>
      </c>
      <c r="O346" s="65"/>
      <c r="P346" s="67" t="s">
        <v>3987</v>
      </c>
      <c r="Q346" s="65"/>
      <c r="R346" s="64">
        <v>32143</v>
      </c>
      <c r="S346" s="65"/>
      <c r="T346" s="67" t="s">
        <v>3988</v>
      </c>
      <c r="U346" s="65"/>
    </row>
    <row r="347" spans="1:21" ht="12.75" customHeight="1" x14ac:dyDescent="0.15">
      <c r="A347" s="68"/>
      <c r="B347" s="69"/>
      <c r="C347" s="69"/>
      <c r="D347" s="69"/>
      <c r="E347" s="69"/>
      <c r="F347" s="69"/>
      <c r="G347" s="69"/>
      <c r="H347" s="69"/>
      <c r="I347" s="69"/>
      <c r="J347" s="69"/>
      <c r="K347" s="69"/>
      <c r="L347" s="69"/>
      <c r="M347" s="69"/>
      <c r="N347" s="69"/>
      <c r="O347" s="65"/>
      <c r="P347" s="70" t="s">
        <v>3989</v>
      </c>
      <c r="Q347" s="65"/>
      <c r="R347" s="71">
        <v>32143</v>
      </c>
      <c r="S347" s="65"/>
      <c r="T347" s="70" t="s">
        <v>3990</v>
      </c>
      <c r="U347" s="65"/>
    </row>
    <row r="348" spans="1:21" ht="24.75" customHeight="1" x14ac:dyDescent="0.15">
      <c r="A348" s="61">
        <v>1050</v>
      </c>
      <c r="B348" s="67" t="s">
        <v>3991</v>
      </c>
      <c r="C348" s="65"/>
      <c r="D348" s="66">
        <v>588006</v>
      </c>
      <c r="E348" s="69"/>
      <c r="F348" s="65"/>
      <c r="G348" s="67" t="s">
        <v>3992</v>
      </c>
      <c r="H348" s="65"/>
      <c r="I348" s="64">
        <v>32154</v>
      </c>
      <c r="J348" s="65"/>
      <c r="K348" s="54">
        <v>1016</v>
      </c>
      <c r="L348" s="66">
        <v>1019</v>
      </c>
      <c r="M348" s="65"/>
      <c r="N348" s="70" t="s">
        <v>3993</v>
      </c>
      <c r="O348" s="65"/>
      <c r="P348" s="67" t="s">
        <v>3994</v>
      </c>
      <c r="Q348" s="65"/>
      <c r="R348" s="64">
        <v>32154</v>
      </c>
      <c r="S348" s="65"/>
      <c r="T348" s="67" t="s">
        <v>3995</v>
      </c>
      <c r="U348" s="65"/>
    </row>
    <row r="349" spans="1:21" ht="12.75" customHeight="1" x14ac:dyDescent="0.15">
      <c r="A349" s="68"/>
      <c r="B349" s="69"/>
      <c r="C349" s="69"/>
      <c r="D349" s="69"/>
      <c r="E349" s="69"/>
      <c r="F349" s="69"/>
      <c r="G349" s="69"/>
      <c r="H349" s="69"/>
      <c r="I349" s="69"/>
      <c r="J349" s="69"/>
      <c r="K349" s="69"/>
      <c r="L349" s="69"/>
      <c r="M349" s="69"/>
      <c r="N349" s="69"/>
      <c r="O349" s="65"/>
      <c r="P349" s="70" t="s">
        <v>3996</v>
      </c>
      <c r="Q349" s="65"/>
      <c r="R349" s="71">
        <v>32175</v>
      </c>
      <c r="S349" s="65"/>
      <c r="T349" s="70" t="s">
        <v>3997</v>
      </c>
      <c r="U349" s="65"/>
    </row>
    <row r="350" spans="1:21" ht="25.5" customHeight="1" x14ac:dyDescent="0.15">
      <c r="A350" s="61">
        <v>1051</v>
      </c>
      <c r="B350" s="67" t="s">
        <v>3998</v>
      </c>
      <c r="C350" s="65"/>
      <c r="D350" s="66">
        <v>890322</v>
      </c>
      <c r="E350" s="69"/>
      <c r="F350" s="65"/>
      <c r="G350" s="67" t="s">
        <v>3999</v>
      </c>
      <c r="H350" s="65"/>
      <c r="I350" s="64">
        <v>32202</v>
      </c>
      <c r="J350" s="65"/>
      <c r="K350" s="54">
        <v>1026</v>
      </c>
      <c r="L350" s="66">
        <v>1034</v>
      </c>
      <c r="M350" s="65"/>
      <c r="N350" s="70" t="s">
        <v>4000</v>
      </c>
      <c r="O350" s="65"/>
      <c r="P350" s="67" t="s">
        <v>4001</v>
      </c>
      <c r="Q350" s="65"/>
      <c r="R350" s="64">
        <v>32202</v>
      </c>
      <c r="S350" s="65"/>
      <c r="T350" s="67" t="s">
        <v>4002</v>
      </c>
      <c r="U350" s="65"/>
    </row>
    <row r="351" spans="1:21" ht="13.5" customHeight="1" x14ac:dyDescent="0.15">
      <c r="A351" s="68"/>
      <c r="B351" s="69"/>
      <c r="C351" s="69"/>
      <c r="D351" s="69"/>
      <c r="E351" s="69"/>
      <c r="F351" s="69"/>
      <c r="G351" s="69"/>
      <c r="H351" s="69"/>
      <c r="I351" s="69"/>
      <c r="J351" s="69"/>
      <c r="K351" s="69"/>
      <c r="L351" s="69"/>
      <c r="M351" s="69"/>
      <c r="N351" s="69"/>
      <c r="O351" s="65"/>
      <c r="P351" s="70" t="s">
        <v>4003</v>
      </c>
      <c r="Q351" s="65"/>
      <c r="R351" s="71">
        <v>32771</v>
      </c>
      <c r="S351" s="65"/>
      <c r="T351" s="70" t="s">
        <v>4004</v>
      </c>
      <c r="U351" s="65"/>
    </row>
    <row r="352" spans="1:21" ht="12.75" customHeight="1" x14ac:dyDescent="0.15">
      <c r="A352" s="68"/>
      <c r="B352" s="69"/>
      <c r="C352" s="69"/>
      <c r="D352" s="69"/>
      <c r="E352" s="69"/>
      <c r="F352" s="69"/>
      <c r="G352" s="69"/>
      <c r="H352" s="69"/>
      <c r="I352" s="69"/>
      <c r="J352" s="69"/>
      <c r="K352" s="69"/>
      <c r="L352" s="69"/>
      <c r="M352" s="69"/>
      <c r="N352" s="69"/>
      <c r="O352" s="65"/>
      <c r="P352" s="70" t="s">
        <v>4005</v>
      </c>
      <c r="Q352" s="65"/>
      <c r="R352" s="71">
        <v>35481</v>
      </c>
      <c r="S352" s="65"/>
      <c r="T352" s="70" t="s">
        <v>4006</v>
      </c>
      <c r="U352" s="65"/>
    </row>
    <row r="353" spans="1:21" ht="25.5" customHeight="1" x14ac:dyDescent="0.15">
      <c r="A353" s="61">
        <v>1052</v>
      </c>
      <c r="B353" s="67" t="s">
        <v>4007</v>
      </c>
      <c r="C353" s="65"/>
      <c r="D353" s="67" t="s">
        <v>4008</v>
      </c>
      <c r="E353" s="69"/>
      <c r="F353" s="65"/>
      <c r="G353" s="67" t="s">
        <v>4009</v>
      </c>
      <c r="H353" s="65"/>
      <c r="I353" s="64">
        <v>32237</v>
      </c>
      <c r="J353" s="65"/>
      <c r="K353" s="54">
        <v>1032</v>
      </c>
      <c r="L353" s="66">
        <v>1036</v>
      </c>
      <c r="M353" s="65"/>
      <c r="N353" s="73" t="s">
        <v>4010</v>
      </c>
      <c r="O353" s="65"/>
      <c r="P353" s="67" t="s">
        <v>4011</v>
      </c>
      <c r="Q353" s="65"/>
      <c r="R353" s="64">
        <v>32237</v>
      </c>
      <c r="S353" s="65"/>
      <c r="T353" s="67" t="s">
        <v>4012</v>
      </c>
      <c r="U353" s="65"/>
    </row>
    <row r="354" spans="1:21" ht="12.75" customHeight="1" x14ac:dyDescent="0.15">
      <c r="A354" s="68"/>
      <c r="B354" s="69"/>
      <c r="C354" s="69"/>
      <c r="D354" s="69"/>
      <c r="E354" s="69"/>
      <c r="F354" s="69"/>
      <c r="G354" s="69"/>
      <c r="H354" s="69"/>
      <c r="I354" s="69"/>
      <c r="J354" s="69"/>
      <c r="K354" s="69"/>
      <c r="L354" s="69"/>
      <c r="M354" s="69"/>
      <c r="N354" s="69"/>
      <c r="O354" s="65"/>
      <c r="P354" s="70" t="s">
        <v>4013</v>
      </c>
      <c r="Q354" s="65"/>
      <c r="R354" s="71">
        <v>32238</v>
      </c>
      <c r="S354" s="65"/>
      <c r="T354" s="70" t="s">
        <v>4014</v>
      </c>
      <c r="U354" s="65"/>
    </row>
    <row r="355" spans="1:21" ht="25.5" customHeight="1" x14ac:dyDescent="0.15">
      <c r="A355" s="61">
        <v>1053</v>
      </c>
      <c r="B355" s="67" t="s">
        <v>4015</v>
      </c>
      <c r="C355" s="65"/>
      <c r="D355" s="67" t="s">
        <v>4016</v>
      </c>
      <c r="E355" s="69"/>
      <c r="F355" s="65"/>
      <c r="G355" s="67" t="s">
        <v>4017</v>
      </c>
      <c r="H355" s="65"/>
      <c r="I355" s="64">
        <v>32243</v>
      </c>
      <c r="J355" s="65"/>
      <c r="K355" s="54">
        <v>1015</v>
      </c>
      <c r="L355" s="66">
        <v>1014</v>
      </c>
      <c r="M355" s="65"/>
      <c r="N355" s="70" t="s">
        <v>4018</v>
      </c>
      <c r="O355" s="65"/>
      <c r="P355" s="67" t="s">
        <v>4019</v>
      </c>
      <c r="Q355" s="65"/>
      <c r="R355" s="64">
        <v>32243</v>
      </c>
      <c r="S355" s="65"/>
      <c r="T355" s="67" t="s">
        <v>4020</v>
      </c>
      <c r="U355" s="65"/>
    </row>
    <row r="356" spans="1:21" ht="12.75" customHeight="1" x14ac:dyDescent="0.15">
      <c r="A356" s="68"/>
      <c r="B356" s="69"/>
      <c r="C356" s="69"/>
      <c r="D356" s="69"/>
      <c r="E356" s="69"/>
      <c r="F356" s="69"/>
      <c r="G356" s="69"/>
      <c r="H356" s="69"/>
      <c r="I356" s="69"/>
      <c r="J356" s="69"/>
      <c r="K356" s="69"/>
      <c r="L356" s="69"/>
      <c r="M356" s="69"/>
      <c r="N356" s="69"/>
      <c r="O356" s="65"/>
      <c r="P356" s="70" t="s">
        <v>4021</v>
      </c>
      <c r="Q356" s="65"/>
      <c r="R356" s="71">
        <v>33689</v>
      </c>
      <c r="S356" s="65"/>
      <c r="T356" s="70" t="s">
        <v>4022</v>
      </c>
      <c r="U356" s="65"/>
    </row>
    <row r="357" spans="1:21" ht="21" customHeight="1" x14ac:dyDescent="0.15">
      <c r="A357" s="60" t="s">
        <v>4023</v>
      </c>
      <c r="B357" s="72" t="s">
        <v>4024</v>
      </c>
      <c r="C357" s="65"/>
      <c r="D357" s="72" t="s">
        <v>4025</v>
      </c>
      <c r="E357" s="69"/>
      <c r="F357" s="65"/>
      <c r="G357" s="72" t="s">
        <v>4026</v>
      </c>
      <c r="H357" s="65"/>
      <c r="I357" s="72" t="s">
        <v>4027</v>
      </c>
      <c r="J357" s="65"/>
      <c r="K357" s="60" t="s">
        <v>4028</v>
      </c>
      <c r="L357" s="72" t="s">
        <v>4029</v>
      </c>
      <c r="M357" s="65"/>
      <c r="N357" s="72" t="s">
        <v>4030</v>
      </c>
      <c r="O357" s="65"/>
      <c r="P357" s="72" t="s">
        <v>4031</v>
      </c>
      <c r="Q357" s="65"/>
      <c r="R357" s="72" t="s">
        <v>4032</v>
      </c>
      <c r="S357" s="65"/>
      <c r="T357" s="72" t="s">
        <v>4033</v>
      </c>
      <c r="U357" s="65"/>
    </row>
    <row r="358" spans="1:21" ht="25.5" customHeight="1" x14ac:dyDescent="0.15">
      <c r="A358" s="61">
        <v>1054</v>
      </c>
      <c r="B358" s="67" t="s">
        <v>4034</v>
      </c>
      <c r="C358" s="65"/>
      <c r="D358" s="66">
        <v>880377</v>
      </c>
      <c r="E358" s="69"/>
      <c r="F358" s="65"/>
      <c r="G358" s="67" t="s">
        <v>4035</v>
      </c>
      <c r="H358" s="65"/>
      <c r="I358" s="64">
        <v>32440</v>
      </c>
      <c r="J358" s="65"/>
      <c r="K358" s="54">
        <v>1030</v>
      </c>
      <c r="L358" s="66">
        <v>1024</v>
      </c>
      <c r="M358" s="65"/>
      <c r="N358" s="70" t="s">
        <v>4036</v>
      </c>
      <c r="O358" s="65"/>
      <c r="P358" s="67" t="s">
        <v>4037</v>
      </c>
      <c r="Q358" s="65"/>
      <c r="R358" s="64">
        <v>32440</v>
      </c>
      <c r="S358" s="65"/>
      <c r="T358" s="67" t="s">
        <v>4038</v>
      </c>
      <c r="U358" s="65"/>
    </row>
    <row r="359" spans="1:21" ht="12.75" customHeight="1" x14ac:dyDescent="0.15">
      <c r="A359" s="68"/>
      <c r="B359" s="69"/>
      <c r="C359" s="69"/>
      <c r="D359" s="69"/>
      <c r="E359" s="69"/>
      <c r="F359" s="69"/>
      <c r="G359" s="69"/>
      <c r="H359" s="69"/>
      <c r="I359" s="69"/>
      <c r="J359" s="69"/>
      <c r="K359" s="69"/>
      <c r="L359" s="69"/>
      <c r="M359" s="69"/>
      <c r="N359" s="69"/>
      <c r="O359" s="65"/>
      <c r="P359" s="70" t="s">
        <v>4039</v>
      </c>
      <c r="Q359" s="65"/>
      <c r="R359" s="71">
        <v>37319</v>
      </c>
      <c r="S359" s="65"/>
      <c r="T359" s="70" t="s">
        <v>4040</v>
      </c>
      <c r="U359" s="65"/>
    </row>
    <row r="360" spans="1:21" ht="24.75" customHeight="1" x14ac:dyDescent="0.15">
      <c r="A360" s="61">
        <v>1055</v>
      </c>
      <c r="B360" s="67" t="s">
        <v>4041</v>
      </c>
      <c r="C360" s="65"/>
      <c r="D360" s="66">
        <v>6138</v>
      </c>
      <c r="E360" s="69"/>
      <c r="F360" s="65"/>
      <c r="G360" s="67" t="s">
        <v>4042</v>
      </c>
      <c r="H360" s="65"/>
      <c r="I360" s="64">
        <v>32464</v>
      </c>
      <c r="J360" s="65"/>
      <c r="K360" s="54">
        <v>1012</v>
      </c>
      <c r="L360" s="66">
        <v>1008</v>
      </c>
      <c r="M360" s="65"/>
      <c r="N360" s="70" t="s">
        <v>4043</v>
      </c>
      <c r="O360" s="65"/>
      <c r="P360" s="67" t="s">
        <v>4044</v>
      </c>
      <c r="Q360" s="65"/>
      <c r="R360" s="64">
        <v>32464</v>
      </c>
      <c r="S360" s="65"/>
      <c r="T360" s="67" t="s">
        <v>4045</v>
      </c>
      <c r="U360" s="65"/>
    </row>
    <row r="361" spans="1:21" ht="12.75" customHeight="1" x14ac:dyDescent="0.15">
      <c r="A361" s="68"/>
      <c r="B361" s="69"/>
      <c r="C361" s="69"/>
      <c r="D361" s="69"/>
      <c r="E361" s="69"/>
      <c r="F361" s="69"/>
      <c r="G361" s="69"/>
      <c r="H361" s="69"/>
      <c r="I361" s="69"/>
      <c r="J361" s="69"/>
      <c r="K361" s="69"/>
      <c r="L361" s="69"/>
      <c r="M361" s="69"/>
      <c r="N361" s="69"/>
      <c r="O361" s="65"/>
      <c r="P361" s="70" t="s">
        <v>4046</v>
      </c>
      <c r="Q361" s="65"/>
      <c r="R361" s="71">
        <v>33448</v>
      </c>
      <c r="S361" s="65"/>
      <c r="T361" s="70" t="s">
        <v>4047</v>
      </c>
      <c r="U361" s="65"/>
    </row>
    <row r="362" spans="1:21" ht="13.5" customHeight="1" x14ac:dyDescent="0.15">
      <c r="A362" s="68"/>
      <c r="B362" s="69"/>
      <c r="C362" s="69"/>
      <c r="D362" s="69"/>
      <c r="E362" s="69"/>
      <c r="F362" s="69"/>
      <c r="G362" s="69"/>
      <c r="H362" s="69"/>
      <c r="I362" s="69"/>
      <c r="J362" s="69"/>
      <c r="K362" s="69"/>
      <c r="L362" s="69"/>
      <c r="M362" s="69"/>
      <c r="N362" s="69"/>
      <c r="O362" s="65"/>
      <c r="P362" s="70" t="s">
        <v>4048</v>
      </c>
      <c r="Q362" s="65"/>
      <c r="R362" s="71">
        <v>34057</v>
      </c>
      <c r="S362" s="65"/>
      <c r="T362" s="70" t="s">
        <v>4049</v>
      </c>
      <c r="U362" s="65"/>
    </row>
    <row r="363" spans="1:21" ht="25.5" customHeight="1" x14ac:dyDescent="0.15">
      <c r="A363" s="61">
        <v>1056</v>
      </c>
      <c r="B363" s="67" t="s">
        <v>4050</v>
      </c>
      <c r="C363" s="65"/>
      <c r="D363" s="66">
        <v>6139</v>
      </c>
      <c r="E363" s="69"/>
      <c r="F363" s="65"/>
      <c r="G363" s="67" t="s">
        <v>4051</v>
      </c>
      <c r="H363" s="65"/>
      <c r="I363" s="64">
        <v>32464</v>
      </c>
      <c r="J363" s="65"/>
      <c r="K363" s="54">
        <v>1012</v>
      </c>
      <c r="L363" s="66">
        <v>1008</v>
      </c>
      <c r="M363" s="65"/>
      <c r="N363" s="73" t="s">
        <v>4052</v>
      </c>
      <c r="O363" s="65"/>
      <c r="P363" s="67" t="s">
        <v>4053</v>
      </c>
      <c r="Q363" s="65"/>
      <c r="R363" s="64">
        <v>32464</v>
      </c>
      <c r="S363" s="65"/>
      <c r="T363" s="67" t="s">
        <v>4054</v>
      </c>
      <c r="U363" s="65"/>
    </row>
    <row r="364" spans="1:21" ht="12.75" customHeight="1" x14ac:dyDescent="0.15">
      <c r="A364" s="68"/>
      <c r="B364" s="69"/>
      <c r="C364" s="69"/>
      <c r="D364" s="69"/>
      <c r="E364" s="69"/>
      <c r="F364" s="69"/>
      <c r="G364" s="69"/>
      <c r="H364" s="69"/>
      <c r="I364" s="69"/>
      <c r="J364" s="69"/>
      <c r="K364" s="69"/>
      <c r="L364" s="69"/>
      <c r="M364" s="69"/>
      <c r="N364" s="69"/>
      <c r="O364" s="65"/>
      <c r="P364" s="70" t="s">
        <v>4055</v>
      </c>
      <c r="Q364" s="65"/>
      <c r="R364" s="71">
        <v>33448</v>
      </c>
      <c r="S364" s="65"/>
      <c r="T364" s="70" t="s">
        <v>4056</v>
      </c>
      <c r="U364" s="65"/>
    </row>
    <row r="365" spans="1:21" ht="12.75" customHeight="1" x14ac:dyDescent="0.15">
      <c r="A365" s="68"/>
      <c r="B365" s="69"/>
      <c r="C365" s="69"/>
      <c r="D365" s="69"/>
      <c r="E365" s="69"/>
      <c r="F365" s="69"/>
      <c r="G365" s="69"/>
      <c r="H365" s="69"/>
      <c r="I365" s="69"/>
      <c r="J365" s="69"/>
      <c r="K365" s="69"/>
      <c r="L365" s="69"/>
      <c r="M365" s="69"/>
      <c r="N365" s="69"/>
      <c r="O365" s="65"/>
      <c r="P365" s="70" t="s">
        <v>4057</v>
      </c>
      <c r="Q365" s="65"/>
      <c r="R365" s="71">
        <v>36860</v>
      </c>
      <c r="S365" s="65"/>
      <c r="T365" s="70" t="s">
        <v>4058</v>
      </c>
      <c r="U365" s="65"/>
    </row>
    <row r="366" spans="1:21" ht="25.5" customHeight="1" x14ac:dyDescent="0.15">
      <c r="A366" s="61">
        <v>1057</v>
      </c>
      <c r="B366" s="67" t="s">
        <v>4059</v>
      </c>
      <c r="C366" s="65"/>
      <c r="D366" s="66">
        <v>198133</v>
      </c>
      <c r="E366" s="69"/>
      <c r="F366" s="65"/>
      <c r="G366" s="67" t="s">
        <v>4060</v>
      </c>
      <c r="H366" s="65"/>
      <c r="I366" s="64">
        <v>32564</v>
      </c>
      <c r="J366" s="65"/>
      <c r="K366" s="54">
        <v>1017</v>
      </c>
      <c r="L366" s="66">
        <v>1020</v>
      </c>
      <c r="M366" s="65"/>
      <c r="N366" s="70" t="s">
        <v>4061</v>
      </c>
      <c r="O366" s="65"/>
      <c r="P366" s="67" t="s">
        <v>4062</v>
      </c>
      <c r="Q366" s="65"/>
      <c r="R366" s="64">
        <v>32564</v>
      </c>
      <c r="S366" s="65"/>
      <c r="T366" s="67" t="s">
        <v>4063</v>
      </c>
      <c r="U366" s="65"/>
    </row>
    <row r="367" spans="1:21" ht="13.5" customHeight="1" x14ac:dyDescent="0.15">
      <c r="A367" s="68"/>
      <c r="B367" s="69"/>
      <c r="C367" s="69"/>
      <c r="D367" s="69"/>
      <c r="E367" s="69"/>
      <c r="F367" s="69"/>
      <c r="G367" s="69"/>
      <c r="H367" s="69"/>
      <c r="I367" s="69"/>
      <c r="J367" s="69"/>
      <c r="K367" s="69"/>
      <c r="L367" s="69"/>
      <c r="M367" s="69"/>
      <c r="N367" s="69"/>
      <c r="O367" s="65"/>
      <c r="P367" s="70" t="s">
        <v>4064</v>
      </c>
      <c r="Q367" s="65"/>
      <c r="R367" s="71">
        <v>36096</v>
      </c>
      <c r="S367" s="65"/>
      <c r="T367" s="70" t="s">
        <v>4065</v>
      </c>
      <c r="U367" s="65"/>
    </row>
    <row r="368" spans="1:21" ht="12.75" customHeight="1" x14ac:dyDescent="0.15">
      <c r="A368" s="68"/>
      <c r="B368" s="69"/>
      <c r="C368" s="69"/>
      <c r="D368" s="69"/>
      <c r="E368" s="69"/>
      <c r="F368" s="69"/>
      <c r="G368" s="69"/>
      <c r="H368" s="69"/>
      <c r="I368" s="69"/>
      <c r="J368" s="69"/>
      <c r="K368" s="69"/>
      <c r="L368" s="69"/>
      <c r="M368" s="69"/>
      <c r="N368" s="69"/>
      <c r="O368" s="65"/>
      <c r="P368" s="70" t="s">
        <v>4066</v>
      </c>
      <c r="Q368" s="65"/>
      <c r="R368" s="71">
        <v>38584</v>
      </c>
      <c r="S368" s="65"/>
      <c r="T368" s="70" t="s">
        <v>4067</v>
      </c>
      <c r="U368" s="65"/>
    </row>
    <row r="369" spans="1:21" ht="25.5" customHeight="1" x14ac:dyDescent="0.15">
      <c r="A369" s="61">
        <v>1058</v>
      </c>
      <c r="B369" s="67" t="s">
        <v>4068</v>
      </c>
      <c r="C369" s="65"/>
      <c r="D369" s="66">
        <v>489049</v>
      </c>
      <c r="E369" s="69"/>
      <c r="F369" s="65"/>
      <c r="G369" s="67" t="s">
        <v>4069</v>
      </c>
      <c r="H369" s="65"/>
      <c r="I369" s="64">
        <v>32564</v>
      </c>
      <c r="J369" s="65"/>
      <c r="K369" s="54">
        <v>1017</v>
      </c>
      <c r="L369" s="66">
        <v>1020</v>
      </c>
      <c r="M369" s="65"/>
      <c r="N369" s="70" t="s">
        <v>4070</v>
      </c>
      <c r="O369" s="65"/>
      <c r="P369" s="67" t="s">
        <v>4071</v>
      </c>
      <c r="Q369" s="65"/>
      <c r="R369" s="64">
        <v>32564</v>
      </c>
      <c r="S369" s="65"/>
      <c r="T369" s="67" t="s">
        <v>4072</v>
      </c>
      <c r="U369" s="65"/>
    </row>
    <row r="370" spans="1:21" ht="12.75" customHeight="1" x14ac:dyDescent="0.15">
      <c r="A370" s="68"/>
      <c r="B370" s="69"/>
      <c r="C370" s="69"/>
      <c r="D370" s="69"/>
      <c r="E370" s="69"/>
      <c r="F370" s="69"/>
      <c r="G370" s="69"/>
      <c r="H370" s="69"/>
      <c r="I370" s="69"/>
      <c r="J370" s="69"/>
      <c r="K370" s="69"/>
      <c r="L370" s="69"/>
      <c r="M370" s="69"/>
      <c r="N370" s="69"/>
      <c r="O370" s="65"/>
      <c r="P370" s="70" t="s">
        <v>4073</v>
      </c>
      <c r="Q370" s="65"/>
      <c r="R370" s="71">
        <v>39802</v>
      </c>
      <c r="S370" s="65"/>
      <c r="T370" s="70" t="s">
        <v>4074</v>
      </c>
      <c r="U370" s="65"/>
    </row>
    <row r="371" spans="1:21" ht="25.5" customHeight="1" x14ac:dyDescent="0.15">
      <c r="A371" s="61">
        <v>1059</v>
      </c>
      <c r="B371" s="67" t="s">
        <v>4075</v>
      </c>
      <c r="C371" s="65"/>
      <c r="D371" s="66">
        <v>589050</v>
      </c>
      <c r="E371" s="69"/>
      <c r="F371" s="65"/>
      <c r="G371" s="67" t="s">
        <v>4076</v>
      </c>
      <c r="H371" s="65"/>
      <c r="I371" s="64">
        <v>32565</v>
      </c>
      <c r="J371" s="65"/>
      <c r="K371" s="54">
        <v>1016</v>
      </c>
      <c r="L371" s="66">
        <v>1019</v>
      </c>
      <c r="M371" s="65"/>
      <c r="N371" s="70" t="s">
        <v>4077</v>
      </c>
      <c r="O371" s="65"/>
      <c r="P371" s="67" t="s">
        <v>4078</v>
      </c>
      <c r="Q371" s="65"/>
      <c r="R371" s="64">
        <v>32565</v>
      </c>
      <c r="S371" s="65"/>
      <c r="T371" s="67" t="s">
        <v>4079</v>
      </c>
      <c r="U371" s="65"/>
    </row>
    <row r="372" spans="1:21" ht="12.75" customHeight="1" x14ac:dyDescent="0.15">
      <c r="A372" s="68"/>
      <c r="B372" s="69"/>
      <c r="C372" s="69"/>
      <c r="D372" s="69"/>
      <c r="E372" s="69"/>
      <c r="F372" s="69"/>
      <c r="G372" s="69"/>
      <c r="H372" s="69"/>
      <c r="I372" s="69"/>
      <c r="J372" s="69"/>
      <c r="K372" s="69"/>
      <c r="L372" s="69"/>
      <c r="M372" s="69"/>
      <c r="N372" s="69"/>
      <c r="O372" s="65"/>
      <c r="P372" s="70" t="s">
        <v>4080</v>
      </c>
      <c r="Q372" s="65"/>
      <c r="R372" s="71">
        <v>36368</v>
      </c>
      <c r="S372" s="65"/>
      <c r="T372" s="70" t="s">
        <v>4081</v>
      </c>
      <c r="U372" s="65"/>
    </row>
    <row r="373" spans="1:21" ht="25.5" customHeight="1" x14ac:dyDescent="0.15">
      <c r="A373" s="61">
        <v>1060</v>
      </c>
      <c r="B373" s="67" t="s">
        <v>4082</v>
      </c>
      <c r="C373" s="65"/>
      <c r="D373" s="66">
        <v>589045</v>
      </c>
      <c r="E373" s="69"/>
      <c r="F373" s="65"/>
      <c r="G373" s="67" t="s">
        <v>4083</v>
      </c>
      <c r="H373" s="65"/>
      <c r="I373" s="64">
        <v>32566</v>
      </c>
      <c r="J373" s="65"/>
      <c r="K373" s="54">
        <v>1018</v>
      </c>
      <c r="L373" s="66">
        <v>1021</v>
      </c>
      <c r="M373" s="65"/>
      <c r="N373" s="73" t="s">
        <v>4084</v>
      </c>
      <c r="O373" s="65"/>
      <c r="P373" s="67" t="s">
        <v>4085</v>
      </c>
      <c r="Q373" s="65"/>
      <c r="R373" s="64">
        <v>32566</v>
      </c>
      <c r="S373" s="65"/>
      <c r="T373" s="67" t="s">
        <v>4086</v>
      </c>
      <c r="U373" s="65"/>
    </row>
    <row r="374" spans="1:21" ht="12.75" customHeight="1" x14ac:dyDescent="0.15">
      <c r="A374" s="68"/>
      <c r="B374" s="69"/>
      <c r="C374" s="69"/>
      <c r="D374" s="69"/>
      <c r="E374" s="69"/>
      <c r="F374" s="69"/>
      <c r="G374" s="69"/>
      <c r="H374" s="69"/>
      <c r="I374" s="69"/>
      <c r="J374" s="69"/>
      <c r="K374" s="69"/>
      <c r="L374" s="69"/>
      <c r="M374" s="69"/>
      <c r="N374" s="69"/>
      <c r="O374" s="65"/>
      <c r="P374" s="70" t="s">
        <v>4087</v>
      </c>
      <c r="Q374" s="65"/>
      <c r="R374" s="71">
        <v>37288</v>
      </c>
      <c r="S374" s="65"/>
      <c r="T374" s="70" t="s">
        <v>4088</v>
      </c>
      <c r="U374" s="65"/>
    </row>
    <row r="375" spans="1:21" ht="13.5" customHeight="1" x14ac:dyDescent="0.15">
      <c r="A375" s="68"/>
      <c r="B375" s="69"/>
      <c r="C375" s="69"/>
      <c r="D375" s="69"/>
      <c r="E375" s="69"/>
      <c r="F375" s="69"/>
      <c r="G375" s="69"/>
      <c r="H375" s="69"/>
      <c r="I375" s="69"/>
      <c r="J375" s="69"/>
      <c r="K375" s="69"/>
      <c r="L375" s="69"/>
      <c r="M375" s="69"/>
      <c r="N375" s="69"/>
      <c r="O375" s="65"/>
      <c r="P375" s="70" t="s">
        <v>4089</v>
      </c>
      <c r="Q375" s="65"/>
      <c r="R375" s="71">
        <v>37378</v>
      </c>
      <c r="S375" s="65"/>
      <c r="T375" s="70" t="s">
        <v>4090</v>
      </c>
      <c r="U375" s="65"/>
    </row>
    <row r="376" spans="1:21" ht="25.5" customHeight="1" x14ac:dyDescent="0.15">
      <c r="A376" s="61">
        <v>1061</v>
      </c>
      <c r="B376" s="67" t="s">
        <v>4091</v>
      </c>
      <c r="C376" s="65"/>
      <c r="D376" s="66">
        <v>589046</v>
      </c>
      <c r="E376" s="69"/>
      <c r="F376" s="65"/>
      <c r="G376" s="67" t="s">
        <v>4092</v>
      </c>
      <c r="H376" s="65"/>
      <c r="I376" s="64">
        <v>32566</v>
      </c>
      <c r="J376" s="65"/>
      <c r="K376" s="54">
        <v>1018</v>
      </c>
      <c r="L376" s="66">
        <v>1021</v>
      </c>
      <c r="M376" s="65"/>
      <c r="N376" s="73" t="s">
        <v>4093</v>
      </c>
      <c r="O376" s="65"/>
      <c r="P376" s="67" t="s">
        <v>4094</v>
      </c>
      <c r="Q376" s="65"/>
      <c r="R376" s="64">
        <v>32566</v>
      </c>
      <c r="S376" s="65"/>
      <c r="T376" s="67" t="s">
        <v>4095</v>
      </c>
      <c r="U376" s="65"/>
    </row>
    <row r="377" spans="1:21" ht="12.75" customHeight="1" x14ac:dyDescent="0.15">
      <c r="A377" s="68"/>
      <c r="B377" s="69"/>
      <c r="C377" s="69"/>
      <c r="D377" s="69"/>
      <c r="E377" s="69"/>
      <c r="F377" s="69"/>
      <c r="G377" s="69"/>
      <c r="H377" s="69"/>
      <c r="I377" s="69"/>
      <c r="J377" s="69"/>
      <c r="K377" s="69"/>
      <c r="L377" s="69"/>
      <c r="M377" s="69"/>
      <c r="N377" s="69"/>
      <c r="O377" s="65"/>
      <c r="P377" s="70" t="s">
        <v>4096</v>
      </c>
      <c r="Q377" s="65"/>
      <c r="R377" s="71">
        <v>37589</v>
      </c>
      <c r="S377" s="65"/>
      <c r="T377" s="70" t="s">
        <v>4097</v>
      </c>
      <c r="U377" s="65"/>
    </row>
    <row r="378" spans="1:21" ht="25.5" customHeight="1" x14ac:dyDescent="0.15">
      <c r="A378" s="61">
        <v>1062</v>
      </c>
      <c r="B378" s="67" t="s">
        <v>4098</v>
      </c>
      <c r="C378" s="65"/>
      <c r="D378" s="66">
        <v>189127</v>
      </c>
      <c r="E378" s="69"/>
      <c r="F378" s="65"/>
      <c r="G378" s="67" t="s">
        <v>4099</v>
      </c>
      <c r="H378" s="65"/>
      <c r="I378" s="64">
        <v>32735</v>
      </c>
      <c r="J378" s="65"/>
      <c r="K378" s="54">
        <v>1032</v>
      </c>
      <c r="L378" s="66">
        <v>1036</v>
      </c>
      <c r="M378" s="65"/>
      <c r="N378" s="70" t="s">
        <v>4100</v>
      </c>
      <c r="O378" s="65"/>
      <c r="P378" s="67" t="s">
        <v>4101</v>
      </c>
      <c r="Q378" s="65"/>
      <c r="R378" s="64">
        <v>32735</v>
      </c>
      <c r="S378" s="65"/>
      <c r="T378" s="67" t="s">
        <v>4102</v>
      </c>
      <c r="U378" s="65"/>
    </row>
    <row r="379" spans="1:21" ht="13.5" customHeight="1" x14ac:dyDescent="0.15">
      <c r="A379" s="68"/>
      <c r="B379" s="69"/>
      <c r="C379" s="69"/>
      <c r="D379" s="69"/>
      <c r="E379" s="69"/>
      <c r="F379" s="69"/>
      <c r="G379" s="69"/>
      <c r="H379" s="69"/>
      <c r="I379" s="69"/>
      <c r="J379" s="69"/>
      <c r="K379" s="69"/>
      <c r="L379" s="69"/>
      <c r="M379" s="69"/>
      <c r="N379" s="69"/>
      <c r="O379" s="65"/>
      <c r="P379" s="70" t="s">
        <v>4103</v>
      </c>
      <c r="Q379" s="65"/>
      <c r="R379" s="71">
        <v>32735</v>
      </c>
      <c r="S379" s="65"/>
      <c r="T379" s="70" t="s">
        <v>4104</v>
      </c>
      <c r="U379" s="65"/>
    </row>
    <row r="380" spans="1:21" ht="25.5" customHeight="1" x14ac:dyDescent="0.15">
      <c r="A380" s="61">
        <v>1063</v>
      </c>
      <c r="B380" s="67" t="s">
        <v>4105</v>
      </c>
      <c r="C380" s="65"/>
      <c r="D380" s="66">
        <v>197012</v>
      </c>
      <c r="E380" s="69"/>
      <c r="F380" s="65"/>
      <c r="G380" s="67" t="s">
        <v>4106</v>
      </c>
      <c r="H380" s="65"/>
      <c r="I380" s="64">
        <v>32890</v>
      </c>
      <c r="J380" s="65"/>
      <c r="K380" s="54">
        <v>1041</v>
      </c>
      <c r="L380" s="66">
        <v>1040</v>
      </c>
      <c r="M380" s="65"/>
      <c r="N380" s="73" t="s">
        <v>4107</v>
      </c>
      <c r="O380" s="65"/>
      <c r="P380" s="67" t="s">
        <v>4108</v>
      </c>
      <c r="Q380" s="65"/>
      <c r="R380" s="64">
        <v>32890</v>
      </c>
      <c r="S380" s="65"/>
      <c r="T380" s="67" t="s">
        <v>4109</v>
      </c>
      <c r="U380" s="65"/>
    </row>
    <row r="381" spans="1:21" ht="12.75" customHeight="1" x14ac:dyDescent="0.15">
      <c r="A381" s="68"/>
      <c r="B381" s="69"/>
      <c r="C381" s="69"/>
      <c r="D381" s="69"/>
      <c r="E381" s="69"/>
      <c r="F381" s="69"/>
      <c r="G381" s="69"/>
      <c r="H381" s="69"/>
      <c r="I381" s="69"/>
      <c r="J381" s="69"/>
      <c r="K381" s="69"/>
      <c r="L381" s="69"/>
      <c r="M381" s="69"/>
      <c r="N381" s="69"/>
      <c r="O381" s="65"/>
      <c r="P381" s="70" t="s">
        <v>4110</v>
      </c>
      <c r="Q381" s="65"/>
      <c r="R381" s="71">
        <v>35481</v>
      </c>
      <c r="S381" s="65"/>
      <c r="T381" s="70" t="s">
        <v>4111</v>
      </c>
      <c r="U381" s="65"/>
    </row>
    <row r="382" spans="1:21" ht="12.75" customHeight="1" x14ac:dyDescent="0.15">
      <c r="A382" s="68"/>
      <c r="B382" s="69"/>
      <c r="C382" s="69"/>
      <c r="D382" s="69"/>
      <c r="E382" s="69"/>
      <c r="F382" s="69"/>
      <c r="G382" s="69"/>
      <c r="H382" s="69"/>
      <c r="I382" s="69"/>
      <c r="J382" s="69"/>
      <c r="K382" s="69"/>
      <c r="L382" s="69"/>
      <c r="M382" s="69"/>
      <c r="N382" s="69"/>
      <c r="O382" s="65"/>
      <c r="P382" s="70" t="s">
        <v>4112</v>
      </c>
      <c r="Q382" s="65"/>
      <c r="R382" s="71">
        <v>38093</v>
      </c>
      <c r="S382" s="65"/>
      <c r="T382" s="70" t="s">
        <v>4113</v>
      </c>
      <c r="U382" s="65"/>
    </row>
    <row r="383" spans="1:21" ht="25.5" customHeight="1" x14ac:dyDescent="0.15">
      <c r="A383" s="61">
        <v>1064</v>
      </c>
      <c r="B383" s="67" t="s">
        <v>4114</v>
      </c>
      <c r="C383" s="65"/>
      <c r="D383" s="66">
        <v>910257</v>
      </c>
      <c r="E383" s="69"/>
      <c r="F383" s="65"/>
      <c r="G383" s="67" t="s">
        <v>4115</v>
      </c>
      <c r="H383" s="65"/>
      <c r="I383" s="64">
        <v>32890</v>
      </c>
      <c r="J383" s="65"/>
      <c r="K383" s="54">
        <v>1041</v>
      </c>
      <c r="L383" s="66">
        <v>1040</v>
      </c>
      <c r="M383" s="65"/>
      <c r="N383" s="70" t="s">
        <v>4116</v>
      </c>
      <c r="O383" s="65"/>
      <c r="P383" s="67" t="s">
        <v>4117</v>
      </c>
      <c r="Q383" s="65"/>
      <c r="R383" s="64">
        <v>32890</v>
      </c>
      <c r="S383" s="65"/>
      <c r="T383" s="67" t="s">
        <v>4118</v>
      </c>
      <c r="U383" s="65"/>
    </row>
    <row r="384" spans="1:21" ht="13.5" customHeight="1" x14ac:dyDescent="0.15">
      <c r="A384" s="68"/>
      <c r="B384" s="69"/>
      <c r="C384" s="69"/>
      <c r="D384" s="69"/>
      <c r="E384" s="69"/>
      <c r="F384" s="69"/>
      <c r="G384" s="69"/>
      <c r="H384" s="69"/>
      <c r="I384" s="69"/>
      <c r="J384" s="69"/>
      <c r="K384" s="69"/>
      <c r="L384" s="69"/>
      <c r="M384" s="69"/>
      <c r="N384" s="69"/>
      <c r="O384" s="65"/>
      <c r="P384" s="70" t="s">
        <v>4119</v>
      </c>
      <c r="Q384" s="65"/>
      <c r="R384" s="71">
        <v>33402</v>
      </c>
      <c r="S384" s="65"/>
      <c r="T384" s="70" t="s">
        <v>4120</v>
      </c>
      <c r="U384" s="65"/>
    </row>
    <row r="385" spans="1:21" ht="12.75" customHeight="1" x14ac:dyDescent="0.15">
      <c r="A385" s="68"/>
      <c r="B385" s="69"/>
      <c r="C385" s="69"/>
      <c r="D385" s="69"/>
      <c r="E385" s="69"/>
      <c r="F385" s="69"/>
      <c r="G385" s="69"/>
      <c r="H385" s="69"/>
      <c r="I385" s="69"/>
      <c r="J385" s="69"/>
      <c r="K385" s="69"/>
      <c r="L385" s="69"/>
      <c r="M385" s="69"/>
      <c r="N385" s="69"/>
      <c r="O385" s="65"/>
      <c r="P385" s="70" t="s">
        <v>4121</v>
      </c>
      <c r="Q385" s="65"/>
      <c r="R385" s="71">
        <v>37591</v>
      </c>
      <c r="S385" s="65"/>
      <c r="T385" s="70" t="s">
        <v>4122</v>
      </c>
      <c r="U385" s="65"/>
    </row>
    <row r="386" spans="1:21" ht="24.75" customHeight="1" x14ac:dyDescent="0.15">
      <c r="A386" s="61">
        <v>1065</v>
      </c>
      <c r="B386" s="67" t="s">
        <v>4123</v>
      </c>
      <c r="C386" s="65"/>
      <c r="D386" s="67" t="s">
        <v>4124</v>
      </c>
      <c r="E386" s="69"/>
      <c r="F386" s="65"/>
      <c r="G386" s="67" t="s">
        <v>4125</v>
      </c>
      <c r="H386" s="65"/>
      <c r="I386" s="64">
        <v>32956</v>
      </c>
      <c r="J386" s="65"/>
      <c r="K386" s="54">
        <v>1016</v>
      </c>
      <c r="L386" s="66">
        <v>1019</v>
      </c>
      <c r="M386" s="65"/>
      <c r="N386" s="70" t="s">
        <v>4126</v>
      </c>
      <c r="O386" s="65"/>
      <c r="P386" s="67" t="s">
        <v>4127</v>
      </c>
      <c r="Q386" s="65"/>
      <c r="R386" s="64">
        <v>32956</v>
      </c>
      <c r="S386" s="65"/>
      <c r="T386" s="67" t="s">
        <v>4128</v>
      </c>
      <c r="U386" s="65"/>
    </row>
    <row r="387" spans="1:21" ht="21" customHeight="1" x14ac:dyDescent="0.15">
      <c r="A387" s="60" t="s">
        <v>4129</v>
      </c>
      <c r="B387" s="72" t="s">
        <v>4130</v>
      </c>
      <c r="C387" s="65"/>
      <c r="D387" s="72" t="s">
        <v>4131</v>
      </c>
      <c r="E387" s="69"/>
      <c r="F387" s="65"/>
      <c r="G387" s="72" t="s">
        <v>4132</v>
      </c>
      <c r="H387" s="65"/>
      <c r="I387" s="72" t="s">
        <v>4133</v>
      </c>
      <c r="J387" s="65"/>
      <c r="K387" s="60" t="s">
        <v>4134</v>
      </c>
      <c r="L387" s="72" t="s">
        <v>4135</v>
      </c>
      <c r="M387" s="65"/>
      <c r="N387" s="72" t="s">
        <v>4136</v>
      </c>
      <c r="O387" s="65"/>
      <c r="P387" s="72" t="s">
        <v>4137</v>
      </c>
      <c r="Q387" s="65"/>
      <c r="R387" s="72" t="s">
        <v>4138</v>
      </c>
      <c r="S387" s="65"/>
      <c r="T387" s="72" t="s">
        <v>4139</v>
      </c>
      <c r="U387" s="65"/>
    </row>
    <row r="388" spans="1:21" ht="13.5" customHeight="1" x14ac:dyDescent="0.15">
      <c r="A388" s="68"/>
      <c r="B388" s="69"/>
      <c r="C388" s="69"/>
      <c r="D388" s="69"/>
      <c r="E388" s="69"/>
      <c r="F388" s="69"/>
      <c r="G388" s="69"/>
      <c r="H388" s="69"/>
      <c r="I388" s="69"/>
      <c r="J388" s="69"/>
      <c r="K388" s="69"/>
      <c r="L388" s="69"/>
      <c r="M388" s="69"/>
      <c r="N388" s="69"/>
      <c r="O388" s="65"/>
      <c r="P388" s="70" t="s">
        <v>4140</v>
      </c>
      <c r="Q388" s="65"/>
      <c r="R388" s="71">
        <v>37456</v>
      </c>
      <c r="S388" s="65"/>
      <c r="T388" s="70" t="s">
        <v>4141</v>
      </c>
      <c r="U388" s="65"/>
    </row>
    <row r="389" spans="1:21" ht="12.75" customHeight="1" x14ac:dyDescent="0.15">
      <c r="A389" s="68"/>
      <c r="B389" s="69"/>
      <c r="C389" s="69"/>
      <c r="D389" s="69"/>
      <c r="E389" s="69"/>
      <c r="F389" s="69"/>
      <c r="G389" s="69"/>
      <c r="H389" s="69"/>
      <c r="I389" s="69"/>
      <c r="J389" s="69"/>
      <c r="K389" s="69"/>
      <c r="L389" s="69"/>
      <c r="M389" s="69"/>
      <c r="N389" s="69"/>
      <c r="O389" s="65"/>
      <c r="P389" s="70" t="s">
        <v>4142</v>
      </c>
      <c r="Q389" s="65"/>
      <c r="R389" s="71">
        <v>39860</v>
      </c>
      <c r="S389" s="65"/>
      <c r="T389" s="70" t="s">
        <v>4143</v>
      </c>
      <c r="U389" s="65"/>
    </row>
    <row r="390" spans="1:21" ht="24.75" customHeight="1" x14ac:dyDescent="0.15">
      <c r="A390" s="61">
        <v>1066</v>
      </c>
      <c r="B390" s="67" t="s">
        <v>4144</v>
      </c>
      <c r="C390" s="65"/>
      <c r="D390" s="66">
        <v>970144</v>
      </c>
      <c r="E390" s="69"/>
      <c r="F390" s="65"/>
      <c r="G390" s="67" t="s">
        <v>4145</v>
      </c>
      <c r="H390" s="65"/>
      <c r="I390" s="64">
        <v>32969</v>
      </c>
      <c r="J390" s="65"/>
      <c r="K390" s="54">
        <v>1045</v>
      </c>
      <c r="L390" s="66">
        <v>1046</v>
      </c>
      <c r="M390" s="65"/>
      <c r="N390" s="70" t="s">
        <v>4146</v>
      </c>
      <c r="O390" s="65"/>
      <c r="P390" s="67" t="s">
        <v>4147</v>
      </c>
      <c r="Q390" s="65"/>
      <c r="R390" s="64">
        <v>32969</v>
      </c>
      <c r="S390" s="65"/>
      <c r="T390" s="67" t="s">
        <v>4148</v>
      </c>
      <c r="U390" s="65"/>
    </row>
    <row r="391" spans="1:21" ht="12.75" customHeight="1" x14ac:dyDescent="0.15">
      <c r="A391" s="68"/>
      <c r="B391" s="69"/>
      <c r="C391" s="69"/>
      <c r="D391" s="69"/>
      <c r="E391" s="69"/>
      <c r="F391" s="69"/>
      <c r="G391" s="69"/>
      <c r="H391" s="69"/>
      <c r="I391" s="69"/>
      <c r="J391" s="69"/>
      <c r="K391" s="69"/>
      <c r="L391" s="69"/>
      <c r="M391" s="69"/>
      <c r="N391" s="69"/>
      <c r="O391" s="65"/>
      <c r="P391" s="70" t="s">
        <v>4149</v>
      </c>
      <c r="Q391" s="65"/>
      <c r="R391" s="71">
        <v>35573</v>
      </c>
      <c r="S391" s="65"/>
      <c r="T391" s="70" t="s">
        <v>4150</v>
      </c>
      <c r="U391" s="65"/>
    </row>
    <row r="392" spans="1:21" ht="13.5" customHeight="1" x14ac:dyDescent="0.15">
      <c r="A392" s="68"/>
      <c r="B392" s="69"/>
      <c r="C392" s="69"/>
      <c r="D392" s="69"/>
      <c r="E392" s="69"/>
      <c r="F392" s="69"/>
      <c r="G392" s="69"/>
      <c r="H392" s="69"/>
      <c r="I392" s="69"/>
      <c r="J392" s="69"/>
      <c r="K392" s="69"/>
      <c r="L392" s="69"/>
      <c r="M392" s="69"/>
      <c r="N392" s="69"/>
      <c r="O392" s="65"/>
      <c r="P392" s="70" t="s">
        <v>4151</v>
      </c>
      <c r="Q392" s="65"/>
      <c r="R392" s="71">
        <v>35909</v>
      </c>
      <c r="S392" s="65"/>
      <c r="T392" s="70" t="s">
        <v>4152</v>
      </c>
      <c r="U392" s="65"/>
    </row>
    <row r="393" spans="1:21" ht="25.5" customHeight="1" x14ac:dyDescent="0.15">
      <c r="A393" s="61">
        <v>1067</v>
      </c>
      <c r="B393" s="67" t="s">
        <v>4153</v>
      </c>
      <c r="C393" s="65"/>
      <c r="D393" s="66">
        <v>12238</v>
      </c>
      <c r="E393" s="69"/>
      <c r="F393" s="65"/>
      <c r="G393" s="67" t="s">
        <v>4154</v>
      </c>
      <c r="H393" s="65"/>
      <c r="I393" s="64">
        <v>32969</v>
      </c>
      <c r="J393" s="65"/>
      <c r="K393" s="54">
        <v>1045</v>
      </c>
      <c r="L393" s="66">
        <v>1046</v>
      </c>
      <c r="M393" s="65"/>
      <c r="N393" s="73" t="s">
        <v>4155</v>
      </c>
      <c r="O393" s="65"/>
      <c r="P393" s="67" t="s">
        <v>4156</v>
      </c>
      <c r="Q393" s="65"/>
      <c r="R393" s="64">
        <v>32969</v>
      </c>
      <c r="S393" s="65"/>
      <c r="T393" s="67" t="s">
        <v>4157</v>
      </c>
      <c r="U393" s="65"/>
    </row>
    <row r="394" spans="1:21" ht="12.75" customHeight="1" x14ac:dyDescent="0.15">
      <c r="A394" s="68"/>
      <c r="B394" s="69"/>
      <c r="C394" s="69"/>
      <c r="D394" s="69"/>
      <c r="E394" s="69"/>
      <c r="F394" s="69"/>
      <c r="G394" s="69"/>
      <c r="H394" s="69"/>
      <c r="I394" s="69"/>
      <c r="J394" s="69"/>
      <c r="K394" s="69"/>
      <c r="L394" s="69"/>
      <c r="M394" s="69"/>
      <c r="N394" s="69"/>
      <c r="O394" s="65"/>
      <c r="P394" s="70" t="s">
        <v>4158</v>
      </c>
      <c r="Q394" s="65"/>
      <c r="R394" s="71">
        <v>36513</v>
      </c>
      <c r="S394" s="65"/>
      <c r="T394" s="70" t="s">
        <v>4159</v>
      </c>
      <c r="U394" s="65"/>
    </row>
    <row r="395" spans="1:21" ht="25.5" customHeight="1" x14ac:dyDescent="0.15">
      <c r="A395" s="61">
        <v>1068</v>
      </c>
      <c r="B395" s="67" t="s">
        <v>4160</v>
      </c>
      <c r="C395" s="65"/>
      <c r="D395" s="66">
        <v>1075</v>
      </c>
      <c r="E395" s="69"/>
      <c r="F395" s="65"/>
      <c r="G395" s="67" t="s">
        <v>4161</v>
      </c>
      <c r="H395" s="65"/>
      <c r="I395" s="64">
        <v>33039</v>
      </c>
      <c r="J395" s="65"/>
      <c r="K395" s="54">
        <v>1051</v>
      </c>
      <c r="L395" s="66">
        <v>1054</v>
      </c>
      <c r="M395" s="65"/>
      <c r="N395" s="70" t="s">
        <v>4162</v>
      </c>
      <c r="O395" s="65"/>
      <c r="P395" s="67" t="s">
        <v>4163</v>
      </c>
      <c r="Q395" s="65"/>
      <c r="R395" s="64">
        <v>33039</v>
      </c>
      <c r="S395" s="65"/>
      <c r="T395" s="67" t="s">
        <v>4164</v>
      </c>
      <c r="U395" s="65"/>
    </row>
    <row r="396" spans="1:21" ht="13.5" customHeight="1" x14ac:dyDescent="0.15">
      <c r="A396" s="68"/>
      <c r="B396" s="69"/>
      <c r="C396" s="69"/>
      <c r="D396" s="69"/>
      <c r="E396" s="69"/>
      <c r="F396" s="69"/>
      <c r="G396" s="69"/>
      <c r="H396" s="69"/>
      <c r="I396" s="69"/>
      <c r="J396" s="69"/>
      <c r="K396" s="69"/>
      <c r="L396" s="69"/>
      <c r="M396" s="69"/>
      <c r="N396" s="69"/>
      <c r="O396" s="65"/>
      <c r="P396" s="70" t="s">
        <v>4165</v>
      </c>
      <c r="Q396" s="65"/>
      <c r="R396" s="71">
        <v>34283</v>
      </c>
      <c r="S396" s="65"/>
      <c r="T396" s="70" t="s">
        <v>4166</v>
      </c>
      <c r="U396" s="65"/>
    </row>
    <row r="397" spans="1:21" ht="12.75" customHeight="1" x14ac:dyDescent="0.15">
      <c r="A397" s="68"/>
      <c r="B397" s="69"/>
      <c r="C397" s="69"/>
      <c r="D397" s="69"/>
      <c r="E397" s="69"/>
      <c r="F397" s="69"/>
      <c r="G397" s="69"/>
      <c r="H397" s="69"/>
      <c r="I397" s="69"/>
      <c r="J397" s="69"/>
      <c r="K397" s="69"/>
      <c r="L397" s="69"/>
      <c r="M397" s="69"/>
      <c r="N397" s="69"/>
      <c r="O397" s="65"/>
      <c r="P397" s="70" t="s">
        <v>4167</v>
      </c>
      <c r="Q397" s="65"/>
      <c r="R397" s="71">
        <v>34480</v>
      </c>
      <c r="S397" s="65"/>
      <c r="T397" s="70" t="s">
        <v>4168</v>
      </c>
      <c r="U397" s="65"/>
    </row>
    <row r="398" spans="1:21" ht="12.75" customHeight="1" x14ac:dyDescent="0.15">
      <c r="A398" s="68"/>
      <c r="B398" s="69"/>
      <c r="C398" s="69"/>
      <c r="D398" s="69"/>
      <c r="E398" s="69"/>
      <c r="F398" s="69"/>
      <c r="G398" s="69"/>
      <c r="H398" s="69"/>
      <c r="I398" s="69"/>
      <c r="J398" s="69"/>
      <c r="K398" s="69"/>
      <c r="L398" s="69"/>
      <c r="M398" s="69"/>
      <c r="N398" s="69"/>
      <c r="O398" s="65"/>
      <c r="P398" s="70" t="s">
        <v>4169</v>
      </c>
      <c r="Q398" s="65"/>
      <c r="R398" s="71">
        <v>34787</v>
      </c>
      <c r="S398" s="65"/>
      <c r="T398" s="70" t="s">
        <v>4170</v>
      </c>
      <c r="U398" s="65"/>
    </row>
    <row r="399" spans="1:21" ht="12.75" customHeight="1" x14ac:dyDescent="0.15">
      <c r="A399" s="68"/>
      <c r="B399" s="69"/>
      <c r="C399" s="69"/>
      <c r="D399" s="69"/>
      <c r="E399" s="69"/>
      <c r="F399" s="69"/>
      <c r="G399" s="69"/>
      <c r="H399" s="69"/>
      <c r="I399" s="69"/>
      <c r="J399" s="69"/>
      <c r="K399" s="69"/>
      <c r="L399" s="69"/>
      <c r="M399" s="69"/>
      <c r="N399" s="69"/>
      <c r="O399" s="65"/>
      <c r="P399" s="70" t="s">
        <v>4171</v>
      </c>
      <c r="Q399" s="65"/>
      <c r="R399" s="71">
        <v>37602</v>
      </c>
      <c r="S399" s="65"/>
      <c r="T399" s="70" t="s">
        <v>4172</v>
      </c>
      <c r="U399" s="65"/>
    </row>
    <row r="400" spans="1:21" ht="25.5" customHeight="1" x14ac:dyDescent="0.15">
      <c r="A400" s="61">
        <v>1069</v>
      </c>
      <c r="B400" s="67" t="s">
        <v>4173</v>
      </c>
      <c r="C400" s="65"/>
      <c r="D400" s="66">
        <v>900152</v>
      </c>
      <c r="E400" s="69"/>
      <c r="F400" s="65"/>
      <c r="G400" s="67" t="s">
        <v>4174</v>
      </c>
      <c r="H400" s="65"/>
      <c r="I400" s="64">
        <v>33039</v>
      </c>
      <c r="J400" s="65"/>
      <c r="K400" s="54">
        <v>1051</v>
      </c>
      <c r="L400" s="66">
        <v>1054</v>
      </c>
      <c r="M400" s="65"/>
      <c r="N400" s="70" t="s">
        <v>4175</v>
      </c>
      <c r="O400" s="65"/>
      <c r="P400" s="67" t="s">
        <v>4176</v>
      </c>
      <c r="Q400" s="65"/>
      <c r="R400" s="64">
        <v>33039</v>
      </c>
      <c r="S400" s="65"/>
      <c r="T400" s="67" t="s">
        <v>4177</v>
      </c>
      <c r="U400" s="65"/>
    </row>
    <row r="401" spans="1:21" ht="12.75" customHeight="1" x14ac:dyDescent="0.15">
      <c r="A401" s="68"/>
      <c r="B401" s="69"/>
      <c r="C401" s="69"/>
      <c r="D401" s="69"/>
      <c r="E401" s="69"/>
      <c r="F401" s="69"/>
      <c r="G401" s="69"/>
      <c r="H401" s="69"/>
      <c r="I401" s="69"/>
      <c r="J401" s="69"/>
      <c r="K401" s="69"/>
      <c r="L401" s="69"/>
      <c r="M401" s="69"/>
      <c r="N401" s="69"/>
      <c r="O401" s="65"/>
      <c r="P401" s="70" t="s">
        <v>4178</v>
      </c>
      <c r="Q401" s="65"/>
      <c r="R401" s="71">
        <v>33040</v>
      </c>
      <c r="S401" s="65"/>
      <c r="T401" s="70" t="s">
        <v>4179</v>
      </c>
      <c r="U401" s="65"/>
    </row>
    <row r="402" spans="1:21" ht="24.75" customHeight="1" x14ac:dyDescent="0.15">
      <c r="A402" s="61">
        <v>1070</v>
      </c>
      <c r="B402" s="67" t="s">
        <v>4180</v>
      </c>
      <c r="C402" s="65"/>
      <c r="D402" s="66">
        <v>1975</v>
      </c>
      <c r="E402" s="69"/>
      <c r="F402" s="65"/>
      <c r="G402" s="67" t="s">
        <v>4181</v>
      </c>
      <c r="H402" s="65"/>
      <c r="I402" s="64">
        <v>33054</v>
      </c>
      <c r="J402" s="65"/>
      <c r="K402" s="54">
        <v>1023</v>
      </c>
      <c r="L402" s="66">
        <v>1010</v>
      </c>
      <c r="M402" s="65"/>
      <c r="N402" s="70" t="s">
        <v>4182</v>
      </c>
      <c r="O402" s="65"/>
      <c r="P402" s="67" t="s">
        <v>4183</v>
      </c>
      <c r="Q402" s="65"/>
      <c r="R402" s="64">
        <v>33054</v>
      </c>
      <c r="S402" s="65"/>
      <c r="T402" s="67" t="s">
        <v>4184</v>
      </c>
      <c r="U402" s="65"/>
    </row>
    <row r="403" spans="1:21" ht="12.75" customHeight="1" x14ac:dyDescent="0.15">
      <c r="A403" s="68"/>
      <c r="B403" s="69"/>
      <c r="C403" s="69"/>
      <c r="D403" s="69"/>
      <c r="E403" s="69"/>
      <c r="F403" s="69"/>
      <c r="G403" s="69"/>
      <c r="H403" s="69"/>
      <c r="I403" s="69"/>
      <c r="J403" s="69"/>
      <c r="K403" s="69"/>
      <c r="L403" s="69"/>
      <c r="M403" s="69"/>
      <c r="N403" s="69"/>
      <c r="O403" s="65"/>
      <c r="P403" s="70" t="s">
        <v>4185</v>
      </c>
      <c r="Q403" s="65"/>
      <c r="R403" s="71">
        <v>33059</v>
      </c>
      <c r="S403" s="65"/>
      <c r="T403" s="70" t="s">
        <v>4186</v>
      </c>
      <c r="U403" s="65"/>
    </row>
    <row r="404" spans="1:21" ht="25.5" customHeight="1" x14ac:dyDescent="0.15">
      <c r="A404" s="61">
        <v>1071</v>
      </c>
      <c r="B404" s="67" t="s">
        <v>4187</v>
      </c>
      <c r="C404" s="65"/>
      <c r="D404" s="66">
        <v>1979</v>
      </c>
      <c r="E404" s="69"/>
      <c r="F404" s="65"/>
      <c r="G404" s="67" t="s">
        <v>4188</v>
      </c>
      <c r="H404" s="65"/>
      <c r="I404" s="64">
        <v>33102</v>
      </c>
      <c r="J404" s="65"/>
      <c r="K404" s="54">
        <v>1022</v>
      </c>
      <c r="L404" s="66">
        <v>1008</v>
      </c>
      <c r="M404" s="65"/>
      <c r="N404" s="70" t="s">
        <v>4189</v>
      </c>
      <c r="O404" s="65"/>
      <c r="P404" s="67" t="s">
        <v>4190</v>
      </c>
      <c r="Q404" s="65"/>
      <c r="R404" s="64">
        <v>33102</v>
      </c>
      <c r="S404" s="65"/>
      <c r="T404" s="67" t="s">
        <v>4191</v>
      </c>
      <c r="U404" s="65"/>
    </row>
    <row r="405" spans="1:21" ht="13.5" customHeight="1" x14ac:dyDescent="0.15">
      <c r="A405" s="68"/>
      <c r="B405" s="69"/>
      <c r="C405" s="69"/>
      <c r="D405" s="69"/>
      <c r="E405" s="69"/>
      <c r="F405" s="69"/>
      <c r="G405" s="69"/>
      <c r="H405" s="69"/>
      <c r="I405" s="69"/>
      <c r="J405" s="69"/>
      <c r="K405" s="69"/>
      <c r="L405" s="69"/>
      <c r="M405" s="69"/>
      <c r="N405" s="69"/>
      <c r="O405" s="65"/>
      <c r="P405" s="70" t="s">
        <v>4192</v>
      </c>
      <c r="Q405" s="65"/>
      <c r="R405" s="71">
        <v>33103</v>
      </c>
      <c r="S405" s="65"/>
      <c r="T405" s="70" t="s">
        <v>4193</v>
      </c>
      <c r="U405" s="65"/>
    </row>
    <row r="406" spans="1:21" ht="25.5" customHeight="1" x14ac:dyDescent="0.15">
      <c r="A406" s="61">
        <v>1072</v>
      </c>
      <c r="B406" s="67" t="s">
        <v>4194</v>
      </c>
      <c r="C406" s="65"/>
      <c r="D406" s="66">
        <v>1072</v>
      </c>
      <c r="E406" s="69"/>
      <c r="F406" s="65"/>
      <c r="G406" s="67" t="s">
        <v>4195</v>
      </c>
      <c r="H406" s="65"/>
      <c r="I406" s="64">
        <v>33306</v>
      </c>
      <c r="J406" s="65"/>
      <c r="K406" s="54">
        <v>1023</v>
      </c>
      <c r="L406" s="66">
        <v>1010</v>
      </c>
      <c r="M406" s="65"/>
      <c r="N406" s="73" t="s">
        <v>4196</v>
      </c>
      <c r="O406" s="65"/>
      <c r="P406" s="67" t="s">
        <v>4197</v>
      </c>
      <c r="Q406" s="65"/>
      <c r="R406" s="64">
        <v>33306</v>
      </c>
      <c r="S406" s="65"/>
      <c r="T406" s="67" t="s">
        <v>4198</v>
      </c>
      <c r="U406" s="65"/>
    </row>
    <row r="407" spans="1:21" ht="12.75" customHeight="1" x14ac:dyDescent="0.15">
      <c r="A407" s="68"/>
      <c r="B407" s="69"/>
      <c r="C407" s="69"/>
      <c r="D407" s="69"/>
      <c r="E407" s="69"/>
      <c r="F407" s="69"/>
      <c r="G407" s="69"/>
      <c r="H407" s="69"/>
      <c r="I407" s="69"/>
      <c r="J407" s="69"/>
      <c r="K407" s="69"/>
      <c r="L407" s="69"/>
      <c r="M407" s="69"/>
      <c r="N407" s="69"/>
      <c r="O407" s="65"/>
      <c r="P407" s="70" t="s">
        <v>4199</v>
      </c>
      <c r="Q407" s="65"/>
      <c r="R407" s="71">
        <v>34276</v>
      </c>
      <c r="S407" s="65"/>
      <c r="T407" s="70" t="s">
        <v>4200</v>
      </c>
      <c r="U407" s="65"/>
    </row>
    <row r="408" spans="1:21" ht="12.75" customHeight="1" x14ac:dyDescent="0.15">
      <c r="A408" s="68"/>
      <c r="B408" s="69"/>
      <c r="C408" s="69"/>
      <c r="D408" s="69"/>
      <c r="E408" s="69"/>
      <c r="F408" s="69"/>
      <c r="G408" s="69"/>
      <c r="H408" s="69"/>
      <c r="I408" s="69"/>
      <c r="J408" s="69"/>
      <c r="K408" s="69"/>
      <c r="L408" s="69"/>
      <c r="M408" s="69"/>
      <c r="N408" s="69"/>
      <c r="O408" s="65"/>
      <c r="P408" s="70" t="s">
        <v>4201</v>
      </c>
      <c r="Q408" s="65"/>
      <c r="R408" s="71">
        <v>37506</v>
      </c>
      <c r="S408" s="65"/>
      <c r="T408" s="70" t="s">
        <v>4202</v>
      </c>
      <c r="U408" s="65"/>
    </row>
    <row r="409" spans="1:21" ht="25.5" customHeight="1" x14ac:dyDescent="0.15">
      <c r="A409" s="61">
        <v>1073</v>
      </c>
      <c r="B409" s="67" t="s">
        <v>4203</v>
      </c>
      <c r="C409" s="65"/>
      <c r="D409" s="66">
        <v>1984</v>
      </c>
      <c r="E409" s="69"/>
      <c r="F409" s="65"/>
      <c r="G409" s="67" t="s">
        <v>4204</v>
      </c>
      <c r="H409" s="65"/>
      <c r="I409" s="64">
        <v>33306</v>
      </c>
      <c r="J409" s="65"/>
      <c r="K409" s="54">
        <v>1023</v>
      </c>
      <c r="L409" s="66">
        <v>1010</v>
      </c>
      <c r="M409" s="65"/>
      <c r="N409" s="70" t="s">
        <v>4205</v>
      </c>
      <c r="O409" s="65"/>
      <c r="P409" s="67" t="s">
        <v>4206</v>
      </c>
      <c r="Q409" s="65"/>
      <c r="R409" s="64">
        <v>33306</v>
      </c>
      <c r="S409" s="65"/>
      <c r="T409" s="67" t="s">
        <v>4207</v>
      </c>
      <c r="U409" s="65"/>
    </row>
    <row r="410" spans="1:21" ht="12.75" customHeight="1" x14ac:dyDescent="0.15">
      <c r="A410" s="68"/>
      <c r="B410" s="69"/>
      <c r="C410" s="69"/>
      <c r="D410" s="69"/>
      <c r="E410" s="69"/>
      <c r="F410" s="69"/>
      <c r="G410" s="69"/>
      <c r="H410" s="69"/>
      <c r="I410" s="69"/>
      <c r="J410" s="69"/>
      <c r="K410" s="69"/>
      <c r="L410" s="69"/>
      <c r="M410" s="69"/>
      <c r="N410" s="69"/>
      <c r="O410" s="65"/>
      <c r="P410" s="70" t="s">
        <v>4208</v>
      </c>
      <c r="Q410" s="65"/>
      <c r="R410" s="71">
        <v>33930</v>
      </c>
      <c r="S410" s="65"/>
      <c r="T410" s="70" t="s">
        <v>4209</v>
      </c>
      <c r="U410" s="65"/>
    </row>
    <row r="411" spans="1:21" ht="25.5" customHeight="1" x14ac:dyDescent="0.15">
      <c r="A411" s="61">
        <v>1074</v>
      </c>
      <c r="B411" s="67" t="s">
        <v>4210</v>
      </c>
      <c r="C411" s="65"/>
      <c r="D411" s="66">
        <v>930456</v>
      </c>
      <c r="E411" s="69"/>
      <c r="F411" s="65"/>
      <c r="G411" s="67" t="s">
        <v>4211</v>
      </c>
      <c r="H411" s="65"/>
      <c r="I411" s="64">
        <v>33341</v>
      </c>
      <c r="J411" s="65"/>
      <c r="K411" s="54">
        <v>1041</v>
      </c>
      <c r="L411" s="66">
        <v>1040</v>
      </c>
      <c r="M411" s="65"/>
      <c r="N411" s="73" t="s">
        <v>4212</v>
      </c>
      <c r="O411" s="65"/>
      <c r="P411" s="67" t="s">
        <v>4213</v>
      </c>
      <c r="Q411" s="65"/>
      <c r="R411" s="64">
        <v>33341</v>
      </c>
      <c r="S411" s="65"/>
      <c r="T411" s="67" t="s">
        <v>4214</v>
      </c>
      <c r="U411" s="65"/>
    </row>
    <row r="412" spans="1:21" ht="12.75" customHeight="1" x14ac:dyDescent="0.15">
      <c r="A412" s="68"/>
      <c r="B412" s="69"/>
      <c r="C412" s="69"/>
      <c r="D412" s="69"/>
      <c r="E412" s="69"/>
      <c r="F412" s="69"/>
      <c r="G412" s="69"/>
      <c r="H412" s="69"/>
      <c r="I412" s="69"/>
      <c r="J412" s="69"/>
      <c r="K412" s="69"/>
      <c r="L412" s="69"/>
      <c r="M412" s="69"/>
      <c r="N412" s="69"/>
      <c r="O412" s="65"/>
      <c r="P412" s="70" t="s">
        <v>4215</v>
      </c>
      <c r="Q412" s="65"/>
      <c r="R412" s="71">
        <v>34087</v>
      </c>
      <c r="S412" s="65"/>
      <c r="T412" s="70" t="s">
        <v>4216</v>
      </c>
      <c r="U412" s="65"/>
    </row>
    <row r="413" spans="1:21" ht="13.5" customHeight="1" x14ac:dyDescent="0.15">
      <c r="A413" s="68"/>
      <c r="B413" s="69"/>
      <c r="C413" s="69"/>
      <c r="D413" s="69"/>
      <c r="E413" s="69"/>
      <c r="F413" s="69"/>
      <c r="G413" s="69"/>
      <c r="H413" s="69"/>
      <c r="I413" s="69"/>
      <c r="J413" s="69"/>
      <c r="K413" s="69"/>
      <c r="L413" s="69"/>
      <c r="M413" s="69"/>
      <c r="N413" s="69"/>
      <c r="O413" s="65"/>
      <c r="P413" s="70" t="s">
        <v>4217</v>
      </c>
      <c r="Q413" s="65"/>
      <c r="R413" s="71">
        <v>34105</v>
      </c>
      <c r="S413" s="65"/>
      <c r="T413" s="70" t="s">
        <v>4218</v>
      </c>
      <c r="U413" s="65"/>
    </row>
    <row r="414" spans="1:21" ht="25.5" customHeight="1" x14ac:dyDescent="0.15">
      <c r="A414" s="61">
        <v>1075</v>
      </c>
      <c r="B414" s="67" t="s">
        <v>4219</v>
      </c>
      <c r="C414" s="65"/>
      <c r="D414" s="66">
        <v>930457</v>
      </c>
      <c r="E414" s="69"/>
      <c r="F414" s="65"/>
      <c r="G414" s="67" t="s">
        <v>4220</v>
      </c>
      <c r="H414" s="65"/>
      <c r="I414" s="64">
        <v>33341</v>
      </c>
      <c r="J414" s="65"/>
      <c r="K414" s="54">
        <v>1041</v>
      </c>
      <c r="L414" s="66">
        <v>1040</v>
      </c>
      <c r="M414" s="65"/>
      <c r="N414" s="73" t="s">
        <v>4221</v>
      </c>
      <c r="O414" s="65"/>
      <c r="P414" s="67" t="s">
        <v>4222</v>
      </c>
      <c r="Q414" s="65"/>
      <c r="R414" s="64">
        <v>33341</v>
      </c>
      <c r="S414" s="65"/>
      <c r="T414" s="67" t="s">
        <v>4223</v>
      </c>
      <c r="U414" s="65"/>
    </row>
    <row r="415" spans="1:21" ht="12.75" customHeight="1" x14ac:dyDescent="0.15">
      <c r="A415" s="68"/>
      <c r="B415" s="69"/>
      <c r="C415" s="69"/>
      <c r="D415" s="69"/>
      <c r="E415" s="69"/>
      <c r="F415" s="69"/>
      <c r="G415" s="69"/>
      <c r="H415" s="69"/>
      <c r="I415" s="69"/>
      <c r="J415" s="69"/>
      <c r="K415" s="69"/>
      <c r="L415" s="69"/>
      <c r="M415" s="69"/>
      <c r="N415" s="69"/>
      <c r="O415" s="65"/>
      <c r="P415" s="70" t="s">
        <v>4224</v>
      </c>
      <c r="Q415" s="65"/>
      <c r="R415" s="71">
        <v>34087</v>
      </c>
      <c r="S415" s="65"/>
      <c r="T415" s="70" t="s">
        <v>4225</v>
      </c>
      <c r="U415" s="65"/>
    </row>
    <row r="416" spans="1:21" ht="12.75" customHeight="1" x14ac:dyDescent="0.15">
      <c r="A416" s="68"/>
      <c r="B416" s="69"/>
      <c r="C416" s="69"/>
      <c r="D416" s="69"/>
      <c r="E416" s="69"/>
      <c r="F416" s="69"/>
      <c r="G416" s="69"/>
      <c r="H416" s="69"/>
      <c r="I416" s="69"/>
      <c r="J416" s="69"/>
      <c r="K416" s="69"/>
      <c r="L416" s="69"/>
      <c r="M416" s="69"/>
      <c r="N416" s="69"/>
      <c r="O416" s="65"/>
      <c r="P416" s="70" t="s">
        <v>4226</v>
      </c>
      <c r="Q416" s="65"/>
      <c r="R416" s="71">
        <v>35283</v>
      </c>
      <c r="S416" s="65"/>
      <c r="T416" s="70" t="s">
        <v>4227</v>
      </c>
      <c r="U416" s="65"/>
    </row>
    <row r="417" spans="1:21" ht="25.5" customHeight="1" x14ac:dyDescent="0.15">
      <c r="A417" s="61">
        <v>1076</v>
      </c>
      <c r="B417" s="67" t="s">
        <v>4228</v>
      </c>
      <c r="C417" s="65"/>
      <c r="D417" s="67" t="s">
        <v>4229</v>
      </c>
      <c r="E417" s="69"/>
      <c r="F417" s="65"/>
      <c r="G417" s="67" t="s">
        <v>4230</v>
      </c>
      <c r="H417" s="65"/>
      <c r="I417" s="64">
        <v>33551</v>
      </c>
      <c r="J417" s="65"/>
      <c r="K417" s="54">
        <v>1015</v>
      </c>
      <c r="L417" s="66">
        <v>1014</v>
      </c>
      <c r="M417" s="65"/>
      <c r="N417" s="70" t="s">
        <v>4231</v>
      </c>
      <c r="O417" s="65"/>
      <c r="P417" s="67" t="s">
        <v>4232</v>
      </c>
      <c r="Q417" s="65"/>
      <c r="R417" s="64">
        <v>33551</v>
      </c>
      <c r="S417" s="65"/>
      <c r="T417" s="67" t="s">
        <v>4233</v>
      </c>
      <c r="U417" s="65"/>
    </row>
    <row r="418" spans="1:21" ht="21" customHeight="1" x14ac:dyDescent="0.15">
      <c r="A418" s="60" t="s">
        <v>4234</v>
      </c>
      <c r="B418" s="72" t="s">
        <v>4235</v>
      </c>
      <c r="C418" s="65"/>
      <c r="D418" s="72" t="s">
        <v>4236</v>
      </c>
      <c r="E418" s="69"/>
      <c r="F418" s="65"/>
      <c r="G418" s="72" t="s">
        <v>4237</v>
      </c>
      <c r="H418" s="65"/>
      <c r="I418" s="72" t="s">
        <v>4238</v>
      </c>
      <c r="J418" s="65"/>
      <c r="K418" s="60" t="s">
        <v>4239</v>
      </c>
      <c r="L418" s="72" t="s">
        <v>4240</v>
      </c>
      <c r="M418" s="65"/>
      <c r="N418" s="72" t="s">
        <v>4241</v>
      </c>
      <c r="O418" s="65"/>
      <c r="P418" s="72" t="s">
        <v>4242</v>
      </c>
      <c r="Q418" s="65"/>
      <c r="R418" s="72" t="s">
        <v>4243</v>
      </c>
      <c r="S418" s="65"/>
      <c r="T418" s="72" t="s">
        <v>4244</v>
      </c>
      <c r="U418" s="65"/>
    </row>
    <row r="419" spans="1:21" ht="25.5" customHeight="1" x14ac:dyDescent="0.15">
      <c r="A419" s="75"/>
      <c r="B419" s="69"/>
      <c r="C419" s="69"/>
      <c r="D419" s="69"/>
      <c r="E419" s="69"/>
      <c r="F419" s="69"/>
      <c r="G419" s="69"/>
      <c r="H419" s="69"/>
      <c r="I419" s="69"/>
      <c r="J419" s="69"/>
      <c r="K419" s="69"/>
      <c r="L419" s="69"/>
      <c r="M419" s="69"/>
      <c r="N419" s="69"/>
      <c r="O419" s="65"/>
      <c r="P419" s="67" t="s">
        <v>4245</v>
      </c>
      <c r="Q419" s="65"/>
      <c r="R419" s="70" t="s">
        <v>4246</v>
      </c>
      <c r="S419" s="65"/>
      <c r="T419" s="67" t="s">
        <v>4247</v>
      </c>
      <c r="U419" s="65"/>
    </row>
    <row r="420" spans="1:21" ht="25.5" customHeight="1" x14ac:dyDescent="0.15">
      <c r="A420" s="61">
        <v>1077</v>
      </c>
      <c r="B420" s="67" t="s">
        <v>4248</v>
      </c>
      <c r="C420" s="65"/>
      <c r="D420" s="67" t="s">
        <v>4249</v>
      </c>
      <c r="E420" s="69"/>
      <c r="F420" s="65"/>
      <c r="G420" s="67" t="s">
        <v>4250</v>
      </c>
      <c r="H420" s="65"/>
      <c r="I420" s="64">
        <v>33551</v>
      </c>
      <c r="J420" s="65"/>
      <c r="K420" s="54">
        <v>1015</v>
      </c>
      <c r="L420" s="66">
        <v>1014</v>
      </c>
      <c r="M420" s="65"/>
      <c r="N420" s="73" t="s">
        <v>4251</v>
      </c>
      <c r="O420" s="65"/>
      <c r="P420" s="67" t="s">
        <v>4252</v>
      </c>
      <c r="Q420" s="65"/>
      <c r="R420" s="64">
        <v>33551</v>
      </c>
      <c r="S420" s="65"/>
      <c r="T420" s="67" t="s">
        <v>4253</v>
      </c>
      <c r="U420" s="65"/>
    </row>
    <row r="421" spans="1:21" ht="24.75" customHeight="1" x14ac:dyDescent="0.15">
      <c r="A421" s="75"/>
      <c r="B421" s="69"/>
      <c r="C421" s="69"/>
      <c r="D421" s="69"/>
      <c r="E421" s="69"/>
      <c r="F421" s="69"/>
      <c r="G421" s="69"/>
      <c r="H421" s="69"/>
      <c r="I421" s="69"/>
      <c r="J421" s="69"/>
      <c r="K421" s="69"/>
      <c r="L421" s="69"/>
      <c r="M421" s="69"/>
      <c r="N421" s="69"/>
      <c r="O421" s="65"/>
      <c r="P421" s="67" t="s">
        <v>4254</v>
      </c>
      <c r="Q421" s="65"/>
      <c r="R421" s="70" t="s">
        <v>4255</v>
      </c>
      <c r="S421" s="65"/>
      <c r="T421" s="67" t="s">
        <v>4256</v>
      </c>
      <c r="U421" s="65"/>
    </row>
    <row r="422" spans="1:21" ht="12.75" customHeight="1" x14ac:dyDescent="0.15">
      <c r="A422" s="61">
        <v>1078</v>
      </c>
      <c r="B422" s="70" t="s">
        <v>4257</v>
      </c>
      <c r="C422" s="65"/>
      <c r="D422" s="76">
        <v>950424</v>
      </c>
      <c r="E422" s="69"/>
      <c r="F422" s="65"/>
      <c r="G422" s="70" t="s">
        <v>4258</v>
      </c>
      <c r="H422" s="65"/>
      <c r="I422" s="70" t="s">
        <v>4259</v>
      </c>
      <c r="J422" s="65"/>
      <c r="K422" s="56" t="s">
        <v>4260</v>
      </c>
      <c r="L422" s="70" t="s">
        <v>4261</v>
      </c>
      <c r="M422" s="65"/>
      <c r="N422" s="70" t="s">
        <v>4262</v>
      </c>
      <c r="O422" s="65"/>
      <c r="P422" s="70" t="s">
        <v>4263</v>
      </c>
      <c r="Q422" s="65"/>
      <c r="R422" s="70" t="s">
        <v>4264</v>
      </c>
      <c r="S422" s="65"/>
      <c r="T422" s="70" t="s">
        <v>4265</v>
      </c>
      <c r="U422" s="65"/>
    </row>
    <row r="423" spans="1:21" ht="12.75" customHeight="1" x14ac:dyDescent="0.15">
      <c r="A423" s="68"/>
      <c r="B423" s="69"/>
      <c r="C423" s="69"/>
      <c r="D423" s="69"/>
      <c r="E423" s="69"/>
      <c r="F423" s="69"/>
      <c r="G423" s="69"/>
      <c r="H423" s="69"/>
      <c r="I423" s="69"/>
      <c r="J423" s="69"/>
      <c r="K423" s="69"/>
      <c r="L423" s="69"/>
      <c r="M423" s="69"/>
      <c r="N423" s="69"/>
      <c r="O423" s="65"/>
      <c r="P423" s="70" t="s">
        <v>4266</v>
      </c>
      <c r="Q423" s="65"/>
      <c r="R423" s="70" t="s">
        <v>4267</v>
      </c>
      <c r="S423" s="65"/>
      <c r="T423" s="70" t="s">
        <v>4268</v>
      </c>
      <c r="U423" s="65"/>
    </row>
    <row r="424" spans="1:21" ht="13.5" customHeight="1" x14ac:dyDescent="0.15">
      <c r="A424" s="68"/>
      <c r="B424" s="69"/>
      <c r="C424" s="69"/>
      <c r="D424" s="69"/>
      <c r="E424" s="69"/>
      <c r="F424" s="69"/>
      <c r="G424" s="69"/>
      <c r="H424" s="69"/>
      <c r="I424" s="69"/>
      <c r="J424" s="69"/>
      <c r="K424" s="69"/>
      <c r="L424" s="69"/>
      <c r="M424" s="69"/>
      <c r="N424" s="69"/>
      <c r="O424" s="65"/>
      <c r="P424" s="70" t="s">
        <v>4269</v>
      </c>
      <c r="Q424" s="65"/>
      <c r="R424" s="70" t="s">
        <v>4270</v>
      </c>
      <c r="S424" s="65"/>
      <c r="T424" s="70" t="s">
        <v>4271</v>
      </c>
      <c r="U424" s="65"/>
    </row>
    <row r="425" spans="1:21" ht="12.75" customHeight="1" x14ac:dyDescent="0.15">
      <c r="A425" s="68"/>
      <c r="B425" s="69"/>
      <c r="C425" s="69"/>
      <c r="D425" s="69"/>
      <c r="E425" s="69"/>
      <c r="F425" s="69"/>
      <c r="G425" s="69"/>
      <c r="H425" s="69"/>
      <c r="I425" s="69"/>
      <c r="J425" s="69"/>
      <c r="K425" s="69"/>
      <c r="L425" s="69"/>
      <c r="M425" s="69"/>
      <c r="N425" s="69"/>
      <c r="O425" s="65"/>
      <c r="P425" s="70" t="s">
        <v>4272</v>
      </c>
      <c r="Q425" s="65"/>
      <c r="R425" s="71">
        <v>33290</v>
      </c>
      <c r="S425" s="65"/>
      <c r="T425" s="70" t="s">
        <v>4273</v>
      </c>
      <c r="U425" s="65"/>
    </row>
    <row r="426" spans="1:21" ht="12.75" customHeight="1" x14ac:dyDescent="0.15">
      <c r="A426" s="68"/>
      <c r="B426" s="69"/>
      <c r="C426" s="69"/>
      <c r="D426" s="69"/>
      <c r="E426" s="69"/>
      <c r="F426" s="69"/>
      <c r="G426" s="69"/>
      <c r="H426" s="69"/>
      <c r="I426" s="69"/>
      <c r="J426" s="69"/>
      <c r="K426" s="69"/>
      <c r="L426" s="69"/>
      <c r="M426" s="69"/>
      <c r="N426" s="69"/>
      <c r="O426" s="65"/>
      <c r="P426" s="70" t="s">
        <v>4274</v>
      </c>
      <c r="Q426" s="65"/>
      <c r="R426" s="71">
        <v>34801</v>
      </c>
      <c r="S426" s="65"/>
      <c r="T426" s="70" t="s">
        <v>4275</v>
      </c>
      <c r="U426" s="65"/>
    </row>
    <row r="427" spans="1:21" ht="13.5" customHeight="1" x14ac:dyDescent="0.15">
      <c r="A427" s="68"/>
      <c r="B427" s="69"/>
      <c r="C427" s="69"/>
      <c r="D427" s="69"/>
      <c r="E427" s="69"/>
      <c r="F427" s="69"/>
      <c r="G427" s="69"/>
      <c r="H427" s="69"/>
      <c r="I427" s="69"/>
      <c r="J427" s="69"/>
      <c r="K427" s="69"/>
      <c r="L427" s="69"/>
      <c r="M427" s="69"/>
      <c r="N427" s="69"/>
      <c r="O427" s="65"/>
      <c r="P427" s="70" t="s">
        <v>4276</v>
      </c>
      <c r="Q427" s="65"/>
      <c r="R427" s="71">
        <v>35944</v>
      </c>
      <c r="S427" s="65"/>
      <c r="T427" s="70" t="s">
        <v>4277</v>
      </c>
      <c r="U427" s="65"/>
    </row>
    <row r="428" spans="1:21" ht="25.5" customHeight="1" x14ac:dyDescent="0.15">
      <c r="A428" s="61">
        <v>1079</v>
      </c>
      <c r="B428" s="67" t="s">
        <v>4278</v>
      </c>
      <c r="C428" s="65"/>
      <c r="D428" s="66">
        <v>10742</v>
      </c>
      <c r="E428" s="69"/>
      <c r="F428" s="65"/>
      <c r="G428" s="67" t="s">
        <v>4279</v>
      </c>
      <c r="H428" s="65"/>
      <c r="I428" s="64">
        <v>33648</v>
      </c>
      <c r="J428" s="65"/>
      <c r="K428" s="54">
        <v>1042</v>
      </c>
      <c r="L428" s="66">
        <v>1067</v>
      </c>
      <c r="M428" s="65"/>
      <c r="N428" s="73" t="s">
        <v>4280</v>
      </c>
      <c r="O428" s="65"/>
      <c r="P428" s="67" t="s">
        <v>4281</v>
      </c>
      <c r="Q428" s="65"/>
      <c r="R428" s="64">
        <v>33648</v>
      </c>
      <c r="S428" s="65"/>
      <c r="T428" s="67" t="s">
        <v>4282</v>
      </c>
      <c r="U428" s="65"/>
    </row>
    <row r="429" spans="1:21" ht="12.75" customHeight="1" x14ac:dyDescent="0.15">
      <c r="A429" s="68"/>
      <c r="B429" s="69"/>
      <c r="C429" s="69"/>
      <c r="D429" s="69"/>
      <c r="E429" s="69"/>
      <c r="F429" s="69"/>
      <c r="G429" s="69"/>
      <c r="H429" s="69"/>
      <c r="I429" s="69"/>
      <c r="J429" s="69"/>
      <c r="K429" s="69"/>
      <c r="L429" s="69"/>
      <c r="M429" s="69"/>
      <c r="N429" s="69"/>
      <c r="O429" s="65"/>
      <c r="P429" s="70" t="s">
        <v>4283</v>
      </c>
      <c r="Q429" s="65"/>
      <c r="R429" s="71">
        <v>34576</v>
      </c>
      <c r="S429" s="65"/>
      <c r="T429" s="70" t="s">
        <v>4284</v>
      </c>
      <c r="U429" s="65"/>
    </row>
    <row r="430" spans="1:21" ht="12.75" customHeight="1" x14ac:dyDescent="0.15">
      <c r="A430" s="68"/>
      <c r="B430" s="69"/>
      <c r="C430" s="69"/>
      <c r="D430" s="69"/>
      <c r="E430" s="69"/>
      <c r="F430" s="69"/>
      <c r="G430" s="69"/>
      <c r="H430" s="69"/>
      <c r="I430" s="69"/>
      <c r="J430" s="69"/>
      <c r="K430" s="69"/>
      <c r="L430" s="69"/>
      <c r="M430" s="69"/>
      <c r="N430" s="69"/>
      <c r="O430" s="65"/>
      <c r="P430" s="70" t="s">
        <v>4285</v>
      </c>
      <c r="Q430" s="65"/>
      <c r="R430" s="71">
        <v>36076</v>
      </c>
      <c r="S430" s="65"/>
      <c r="T430" s="70" t="s">
        <v>4286</v>
      </c>
      <c r="U430" s="65"/>
    </row>
    <row r="431" spans="1:21" ht="13.5" customHeight="1" x14ac:dyDescent="0.15">
      <c r="A431" s="68"/>
      <c r="B431" s="69"/>
      <c r="C431" s="69"/>
      <c r="D431" s="69"/>
      <c r="E431" s="69"/>
      <c r="F431" s="69"/>
      <c r="G431" s="69"/>
      <c r="H431" s="69"/>
      <c r="I431" s="69"/>
      <c r="J431" s="69"/>
      <c r="K431" s="69"/>
      <c r="L431" s="69"/>
      <c r="M431" s="69"/>
      <c r="N431" s="69"/>
      <c r="O431" s="65"/>
      <c r="P431" s="70" t="s">
        <v>4287</v>
      </c>
      <c r="Q431" s="65"/>
      <c r="R431" s="71">
        <v>38511</v>
      </c>
      <c r="S431" s="65"/>
      <c r="T431" s="70" t="s">
        <v>4288</v>
      </c>
      <c r="U431" s="65"/>
    </row>
    <row r="432" spans="1:21" ht="25.5" customHeight="1" x14ac:dyDescent="0.15">
      <c r="A432" s="61">
        <v>1080</v>
      </c>
      <c r="B432" s="67" t="s">
        <v>4289</v>
      </c>
      <c r="C432" s="65"/>
      <c r="D432" s="66">
        <v>13375</v>
      </c>
      <c r="E432" s="69"/>
      <c r="F432" s="65"/>
      <c r="G432" s="67" t="s">
        <v>4290</v>
      </c>
      <c r="H432" s="65"/>
      <c r="I432" s="64">
        <v>33648</v>
      </c>
      <c r="J432" s="65"/>
      <c r="K432" s="54">
        <v>1042</v>
      </c>
      <c r="L432" s="66">
        <v>1067</v>
      </c>
      <c r="M432" s="65"/>
      <c r="N432" s="73" t="s">
        <v>4291</v>
      </c>
      <c r="O432" s="65"/>
      <c r="P432" s="67" t="s">
        <v>4292</v>
      </c>
      <c r="Q432" s="65"/>
      <c r="R432" s="64">
        <v>33648</v>
      </c>
      <c r="S432" s="65"/>
      <c r="T432" s="67" t="s">
        <v>4293</v>
      </c>
      <c r="U432" s="65"/>
    </row>
    <row r="433" spans="1:21" ht="12.75" customHeight="1" x14ac:dyDescent="0.15">
      <c r="A433" s="68"/>
      <c r="B433" s="69"/>
      <c r="C433" s="69"/>
      <c r="D433" s="69"/>
      <c r="E433" s="69"/>
      <c r="F433" s="69"/>
      <c r="G433" s="69"/>
      <c r="H433" s="69"/>
      <c r="I433" s="69"/>
      <c r="J433" s="69"/>
      <c r="K433" s="69"/>
      <c r="L433" s="69"/>
      <c r="M433" s="69"/>
      <c r="N433" s="69"/>
      <c r="O433" s="65"/>
      <c r="P433" s="70" t="s">
        <v>4294</v>
      </c>
      <c r="Q433" s="65"/>
      <c r="R433" s="71">
        <v>34135</v>
      </c>
      <c r="S433" s="65"/>
      <c r="T433" s="70" t="s">
        <v>4295</v>
      </c>
      <c r="U433" s="65"/>
    </row>
    <row r="434" spans="1:21" ht="24.75" customHeight="1" x14ac:dyDescent="0.15">
      <c r="A434" s="61">
        <v>1081</v>
      </c>
      <c r="B434" s="67" t="s">
        <v>4296</v>
      </c>
      <c r="C434" s="65"/>
      <c r="D434" s="66">
        <v>592056</v>
      </c>
      <c r="E434" s="69"/>
      <c r="F434" s="65"/>
      <c r="G434" s="67" t="s">
        <v>4297</v>
      </c>
      <c r="H434" s="65"/>
      <c r="I434" s="64">
        <v>33663</v>
      </c>
      <c r="J434" s="65"/>
      <c r="K434" s="54">
        <v>1057</v>
      </c>
      <c r="L434" s="66">
        <v>1060</v>
      </c>
      <c r="M434" s="65"/>
      <c r="N434" s="70" t="s">
        <v>4298</v>
      </c>
      <c r="O434" s="65"/>
      <c r="P434" s="67" t="s">
        <v>4299</v>
      </c>
      <c r="Q434" s="65"/>
      <c r="R434" s="64">
        <v>33663</v>
      </c>
      <c r="S434" s="65"/>
      <c r="T434" s="67" t="s">
        <v>4300</v>
      </c>
      <c r="U434" s="65"/>
    </row>
    <row r="435" spans="1:21" ht="12.75" customHeight="1" x14ac:dyDescent="0.15">
      <c r="A435" s="68"/>
      <c r="B435" s="69"/>
      <c r="C435" s="69"/>
      <c r="D435" s="69"/>
      <c r="E435" s="69"/>
      <c r="F435" s="69"/>
      <c r="G435" s="69"/>
      <c r="H435" s="69"/>
      <c r="I435" s="69"/>
      <c r="J435" s="69"/>
      <c r="K435" s="69"/>
      <c r="L435" s="69"/>
      <c r="M435" s="69"/>
      <c r="N435" s="69"/>
      <c r="O435" s="65"/>
      <c r="P435" s="70" t="s">
        <v>4301</v>
      </c>
      <c r="Q435" s="65"/>
      <c r="R435" s="71">
        <v>33663</v>
      </c>
      <c r="S435" s="65"/>
      <c r="T435" s="70" t="s">
        <v>4302</v>
      </c>
      <c r="U435" s="65"/>
    </row>
    <row r="436" spans="1:21" ht="25.5" customHeight="1" x14ac:dyDescent="0.15">
      <c r="A436" s="61">
        <v>1082</v>
      </c>
      <c r="B436" s="67" t="s">
        <v>4303</v>
      </c>
      <c r="C436" s="65"/>
      <c r="D436" s="66">
        <v>1076</v>
      </c>
      <c r="E436" s="69"/>
      <c r="F436" s="65"/>
      <c r="G436" s="67" t="s">
        <v>4304</v>
      </c>
      <c r="H436" s="65"/>
      <c r="I436" s="64">
        <v>33697</v>
      </c>
      <c r="J436" s="65"/>
      <c r="K436" s="54">
        <v>1051</v>
      </c>
      <c r="L436" s="66">
        <v>1054</v>
      </c>
      <c r="M436" s="65"/>
      <c r="N436" s="70" t="s">
        <v>4305</v>
      </c>
      <c r="O436" s="65"/>
      <c r="P436" s="67" t="s">
        <v>4306</v>
      </c>
      <c r="Q436" s="65"/>
      <c r="R436" s="64">
        <v>33697</v>
      </c>
      <c r="S436" s="65"/>
      <c r="T436" s="67" t="s">
        <v>4307</v>
      </c>
      <c r="U436" s="65"/>
    </row>
    <row r="437" spans="1:21" ht="12.75" customHeight="1" x14ac:dyDescent="0.15">
      <c r="A437" s="68"/>
      <c r="B437" s="69"/>
      <c r="C437" s="69"/>
      <c r="D437" s="69"/>
      <c r="E437" s="69"/>
      <c r="F437" s="69"/>
      <c r="G437" s="69"/>
      <c r="H437" s="69"/>
      <c r="I437" s="69"/>
      <c r="J437" s="69"/>
      <c r="K437" s="69"/>
      <c r="L437" s="69"/>
      <c r="M437" s="69"/>
      <c r="N437" s="69"/>
      <c r="O437" s="65"/>
      <c r="P437" s="70" t="s">
        <v>4308</v>
      </c>
      <c r="Q437" s="65"/>
      <c r="R437" s="71">
        <v>34283</v>
      </c>
      <c r="S437" s="65"/>
      <c r="T437" s="70" t="s">
        <v>4309</v>
      </c>
      <c r="U437" s="65"/>
    </row>
    <row r="438" spans="1:21" ht="12.75" customHeight="1" x14ac:dyDescent="0.15">
      <c r="A438" s="68"/>
      <c r="B438" s="69"/>
      <c r="C438" s="69"/>
      <c r="D438" s="69"/>
      <c r="E438" s="69"/>
      <c r="F438" s="69"/>
      <c r="G438" s="69"/>
      <c r="H438" s="69"/>
      <c r="I438" s="69"/>
      <c r="J438" s="69"/>
      <c r="K438" s="69"/>
      <c r="L438" s="69"/>
      <c r="M438" s="69"/>
      <c r="N438" s="69"/>
      <c r="O438" s="65"/>
      <c r="P438" s="70" t="s">
        <v>4310</v>
      </c>
      <c r="Q438" s="65"/>
      <c r="R438" s="71">
        <v>34802</v>
      </c>
      <c r="S438" s="65"/>
      <c r="T438" s="70" t="s">
        <v>4311</v>
      </c>
      <c r="U438" s="65"/>
    </row>
    <row r="439" spans="1:21" ht="25.5" customHeight="1" x14ac:dyDescent="0.15">
      <c r="A439" s="61">
        <v>1083</v>
      </c>
      <c r="B439" s="67" t="s">
        <v>4312</v>
      </c>
      <c r="C439" s="65"/>
      <c r="D439" s="66">
        <v>3193</v>
      </c>
      <c r="E439" s="69"/>
      <c r="F439" s="65"/>
      <c r="G439" s="67" t="s">
        <v>4313</v>
      </c>
      <c r="H439" s="65"/>
      <c r="I439" s="64">
        <v>33824</v>
      </c>
      <c r="J439" s="65"/>
      <c r="K439" s="54">
        <v>1041</v>
      </c>
      <c r="L439" s="66">
        <v>1040</v>
      </c>
      <c r="M439" s="65"/>
      <c r="N439" s="70" t="s">
        <v>4314</v>
      </c>
      <c r="O439" s="65"/>
      <c r="P439" s="67" t="s">
        <v>4315</v>
      </c>
      <c r="Q439" s="65"/>
      <c r="R439" s="64">
        <v>33824</v>
      </c>
      <c r="S439" s="65"/>
      <c r="T439" s="67" t="s">
        <v>4316</v>
      </c>
      <c r="U439" s="65"/>
    </row>
    <row r="440" spans="1:21" ht="13.5" customHeight="1" x14ac:dyDescent="0.15">
      <c r="A440" s="68"/>
      <c r="B440" s="69"/>
      <c r="C440" s="69"/>
      <c r="D440" s="69"/>
      <c r="E440" s="69"/>
      <c r="F440" s="69"/>
      <c r="G440" s="69"/>
      <c r="H440" s="69"/>
      <c r="I440" s="69"/>
      <c r="J440" s="69"/>
      <c r="K440" s="69"/>
      <c r="L440" s="69"/>
      <c r="M440" s="69"/>
      <c r="N440" s="69"/>
      <c r="O440" s="65"/>
      <c r="P440" s="70" t="s">
        <v>4317</v>
      </c>
      <c r="Q440" s="65"/>
      <c r="R440" s="71">
        <v>36720</v>
      </c>
      <c r="S440" s="65"/>
      <c r="T440" s="70" t="s">
        <v>4318</v>
      </c>
      <c r="U440" s="65"/>
    </row>
    <row r="441" spans="1:21" ht="12.75" customHeight="1" x14ac:dyDescent="0.15">
      <c r="A441" s="68"/>
      <c r="B441" s="69"/>
      <c r="C441" s="69"/>
      <c r="D441" s="69"/>
      <c r="E441" s="69"/>
      <c r="F441" s="69"/>
      <c r="G441" s="69"/>
      <c r="H441" s="69"/>
      <c r="I441" s="69"/>
      <c r="J441" s="69"/>
      <c r="K441" s="69"/>
      <c r="L441" s="69"/>
      <c r="M441" s="69"/>
      <c r="N441" s="69"/>
      <c r="O441" s="65"/>
      <c r="P441" s="70" t="s">
        <v>4319</v>
      </c>
      <c r="Q441" s="65"/>
      <c r="R441" s="71">
        <v>37122</v>
      </c>
      <c r="S441" s="65"/>
      <c r="T441" s="70" t="s">
        <v>4320</v>
      </c>
      <c r="U441" s="65"/>
    </row>
    <row r="442" spans="1:21" ht="25.5" customHeight="1" x14ac:dyDescent="0.15">
      <c r="A442" s="61">
        <v>1084</v>
      </c>
      <c r="B442" s="67" t="s">
        <v>4321</v>
      </c>
      <c r="C442" s="65"/>
      <c r="D442" s="66">
        <v>102635</v>
      </c>
      <c r="E442" s="69"/>
      <c r="F442" s="65"/>
      <c r="G442" s="67" t="s">
        <v>4322</v>
      </c>
      <c r="H442" s="65"/>
      <c r="I442" s="64">
        <v>33824</v>
      </c>
      <c r="J442" s="65"/>
      <c r="K442" s="54">
        <v>1041</v>
      </c>
      <c r="L442" s="66">
        <v>1040</v>
      </c>
      <c r="M442" s="65"/>
      <c r="N442" s="73" t="s">
        <v>4323</v>
      </c>
      <c r="O442" s="65"/>
      <c r="P442" s="67" t="s">
        <v>4324</v>
      </c>
      <c r="Q442" s="65"/>
      <c r="R442" s="64">
        <v>33824</v>
      </c>
      <c r="S442" s="65"/>
      <c r="T442" s="67" t="s">
        <v>4325</v>
      </c>
      <c r="U442" s="65"/>
    </row>
    <row r="443" spans="1:21" ht="12.75" customHeight="1" x14ac:dyDescent="0.15">
      <c r="A443" s="68"/>
      <c r="B443" s="69"/>
      <c r="C443" s="69"/>
      <c r="D443" s="69"/>
      <c r="E443" s="69"/>
      <c r="F443" s="69"/>
      <c r="G443" s="69"/>
      <c r="H443" s="69"/>
      <c r="I443" s="69"/>
      <c r="J443" s="69"/>
      <c r="K443" s="69"/>
      <c r="L443" s="69"/>
      <c r="M443" s="69"/>
      <c r="N443" s="69"/>
      <c r="O443" s="65"/>
      <c r="P443" s="70" t="s">
        <v>4326</v>
      </c>
      <c r="Q443" s="65"/>
      <c r="R443" s="71">
        <v>36318</v>
      </c>
      <c r="S443" s="65"/>
      <c r="T443" s="70" t="s">
        <v>4327</v>
      </c>
      <c r="U443" s="65"/>
    </row>
    <row r="444" spans="1:21" ht="25.5" customHeight="1" x14ac:dyDescent="0.15">
      <c r="A444" s="61">
        <v>1085</v>
      </c>
      <c r="B444" s="67" t="s">
        <v>4328</v>
      </c>
      <c r="C444" s="65"/>
      <c r="D444" s="66">
        <v>102636</v>
      </c>
      <c r="E444" s="69"/>
      <c r="F444" s="65"/>
      <c r="G444" s="67" t="s">
        <v>4329</v>
      </c>
      <c r="H444" s="65"/>
      <c r="I444" s="64">
        <v>33824</v>
      </c>
      <c r="J444" s="65"/>
      <c r="K444" s="54">
        <v>1041</v>
      </c>
      <c r="L444" s="66">
        <v>1040</v>
      </c>
      <c r="M444" s="65"/>
      <c r="N444" s="70" t="s">
        <v>4330</v>
      </c>
      <c r="O444" s="65"/>
      <c r="P444" s="67" t="s">
        <v>4331</v>
      </c>
      <c r="Q444" s="65"/>
      <c r="R444" s="64">
        <v>33824</v>
      </c>
      <c r="S444" s="65"/>
      <c r="T444" s="67" t="s">
        <v>4332</v>
      </c>
      <c r="U444" s="65"/>
    </row>
    <row r="445" spans="1:21" ht="12.75" customHeight="1" x14ac:dyDescent="0.15">
      <c r="A445" s="68"/>
      <c r="B445" s="69"/>
      <c r="C445" s="69"/>
      <c r="D445" s="69"/>
      <c r="E445" s="69"/>
      <c r="F445" s="69"/>
      <c r="G445" s="69"/>
      <c r="H445" s="69"/>
      <c r="I445" s="69"/>
      <c r="J445" s="69"/>
      <c r="K445" s="69"/>
      <c r="L445" s="69"/>
      <c r="M445" s="69"/>
      <c r="N445" s="69"/>
      <c r="O445" s="65"/>
      <c r="P445" s="70" t="s">
        <v>4333</v>
      </c>
      <c r="Q445" s="65"/>
      <c r="R445" s="71">
        <v>33826</v>
      </c>
      <c r="S445" s="65"/>
      <c r="T445" s="70" t="s">
        <v>4334</v>
      </c>
      <c r="U445" s="65"/>
    </row>
    <row r="446" spans="1:21" ht="25.5" customHeight="1" x14ac:dyDescent="0.15">
      <c r="A446" s="61">
        <v>1086</v>
      </c>
      <c r="B446" s="67" t="s">
        <v>4335</v>
      </c>
      <c r="C446" s="65"/>
      <c r="D446" s="66">
        <v>102637</v>
      </c>
      <c r="E446" s="69"/>
      <c r="F446" s="65"/>
      <c r="G446" s="67" t="s">
        <v>4336</v>
      </c>
      <c r="H446" s="65"/>
      <c r="I446" s="64">
        <v>33824</v>
      </c>
      <c r="J446" s="65"/>
      <c r="K446" s="54">
        <v>1041</v>
      </c>
      <c r="L446" s="66">
        <v>1040</v>
      </c>
      <c r="M446" s="65"/>
      <c r="N446" s="73" t="s">
        <v>4337</v>
      </c>
      <c r="O446" s="65"/>
      <c r="P446" s="67" t="s">
        <v>4338</v>
      </c>
      <c r="Q446" s="65"/>
      <c r="R446" s="64">
        <v>33824</v>
      </c>
      <c r="S446" s="65"/>
      <c r="T446" s="67" t="s">
        <v>4339</v>
      </c>
      <c r="U446" s="65"/>
    </row>
    <row r="447" spans="1:21" ht="12.75" customHeight="1" x14ac:dyDescent="0.15">
      <c r="A447" s="68"/>
      <c r="B447" s="69"/>
      <c r="C447" s="69"/>
      <c r="D447" s="69"/>
      <c r="E447" s="69"/>
      <c r="F447" s="69"/>
      <c r="G447" s="69"/>
      <c r="H447" s="69"/>
      <c r="I447" s="69"/>
      <c r="J447" s="69"/>
      <c r="K447" s="69"/>
      <c r="L447" s="69"/>
      <c r="M447" s="69"/>
      <c r="N447" s="69"/>
      <c r="O447" s="65"/>
      <c r="P447" s="70" t="s">
        <v>4340</v>
      </c>
      <c r="Q447" s="65"/>
      <c r="R447" s="71">
        <v>33825</v>
      </c>
      <c r="S447" s="65"/>
      <c r="T447" s="70" t="s">
        <v>4341</v>
      </c>
      <c r="U447" s="65"/>
    </row>
    <row r="448" spans="1:21" ht="13.5" customHeight="1" x14ac:dyDescent="0.15">
      <c r="A448" s="61">
        <v>1087</v>
      </c>
      <c r="B448" s="70" t="s">
        <v>4342</v>
      </c>
      <c r="C448" s="65"/>
      <c r="D448" s="76">
        <v>1682</v>
      </c>
      <c r="E448" s="69"/>
      <c r="F448" s="65"/>
      <c r="G448" s="70" t="s">
        <v>4343</v>
      </c>
      <c r="H448" s="65"/>
      <c r="I448" s="70" t="s">
        <v>4344</v>
      </c>
      <c r="J448" s="65"/>
      <c r="K448" s="56" t="s">
        <v>4345</v>
      </c>
      <c r="L448" s="70" t="s">
        <v>4346</v>
      </c>
      <c r="M448" s="65"/>
      <c r="N448" s="70" t="s">
        <v>4347</v>
      </c>
      <c r="O448" s="65"/>
      <c r="P448" s="70" t="s">
        <v>4348</v>
      </c>
      <c r="Q448" s="65"/>
      <c r="R448" s="70" t="s">
        <v>4349</v>
      </c>
      <c r="S448" s="65"/>
      <c r="T448" s="70" t="s">
        <v>4350</v>
      </c>
      <c r="U448" s="65"/>
    </row>
    <row r="449" spans="1:21" ht="21" customHeight="1" x14ac:dyDescent="0.15">
      <c r="A449" s="60" t="s">
        <v>4351</v>
      </c>
      <c r="B449" s="72" t="s">
        <v>4352</v>
      </c>
      <c r="C449" s="65"/>
      <c r="D449" s="72" t="s">
        <v>4353</v>
      </c>
      <c r="E449" s="69"/>
      <c r="F449" s="65"/>
      <c r="G449" s="72" t="s">
        <v>4354</v>
      </c>
      <c r="H449" s="65"/>
      <c r="I449" s="72" t="s">
        <v>4355</v>
      </c>
      <c r="J449" s="65"/>
      <c r="K449" s="60" t="s">
        <v>4356</v>
      </c>
      <c r="L449" s="72" t="s">
        <v>4357</v>
      </c>
      <c r="M449" s="65"/>
      <c r="N449" s="72" t="s">
        <v>4358</v>
      </c>
      <c r="O449" s="65"/>
      <c r="P449" s="72" t="s">
        <v>4359</v>
      </c>
      <c r="Q449" s="65"/>
      <c r="R449" s="72" t="s">
        <v>4360</v>
      </c>
      <c r="S449" s="65"/>
      <c r="T449" s="72" t="s">
        <v>4361</v>
      </c>
      <c r="U449" s="65"/>
    </row>
    <row r="450" spans="1:21" ht="13.5" customHeight="1" x14ac:dyDescent="0.15">
      <c r="A450" s="68"/>
      <c r="B450" s="69"/>
      <c r="C450" s="69"/>
      <c r="D450" s="69"/>
      <c r="E450" s="69"/>
      <c r="F450" s="69"/>
      <c r="G450" s="69"/>
      <c r="H450" s="69"/>
      <c r="I450" s="69"/>
      <c r="J450" s="69"/>
      <c r="K450" s="69"/>
      <c r="L450" s="69"/>
      <c r="M450" s="69"/>
      <c r="N450" s="69"/>
      <c r="O450" s="65"/>
      <c r="P450" s="70" t="s">
        <v>4362</v>
      </c>
      <c r="Q450" s="65"/>
      <c r="R450" s="70" t="s">
        <v>4363</v>
      </c>
      <c r="S450" s="65"/>
      <c r="T450" s="70" t="s">
        <v>4364</v>
      </c>
      <c r="U450" s="65"/>
    </row>
    <row r="451" spans="1:21" ht="12.75" customHeight="1" x14ac:dyDescent="0.15">
      <c r="A451" s="68"/>
      <c r="B451" s="69"/>
      <c r="C451" s="69"/>
      <c r="D451" s="69"/>
      <c r="E451" s="69"/>
      <c r="F451" s="69"/>
      <c r="G451" s="69"/>
      <c r="H451" s="69"/>
      <c r="I451" s="69"/>
      <c r="J451" s="69"/>
      <c r="K451" s="69"/>
      <c r="L451" s="69"/>
      <c r="M451" s="69"/>
      <c r="N451" s="69"/>
      <c r="O451" s="65"/>
      <c r="P451" s="70" t="s">
        <v>4365</v>
      </c>
      <c r="Q451" s="65"/>
      <c r="R451" s="71">
        <v>31794</v>
      </c>
      <c r="S451" s="65"/>
      <c r="T451" s="70" t="s">
        <v>4366</v>
      </c>
      <c r="U451" s="65"/>
    </row>
    <row r="452" spans="1:21" ht="12.75" customHeight="1" x14ac:dyDescent="0.15">
      <c r="A452" s="68"/>
      <c r="B452" s="69"/>
      <c r="C452" s="69"/>
      <c r="D452" s="69"/>
      <c r="E452" s="69"/>
      <c r="F452" s="69"/>
      <c r="G452" s="69"/>
      <c r="H452" s="69"/>
      <c r="I452" s="69"/>
      <c r="J452" s="69"/>
      <c r="K452" s="69"/>
      <c r="L452" s="69"/>
      <c r="M452" s="69"/>
      <c r="N452" s="69"/>
      <c r="O452" s="65"/>
      <c r="P452" s="70" t="s">
        <v>4367</v>
      </c>
      <c r="Q452" s="65"/>
      <c r="R452" s="71">
        <v>37803</v>
      </c>
      <c r="S452" s="65"/>
      <c r="T452" s="70" t="s">
        <v>4368</v>
      </c>
      <c r="U452" s="65"/>
    </row>
    <row r="453" spans="1:21" ht="12.75" customHeight="1" x14ac:dyDescent="0.15">
      <c r="A453" s="61">
        <v>1088</v>
      </c>
      <c r="B453" s="70" t="s">
        <v>4369</v>
      </c>
      <c r="C453" s="65"/>
      <c r="D453" s="76">
        <v>970689</v>
      </c>
      <c r="E453" s="69"/>
      <c r="F453" s="65"/>
      <c r="G453" s="70" t="s">
        <v>4370</v>
      </c>
      <c r="H453" s="65"/>
      <c r="I453" s="70" t="s">
        <v>4371</v>
      </c>
      <c r="J453" s="65"/>
      <c r="K453" s="56" t="s">
        <v>4372</v>
      </c>
      <c r="L453" s="70" t="s">
        <v>4373</v>
      </c>
      <c r="M453" s="65"/>
      <c r="N453" s="70" t="s">
        <v>4374</v>
      </c>
      <c r="O453" s="65"/>
      <c r="P453" s="70" t="s">
        <v>4375</v>
      </c>
      <c r="Q453" s="65"/>
      <c r="R453" s="70" t="s">
        <v>4376</v>
      </c>
      <c r="S453" s="65"/>
      <c r="T453" s="70" t="s">
        <v>4377</v>
      </c>
      <c r="U453" s="65"/>
    </row>
    <row r="454" spans="1:21" ht="13.5" customHeight="1" x14ac:dyDescent="0.15">
      <c r="A454" s="68"/>
      <c r="B454" s="69"/>
      <c r="C454" s="69"/>
      <c r="D454" s="69"/>
      <c r="E454" s="69"/>
      <c r="F454" s="69"/>
      <c r="G454" s="69"/>
      <c r="H454" s="69"/>
      <c r="I454" s="69"/>
      <c r="J454" s="69"/>
      <c r="K454" s="69"/>
      <c r="L454" s="69"/>
      <c r="M454" s="69"/>
      <c r="N454" s="69"/>
      <c r="O454" s="65"/>
      <c r="P454" s="70" t="s">
        <v>4378</v>
      </c>
      <c r="Q454" s="65"/>
      <c r="R454" s="70" t="s">
        <v>4379</v>
      </c>
      <c r="S454" s="65"/>
      <c r="T454" s="70" t="s">
        <v>4380</v>
      </c>
      <c r="U454" s="65"/>
    </row>
    <row r="455" spans="1:21" ht="12.75" customHeight="1" x14ac:dyDescent="0.15">
      <c r="A455" s="68"/>
      <c r="B455" s="69"/>
      <c r="C455" s="69"/>
      <c r="D455" s="69"/>
      <c r="E455" s="69"/>
      <c r="F455" s="69"/>
      <c r="G455" s="69"/>
      <c r="H455" s="69"/>
      <c r="I455" s="69"/>
      <c r="J455" s="69"/>
      <c r="K455" s="69"/>
      <c r="L455" s="69"/>
      <c r="M455" s="69"/>
      <c r="N455" s="69"/>
      <c r="O455" s="65"/>
      <c r="P455" s="70" t="s">
        <v>4381</v>
      </c>
      <c r="Q455" s="65"/>
      <c r="R455" s="70" t="s">
        <v>4382</v>
      </c>
      <c r="S455" s="65"/>
      <c r="T455" s="70" t="s">
        <v>4383</v>
      </c>
      <c r="U455" s="65"/>
    </row>
    <row r="456" spans="1:21" ht="12.75" customHeight="1" x14ac:dyDescent="0.15">
      <c r="A456" s="68"/>
      <c r="B456" s="69"/>
      <c r="C456" s="69"/>
      <c r="D456" s="69"/>
      <c r="E456" s="69"/>
      <c r="F456" s="69"/>
      <c r="G456" s="69"/>
      <c r="H456" s="69"/>
      <c r="I456" s="69"/>
      <c r="J456" s="69"/>
      <c r="K456" s="69"/>
      <c r="L456" s="69"/>
      <c r="M456" s="69"/>
      <c r="N456" s="69"/>
      <c r="O456" s="65"/>
      <c r="P456" s="70" t="s">
        <v>4384</v>
      </c>
      <c r="Q456" s="65"/>
      <c r="R456" s="71">
        <v>34234</v>
      </c>
      <c r="S456" s="65"/>
      <c r="T456" s="70" t="s">
        <v>4385</v>
      </c>
      <c r="U456" s="65"/>
    </row>
    <row r="457" spans="1:21" ht="12.75" customHeight="1" x14ac:dyDescent="0.15">
      <c r="A457" s="68"/>
      <c r="B457" s="69"/>
      <c r="C457" s="69"/>
      <c r="D457" s="69"/>
      <c r="E457" s="69"/>
      <c r="F457" s="69"/>
      <c r="G457" s="69"/>
      <c r="H457" s="69"/>
      <c r="I457" s="69"/>
      <c r="J457" s="69"/>
      <c r="K457" s="69"/>
      <c r="L457" s="69"/>
      <c r="M457" s="69"/>
      <c r="N457" s="69"/>
      <c r="O457" s="65"/>
      <c r="P457" s="70" t="s">
        <v>4386</v>
      </c>
      <c r="Q457" s="65"/>
      <c r="R457" s="71">
        <v>35608</v>
      </c>
      <c r="S457" s="65"/>
      <c r="T457" s="70" t="s">
        <v>4387</v>
      </c>
      <c r="U457" s="65"/>
    </row>
    <row r="458" spans="1:21" ht="13.5" customHeight="1" x14ac:dyDescent="0.15">
      <c r="A458" s="68"/>
      <c r="B458" s="69"/>
      <c r="C458" s="69"/>
      <c r="D458" s="69"/>
      <c r="E458" s="69"/>
      <c r="F458" s="69"/>
      <c r="G458" s="69"/>
      <c r="H458" s="69"/>
      <c r="I458" s="69"/>
      <c r="J458" s="69"/>
      <c r="K458" s="69"/>
      <c r="L458" s="69"/>
      <c r="M458" s="69"/>
      <c r="N458" s="69"/>
      <c r="O458" s="65"/>
      <c r="P458" s="70" t="s">
        <v>4388</v>
      </c>
      <c r="Q458" s="65"/>
      <c r="R458" s="71">
        <v>39669</v>
      </c>
      <c r="S458" s="65"/>
      <c r="T458" s="70" t="s">
        <v>4389</v>
      </c>
      <c r="U458" s="65"/>
    </row>
    <row r="459" spans="1:21" ht="12.75" customHeight="1" x14ac:dyDescent="0.15">
      <c r="A459" s="61">
        <v>1089</v>
      </c>
      <c r="B459" s="70" t="s">
        <v>4390</v>
      </c>
      <c r="C459" s="65"/>
      <c r="D459" s="76">
        <v>594333</v>
      </c>
      <c r="E459" s="69"/>
      <c r="F459" s="65"/>
      <c r="G459" s="70" t="s">
        <v>4391</v>
      </c>
      <c r="H459" s="65"/>
      <c r="I459" s="70" t="s">
        <v>4392</v>
      </c>
      <c r="J459" s="65"/>
      <c r="K459" s="56" t="s">
        <v>4393</v>
      </c>
      <c r="L459" s="70" t="s">
        <v>4394</v>
      </c>
      <c r="M459" s="65"/>
      <c r="N459" s="70" t="s">
        <v>4395</v>
      </c>
      <c r="O459" s="65"/>
      <c r="P459" s="70" t="s">
        <v>4396</v>
      </c>
      <c r="Q459" s="65"/>
      <c r="R459" s="70" t="s">
        <v>4397</v>
      </c>
      <c r="S459" s="65"/>
      <c r="T459" s="70" t="s">
        <v>4398</v>
      </c>
      <c r="U459" s="65"/>
    </row>
    <row r="460" spans="1:21" ht="12.75" customHeight="1" x14ac:dyDescent="0.15">
      <c r="A460" s="68"/>
      <c r="B460" s="69"/>
      <c r="C460" s="69"/>
      <c r="D460" s="69"/>
      <c r="E460" s="69"/>
      <c r="F460" s="69"/>
      <c r="G460" s="69"/>
      <c r="H460" s="69"/>
      <c r="I460" s="69"/>
      <c r="J460" s="69"/>
      <c r="K460" s="69"/>
      <c r="L460" s="69"/>
      <c r="M460" s="69"/>
      <c r="N460" s="69"/>
      <c r="O460" s="65"/>
      <c r="P460" s="70" t="s">
        <v>4399</v>
      </c>
      <c r="Q460" s="65"/>
      <c r="R460" s="70" t="s">
        <v>4400</v>
      </c>
      <c r="S460" s="65"/>
      <c r="T460" s="70" t="s">
        <v>4401</v>
      </c>
      <c r="U460" s="65"/>
    </row>
    <row r="461" spans="1:21" ht="13.5" customHeight="1" x14ac:dyDescent="0.15">
      <c r="A461" s="68"/>
      <c r="B461" s="69"/>
      <c r="C461" s="69"/>
      <c r="D461" s="69"/>
      <c r="E461" s="69"/>
      <c r="F461" s="69"/>
      <c r="G461" s="69"/>
      <c r="H461" s="69"/>
      <c r="I461" s="69"/>
      <c r="J461" s="69"/>
      <c r="K461" s="69"/>
      <c r="L461" s="69"/>
      <c r="M461" s="69"/>
      <c r="N461" s="69"/>
      <c r="O461" s="65"/>
      <c r="P461" s="70" t="s">
        <v>4402</v>
      </c>
      <c r="Q461" s="65"/>
      <c r="R461" s="70" t="s">
        <v>4403</v>
      </c>
      <c r="S461" s="65"/>
      <c r="T461" s="70" t="s">
        <v>4404</v>
      </c>
      <c r="U461" s="65"/>
    </row>
    <row r="462" spans="1:21" ht="12.75" customHeight="1" x14ac:dyDescent="0.15">
      <c r="A462" s="68"/>
      <c r="B462" s="69"/>
      <c r="C462" s="69"/>
      <c r="D462" s="69"/>
      <c r="E462" s="69"/>
      <c r="F462" s="69"/>
      <c r="G462" s="69"/>
      <c r="H462" s="69"/>
      <c r="I462" s="69"/>
      <c r="J462" s="69"/>
      <c r="K462" s="69"/>
      <c r="L462" s="69"/>
      <c r="M462" s="69"/>
      <c r="N462" s="69"/>
      <c r="O462" s="65"/>
      <c r="P462" s="70" t="s">
        <v>4405</v>
      </c>
      <c r="Q462" s="65"/>
      <c r="R462" s="71">
        <v>34062</v>
      </c>
      <c r="S462" s="65"/>
      <c r="T462" s="70" t="s">
        <v>4406</v>
      </c>
      <c r="U462" s="65"/>
    </row>
    <row r="463" spans="1:21" ht="12.75" customHeight="1" x14ac:dyDescent="0.15">
      <c r="A463" s="68"/>
      <c r="B463" s="69"/>
      <c r="C463" s="69"/>
      <c r="D463" s="69"/>
      <c r="E463" s="69"/>
      <c r="F463" s="69"/>
      <c r="G463" s="69"/>
      <c r="H463" s="69"/>
      <c r="I463" s="69"/>
      <c r="J463" s="69"/>
      <c r="K463" s="69"/>
      <c r="L463" s="69"/>
      <c r="M463" s="69"/>
      <c r="N463" s="69"/>
      <c r="O463" s="65"/>
      <c r="P463" s="70" t="s">
        <v>4407</v>
      </c>
      <c r="Q463" s="65"/>
      <c r="R463" s="71">
        <v>34523</v>
      </c>
      <c r="S463" s="65"/>
      <c r="T463" s="70" t="s">
        <v>4408</v>
      </c>
      <c r="U463" s="65"/>
    </row>
    <row r="464" spans="1:21" ht="12.75" customHeight="1" x14ac:dyDescent="0.15">
      <c r="A464" s="68"/>
      <c r="B464" s="69"/>
      <c r="C464" s="69"/>
      <c r="D464" s="69"/>
      <c r="E464" s="69"/>
      <c r="F464" s="69"/>
      <c r="G464" s="69"/>
      <c r="H464" s="69"/>
      <c r="I464" s="69"/>
      <c r="J464" s="69"/>
      <c r="K464" s="69"/>
      <c r="L464" s="69"/>
      <c r="M464" s="69"/>
      <c r="N464" s="69"/>
      <c r="O464" s="65"/>
      <c r="P464" s="70" t="s">
        <v>4409</v>
      </c>
      <c r="Q464" s="65"/>
      <c r="R464" s="71">
        <v>39871</v>
      </c>
      <c r="S464" s="65"/>
      <c r="T464" s="70" t="s">
        <v>4410</v>
      </c>
      <c r="U464" s="65"/>
    </row>
    <row r="465" spans="1:21" ht="25.5" customHeight="1" x14ac:dyDescent="0.15">
      <c r="A465" s="61">
        <v>1090</v>
      </c>
      <c r="B465" s="67" t="s">
        <v>4411</v>
      </c>
      <c r="C465" s="65"/>
      <c r="D465" s="75"/>
      <c r="E465" s="69"/>
      <c r="F465" s="65"/>
      <c r="G465" s="67" t="s">
        <v>4412</v>
      </c>
      <c r="H465" s="65"/>
      <c r="I465" s="64">
        <v>33922</v>
      </c>
      <c r="J465" s="65"/>
      <c r="K465" s="54">
        <v>1015</v>
      </c>
      <c r="L465" s="66">
        <v>1014</v>
      </c>
      <c r="M465" s="65"/>
      <c r="N465" s="70" t="s">
        <v>4413</v>
      </c>
      <c r="O465" s="65"/>
      <c r="P465" s="67" t="s">
        <v>4414</v>
      </c>
      <c r="Q465" s="65"/>
      <c r="R465" s="64">
        <v>33922</v>
      </c>
      <c r="S465" s="65"/>
      <c r="T465" s="67" t="s">
        <v>4415</v>
      </c>
      <c r="U465" s="65"/>
    </row>
    <row r="466" spans="1:21" ht="12.75" customHeight="1" x14ac:dyDescent="0.15">
      <c r="A466" s="68"/>
      <c r="B466" s="69"/>
      <c r="C466" s="69"/>
      <c r="D466" s="69"/>
      <c r="E466" s="69"/>
      <c r="F466" s="69"/>
      <c r="G466" s="69"/>
      <c r="H466" s="69"/>
      <c r="I466" s="69"/>
      <c r="J466" s="69"/>
      <c r="K466" s="69"/>
      <c r="L466" s="69"/>
      <c r="M466" s="69"/>
      <c r="N466" s="69"/>
      <c r="O466" s="65"/>
      <c r="P466" s="70" t="s">
        <v>4416</v>
      </c>
      <c r="Q466" s="65"/>
      <c r="R466" s="71">
        <v>38433</v>
      </c>
      <c r="S466" s="65"/>
      <c r="T466" s="70" t="s">
        <v>4417</v>
      </c>
      <c r="U466" s="65"/>
    </row>
    <row r="467" spans="1:21" ht="12.75" customHeight="1" x14ac:dyDescent="0.15">
      <c r="A467" s="68"/>
      <c r="B467" s="69"/>
      <c r="C467" s="69"/>
      <c r="D467" s="69"/>
      <c r="E467" s="69"/>
      <c r="F467" s="69"/>
      <c r="G467" s="69"/>
      <c r="H467" s="69"/>
      <c r="I467" s="69"/>
      <c r="J467" s="69"/>
      <c r="K467" s="69"/>
      <c r="L467" s="69"/>
      <c r="M467" s="69"/>
      <c r="N467" s="69"/>
      <c r="O467" s="65"/>
      <c r="P467" s="70" t="s">
        <v>4418</v>
      </c>
      <c r="Q467" s="65"/>
      <c r="R467" s="71">
        <v>39238</v>
      </c>
      <c r="S467" s="65"/>
      <c r="T467" s="70" t="s">
        <v>4419</v>
      </c>
      <c r="U467" s="65"/>
    </row>
    <row r="468" spans="1:21" ht="24.75" customHeight="1" x14ac:dyDescent="0.15">
      <c r="A468" s="61">
        <v>1091</v>
      </c>
      <c r="B468" s="67" t="s">
        <v>4420</v>
      </c>
      <c r="C468" s="65"/>
      <c r="D468" s="66">
        <v>591</v>
      </c>
      <c r="E468" s="69"/>
      <c r="F468" s="65"/>
      <c r="G468" s="67" t="s">
        <v>4421</v>
      </c>
      <c r="H468" s="65"/>
      <c r="I468" s="64">
        <v>33922</v>
      </c>
      <c r="J468" s="65"/>
      <c r="K468" s="54">
        <v>1015</v>
      </c>
      <c r="L468" s="66">
        <v>1014</v>
      </c>
      <c r="M468" s="65"/>
      <c r="N468" s="70" t="s">
        <v>4422</v>
      </c>
      <c r="O468" s="65"/>
      <c r="P468" s="67" t="s">
        <v>4423</v>
      </c>
      <c r="Q468" s="65"/>
      <c r="R468" s="64">
        <v>33922</v>
      </c>
      <c r="S468" s="65"/>
      <c r="T468" s="67" t="s">
        <v>4424</v>
      </c>
      <c r="U468" s="65"/>
    </row>
    <row r="469" spans="1:21" ht="12.75" customHeight="1" x14ac:dyDescent="0.15">
      <c r="A469" s="68"/>
      <c r="B469" s="69"/>
      <c r="C469" s="69"/>
      <c r="D469" s="69"/>
      <c r="E469" s="69"/>
      <c r="F469" s="69"/>
      <c r="G469" s="69"/>
      <c r="H469" s="69"/>
      <c r="I469" s="69"/>
      <c r="J469" s="69"/>
      <c r="K469" s="69"/>
      <c r="L469" s="69"/>
      <c r="M469" s="69"/>
      <c r="N469" s="69"/>
      <c r="O469" s="65"/>
      <c r="P469" s="70" t="s">
        <v>4425</v>
      </c>
      <c r="Q469" s="65"/>
      <c r="R469" s="71">
        <v>38275</v>
      </c>
      <c r="S469" s="65"/>
      <c r="T469" s="70" t="s">
        <v>4426</v>
      </c>
      <c r="U469" s="65"/>
    </row>
    <row r="470" spans="1:21" ht="13.5" customHeight="1" x14ac:dyDescent="0.15">
      <c r="A470" s="68"/>
      <c r="B470" s="69"/>
      <c r="C470" s="69"/>
      <c r="D470" s="69"/>
      <c r="E470" s="69"/>
      <c r="F470" s="69"/>
      <c r="G470" s="69"/>
      <c r="H470" s="69"/>
      <c r="I470" s="69"/>
      <c r="J470" s="69"/>
      <c r="K470" s="69"/>
      <c r="L470" s="69"/>
      <c r="M470" s="69"/>
      <c r="N470" s="69"/>
      <c r="O470" s="65"/>
      <c r="P470" s="70" t="s">
        <v>4427</v>
      </c>
      <c r="Q470" s="65"/>
      <c r="R470" s="71">
        <v>39407</v>
      </c>
      <c r="S470" s="65"/>
      <c r="T470" s="70" t="s">
        <v>4428</v>
      </c>
      <c r="U470" s="65"/>
    </row>
    <row r="471" spans="1:21" ht="25.5" customHeight="1" x14ac:dyDescent="0.15">
      <c r="A471" s="61">
        <v>1092</v>
      </c>
      <c r="B471" s="67" t="s">
        <v>4429</v>
      </c>
      <c r="C471" s="65"/>
      <c r="D471" s="66">
        <v>593089</v>
      </c>
      <c r="E471" s="69"/>
      <c r="F471" s="65"/>
      <c r="G471" s="67" t="s">
        <v>4430</v>
      </c>
      <c r="H471" s="65"/>
      <c r="I471" s="64">
        <v>34052</v>
      </c>
      <c r="J471" s="65"/>
      <c r="K471" s="54">
        <v>1017</v>
      </c>
      <c r="L471" s="66">
        <v>1021</v>
      </c>
      <c r="M471" s="65"/>
      <c r="N471" s="73" t="s">
        <v>4431</v>
      </c>
      <c r="O471" s="65"/>
      <c r="P471" s="67" t="s">
        <v>4432</v>
      </c>
      <c r="Q471" s="65"/>
      <c r="R471" s="64">
        <v>34052</v>
      </c>
      <c r="S471" s="65"/>
      <c r="T471" s="67" t="s">
        <v>4433</v>
      </c>
      <c r="U471" s="65"/>
    </row>
    <row r="472" spans="1:21" ht="12.75" customHeight="1" x14ac:dyDescent="0.15">
      <c r="A472" s="68"/>
      <c r="B472" s="69"/>
      <c r="C472" s="69"/>
      <c r="D472" s="69"/>
      <c r="E472" s="69"/>
      <c r="F472" s="69"/>
      <c r="G472" s="69"/>
      <c r="H472" s="69"/>
      <c r="I472" s="69"/>
      <c r="J472" s="69"/>
      <c r="K472" s="69"/>
      <c r="L472" s="69"/>
      <c r="M472" s="69"/>
      <c r="N472" s="69"/>
      <c r="O472" s="65"/>
      <c r="P472" s="70" t="s">
        <v>4434</v>
      </c>
      <c r="Q472" s="65"/>
      <c r="R472" s="71">
        <v>34055</v>
      </c>
      <c r="S472" s="65"/>
      <c r="T472" s="70" t="s">
        <v>4435</v>
      </c>
      <c r="U472" s="65"/>
    </row>
    <row r="473" spans="1:21" ht="25.5" customHeight="1" x14ac:dyDescent="0.15">
      <c r="A473" s="61">
        <v>1093</v>
      </c>
      <c r="B473" s="67" t="s">
        <v>4436</v>
      </c>
      <c r="C473" s="65"/>
      <c r="D473" s="66">
        <v>17084</v>
      </c>
      <c r="E473" s="69"/>
      <c r="F473" s="65"/>
      <c r="G473" s="67" t="s">
        <v>4437</v>
      </c>
      <c r="H473" s="65"/>
      <c r="I473" s="64">
        <v>34119</v>
      </c>
      <c r="J473" s="65"/>
      <c r="K473" s="54">
        <v>1051</v>
      </c>
      <c r="L473" s="66">
        <v>1054</v>
      </c>
      <c r="M473" s="65"/>
      <c r="N473" s="70" t="s">
        <v>4438</v>
      </c>
      <c r="O473" s="65"/>
      <c r="P473" s="67" t="s">
        <v>4439</v>
      </c>
      <c r="Q473" s="65"/>
      <c r="R473" s="64">
        <v>34119</v>
      </c>
      <c r="S473" s="65"/>
      <c r="T473" s="67" t="s">
        <v>4440</v>
      </c>
      <c r="U473" s="65"/>
    </row>
    <row r="474" spans="1:21" ht="13.5" customHeight="1" x14ac:dyDescent="0.15">
      <c r="A474" s="68"/>
      <c r="B474" s="69"/>
      <c r="C474" s="69"/>
      <c r="D474" s="69"/>
      <c r="E474" s="69"/>
      <c r="F474" s="69"/>
      <c r="G474" s="69"/>
      <c r="H474" s="69"/>
      <c r="I474" s="69"/>
      <c r="J474" s="69"/>
      <c r="K474" s="69"/>
      <c r="L474" s="69"/>
      <c r="M474" s="69"/>
      <c r="N474" s="69"/>
      <c r="O474" s="65"/>
      <c r="P474" s="70" t="s">
        <v>4441</v>
      </c>
      <c r="Q474" s="65"/>
      <c r="R474" s="71">
        <v>35689</v>
      </c>
      <c r="S474" s="65"/>
      <c r="T474" s="70" t="s">
        <v>4442</v>
      </c>
      <c r="U474" s="65"/>
    </row>
    <row r="475" spans="1:21" ht="12.75" customHeight="1" x14ac:dyDescent="0.15">
      <c r="A475" s="68"/>
      <c r="B475" s="69"/>
      <c r="C475" s="69"/>
      <c r="D475" s="69"/>
      <c r="E475" s="69"/>
      <c r="F475" s="69"/>
      <c r="G475" s="69"/>
      <c r="H475" s="69"/>
      <c r="I475" s="69"/>
      <c r="J475" s="69"/>
      <c r="K475" s="69"/>
      <c r="L475" s="69"/>
      <c r="M475" s="69"/>
      <c r="N475" s="69"/>
      <c r="O475" s="65"/>
      <c r="P475" s="70" t="s">
        <v>4443</v>
      </c>
      <c r="Q475" s="65"/>
      <c r="R475" s="71">
        <v>37731</v>
      </c>
      <c r="S475" s="65"/>
      <c r="T475" s="70" t="s">
        <v>4444</v>
      </c>
      <c r="U475" s="65"/>
    </row>
    <row r="476" spans="1:21" ht="24.75" customHeight="1" x14ac:dyDescent="0.15">
      <c r="A476" s="61">
        <v>1094</v>
      </c>
      <c r="B476" s="67" t="s">
        <v>4445</v>
      </c>
      <c r="C476" s="65"/>
      <c r="D476" s="66">
        <v>193269</v>
      </c>
      <c r="E476" s="69"/>
      <c r="F476" s="65"/>
      <c r="G476" s="67" t="s">
        <v>4446</v>
      </c>
      <c r="H476" s="65"/>
      <c r="I476" s="64">
        <v>34119</v>
      </c>
      <c r="J476" s="65"/>
      <c r="K476" s="54">
        <v>1051</v>
      </c>
      <c r="L476" s="66">
        <v>1054</v>
      </c>
      <c r="M476" s="65"/>
      <c r="N476" s="70" t="s">
        <v>4447</v>
      </c>
      <c r="O476" s="65"/>
      <c r="P476" s="67" t="s">
        <v>4448</v>
      </c>
      <c r="Q476" s="65"/>
      <c r="R476" s="64">
        <v>34119</v>
      </c>
      <c r="S476" s="65"/>
      <c r="T476" s="67" t="s">
        <v>4449</v>
      </c>
      <c r="U476" s="65"/>
    </row>
    <row r="477" spans="1:21" ht="12.75" customHeight="1" x14ac:dyDescent="0.15">
      <c r="A477" s="68"/>
      <c r="B477" s="69"/>
      <c r="C477" s="69"/>
      <c r="D477" s="69"/>
      <c r="E477" s="69"/>
      <c r="F477" s="69"/>
      <c r="G477" s="69"/>
      <c r="H477" s="69"/>
      <c r="I477" s="69"/>
      <c r="J477" s="69"/>
      <c r="K477" s="69"/>
      <c r="L477" s="69"/>
      <c r="M477" s="69"/>
      <c r="N477" s="69"/>
      <c r="O477" s="65"/>
      <c r="P477" s="70" t="s">
        <v>4450</v>
      </c>
      <c r="Q477" s="65"/>
      <c r="R477" s="71">
        <v>34417</v>
      </c>
      <c r="S477" s="65"/>
      <c r="T477" s="70" t="s">
        <v>4451</v>
      </c>
      <c r="U477" s="65"/>
    </row>
    <row r="478" spans="1:21" ht="13.5" customHeight="1" x14ac:dyDescent="0.15">
      <c r="A478" s="68"/>
      <c r="B478" s="69"/>
      <c r="C478" s="69"/>
      <c r="D478" s="69"/>
      <c r="E478" s="69"/>
      <c r="F478" s="69"/>
      <c r="G478" s="69"/>
      <c r="H478" s="69"/>
      <c r="I478" s="69"/>
      <c r="J478" s="69"/>
      <c r="K478" s="69"/>
      <c r="L478" s="69"/>
      <c r="M478" s="69"/>
      <c r="N478" s="69"/>
      <c r="O478" s="65"/>
      <c r="P478" s="70" t="s">
        <v>4452</v>
      </c>
      <c r="Q478" s="65"/>
      <c r="R478" s="71">
        <v>34446</v>
      </c>
      <c r="S478" s="65"/>
      <c r="T478" s="70" t="s">
        <v>4453</v>
      </c>
      <c r="U478" s="65"/>
    </row>
    <row r="479" spans="1:21" ht="25.5" customHeight="1" x14ac:dyDescent="0.15">
      <c r="A479" s="61">
        <v>1095</v>
      </c>
      <c r="B479" s="67" t="s">
        <v>4454</v>
      </c>
      <c r="C479" s="65"/>
      <c r="D479" s="66">
        <v>102867</v>
      </c>
      <c r="E479" s="69"/>
      <c r="F479" s="65"/>
      <c r="G479" s="67" t="s">
        <v>4455</v>
      </c>
      <c r="H479" s="65"/>
      <c r="I479" s="64">
        <v>34402</v>
      </c>
      <c r="J479" s="65"/>
      <c r="K479" s="54">
        <v>1041</v>
      </c>
      <c r="L479" s="66">
        <v>1040</v>
      </c>
      <c r="M479" s="65"/>
      <c r="N479" s="73" t="s">
        <v>4456</v>
      </c>
      <c r="O479" s="65"/>
      <c r="P479" s="67" t="s">
        <v>4457</v>
      </c>
      <c r="Q479" s="65"/>
      <c r="R479" s="64">
        <v>34402</v>
      </c>
      <c r="S479" s="65"/>
      <c r="T479" s="67" t="s">
        <v>4458</v>
      </c>
      <c r="U479" s="65"/>
    </row>
    <row r="480" spans="1:21" ht="12.75" customHeight="1" x14ac:dyDescent="0.15">
      <c r="A480" s="68"/>
      <c r="B480" s="69"/>
      <c r="C480" s="69"/>
      <c r="D480" s="69"/>
      <c r="E480" s="69"/>
      <c r="F480" s="69"/>
      <c r="G480" s="69"/>
      <c r="H480" s="69"/>
      <c r="I480" s="69"/>
      <c r="J480" s="69"/>
      <c r="K480" s="69"/>
      <c r="L480" s="69"/>
      <c r="M480" s="69"/>
      <c r="N480" s="69"/>
      <c r="O480" s="65"/>
      <c r="P480" s="70" t="s">
        <v>4459</v>
      </c>
      <c r="Q480" s="65"/>
      <c r="R480" s="71">
        <v>34403</v>
      </c>
      <c r="S480" s="65"/>
      <c r="T480" s="70" t="s">
        <v>4460</v>
      </c>
      <c r="U480" s="65"/>
    </row>
    <row r="481" spans="1:21" ht="24.75" customHeight="1" x14ac:dyDescent="0.15">
      <c r="A481" s="61">
        <v>1096</v>
      </c>
      <c r="B481" s="67" t="s">
        <v>4461</v>
      </c>
      <c r="C481" s="65"/>
      <c r="D481" s="66">
        <v>102866</v>
      </c>
      <c r="E481" s="69"/>
      <c r="F481" s="65"/>
      <c r="G481" s="67" t="s">
        <v>4462</v>
      </c>
      <c r="H481" s="65"/>
      <c r="I481" s="64">
        <v>34402</v>
      </c>
      <c r="J481" s="65"/>
      <c r="K481" s="54">
        <v>1041</v>
      </c>
      <c r="L481" s="66">
        <v>1040</v>
      </c>
      <c r="M481" s="65"/>
      <c r="N481" s="70" t="s">
        <v>4463</v>
      </c>
      <c r="O481" s="65"/>
      <c r="P481" s="67" t="s">
        <v>4464</v>
      </c>
      <c r="Q481" s="65"/>
      <c r="R481" s="64">
        <v>34402</v>
      </c>
      <c r="S481" s="65"/>
      <c r="T481" s="67" t="s">
        <v>4465</v>
      </c>
      <c r="U481" s="65"/>
    </row>
    <row r="482" spans="1:21" ht="21" customHeight="1" x14ac:dyDescent="0.15">
      <c r="A482" s="60" t="s">
        <v>4466</v>
      </c>
      <c r="B482" s="72" t="s">
        <v>4467</v>
      </c>
      <c r="C482" s="65"/>
      <c r="D482" s="72" t="s">
        <v>4468</v>
      </c>
      <c r="E482" s="69"/>
      <c r="F482" s="65"/>
      <c r="G482" s="72" t="s">
        <v>4469</v>
      </c>
      <c r="H482" s="65"/>
      <c r="I482" s="72" t="s">
        <v>4470</v>
      </c>
      <c r="J482" s="65"/>
      <c r="K482" s="60" t="s">
        <v>4471</v>
      </c>
      <c r="L482" s="72" t="s">
        <v>4472</v>
      </c>
      <c r="M482" s="65"/>
      <c r="N482" s="72" t="s">
        <v>4473</v>
      </c>
      <c r="O482" s="65"/>
      <c r="P482" s="72" t="s">
        <v>4474</v>
      </c>
      <c r="Q482" s="65"/>
      <c r="R482" s="72" t="s">
        <v>4475</v>
      </c>
      <c r="S482" s="65"/>
      <c r="T482" s="72" t="s">
        <v>4476</v>
      </c>
      <c r="U482" s="65"/>
    </row>
    <row r="483" spans="1:21" ht="13.5" customHeight="1" x14ac:dyDescent="0.15">
      <c r="A483" s="68"/>
      <c r="B483" s="69"/>
      <c r="C483" s="69"/>
      <c r="D483" s="69"/>
      <c r="E483" s="69"/>
      <c r="F483" s="69"/>
      <c r="G483" s="69"/>
      <c r="H483" s="69"/>
      <c r="I483" s="69"/>
      <c r="J483" s="69"/>
      <c r="K483" s="69"/>
      <c r="L483" s="69"/>
      <c r="M483" s="69"/>
      <c r="N483" s="69"/>
      <c r="O483" s="65"/>
      <c r="P483" s="70" t="s">
        <v>4477</v>
      </c>
      <c r="Q483" s="65"/>
      <c r="R483" s="71">
        <v>34409</v>
      </c>
      <c r="S483" s="65"/>
      <c r="T483" s="70" t="s">
        <v>4478</v>
      </c>
      <c r="U483" s="65"/>
    </row>
    <row r="484" spans="1:21" ht="25.5" customHeight="1" x14ac:dyDescent="0.15">
      <c r="A484" s="61">
        <v>1097</v>
      </c>
      <c r="B484" s="67" t="s">
        <v>4479</v>
      </c>
      <c r="C484" s="65"/>
      <c r="D484" s="66">
        <v>2901</v>
      </c>
      <c r="E484" s="69"/>
      <c r="F484" s="65"/>
      <c r="G484" s="67" t="s">
        <v>4480</v>
      </c>
      <c r="H484" s="65"/>
      <c r="I484" s="64">
        <v>34408</v>
      </c>
      <c r="J484" s="65"/>
      <c r="K484" s="54">
        <v>1023</v>
      </c>
      <c r="L484" s="66">
        <v>1008</v>
      </c>
      <c r="M484" s="65"/>
      <c r="N484" s="73" t="s">
        <v>4481</v>
      </c>
      <c r="O484" s="65"/>
      <c r="P484" s="67" t="s">
        <v>4482</v>
      </c>
      <c r="Q484" s="65"/>
      <c r="R484" s="64">
        <v>34408</v>
      </c>
      <c r="S484" s="65"/>
      <c r="T484" s="67" t="s">
        <v>4483</v>
      </c>
      <c r="U484" s="65"/>
    </row>
    <row r="485" spans="1:21" ht="12.75" customHeight="1" x14ac:dyDescent="0.15">
      <c r="A485" s="68"/>
      <c r="B485" s="69"/>
      <c r="C485" s="69"/>
      <c r="D485" s="69"/>
      <c r="E485" s="69"/>
      <c r="F485" s="69"/>
      <c r="G485" s="69"/>
      <c r="H485" s="69"/>
      <c r="I485" s="69"/>
      <c r="J485" s="69"/>
      <c r="K485" s="69"/>
      <c r="L485" s="69"/>
      <c r="M485" s="69"/>
      <c r="N485" s="69"/>
      <c r="O485" s="65"/>
      <c r="P485" s="70" t="s">
        <v>4484</v>
      </c>
      <c r="Q485" s="65"/>
      <c r="R485" s="71">
        <v>41439</v>
      </c>
      <c r="S485" s="65"/>
      <c r="T485" s="70" t="s">
        <v>4485</v>
      </c>
      <c r="U485" s="65"/>
    </row>
    <row r="486" spans="1:21" ht="25.5" customHeight="1" x14ac:dyDescent="0.15">
      <c r="A486" s="61">
        <v>1098</v>
      </c>
      <c r="B486" s="67" t="s">
        <v>4486</v>
      </c>
      <c r="C486" s="65"/>
      <c r="D486" s="66">
        <v>599469</v>
      </c>
      <c r="E486" s="69"/>
      <c r="F486" s="65"/>
      <c r="G486" s="67" t="s">
        <v>4487</v>
      </c>
      <c r="H486" s="65"/>
      <c r="I486" s="64">
        <v>34411</v>
      </c>
      <c r="J486" s="65"/>
      <c r="K486" s="54">
        <v>1051</v>
      </c>
      <c r="L486" s="66">
        <v>1054</v>
      </c>
      <c r="M486" s="65"/>
      <c r="N486" s="70" t="s">
        <v>4488</v>
      </c>
      <c r="O486" s="65"/>
      <c r="P486" s="67" t="s">
        <v>4489</v>
      </c>
      <c r="Q486" s="65"/>
      <c r="R486" s="64">
        <v>34411</v>
      </c>
      <c r="S486" s="65"/>
      <c r="T486" s="67" t="s">
        <v>4490</v>
      </c>
      <c r="U486" s="65"/>
    </row>
    <row r="487" spans="1:21" ht="13.5" customHeight="1" x14ac:dyDescent="0.15">
      <c r="A487" s="68"/>
      <c r="B487" s="69"/>
      <c r="C487" s="69"/>
      <c r="D487" s="69"/>
      <c r="E487" s="69"/>
      <c r="F487" s="69"/>
      <c r="G487" s="69"/>
      <c r="H487" s="69"/>
      <c r="I487" s="69"/>
      <c r="J487" s="69"/>
      <c r="K487" s="69"/>
      <c r="L487" s="69"/>
      <c r="M487" s="69"/>
      <c r="N487" s="69"/>
      <c r="O487" s="65"/>
      <c r="P487" s="70" t="s">
        <v>4491</v>
      </c>
      <c r="Q487" s="65"/>
      <c r="R487" s="71">
        <v>36498</v>
      </c>
      <c r="S487" s="65"/>
      <c r="T487" s="70" t="s">
        <v>4492</v>
      </c>
      <c r="U487" s="65"/>
    </row>
    <row r="488" spans="1:21" ht="12.75" customHeight="1" x14ac:dyDescent="0.15">
      <c r="A488" s="68"/>
      <c r="B488" s="69"/>
      <c r="C488" s="69"/>
      <c r="D488" s="69"/>
      <c r="E488" s="69"/>
      <c r="F488" s="69"/>
      <c r="G488" s="69"/>
      <c r="H488" s="69"/>
      <c r="I488" s="69"/>
      <c r="J488" s="69"/>
      <c r="K488" s="69"/>
      <c r="L488" s="69"/>
      <c r="M488" s="69"/>
      <c r="N488" s="69"/>
      <c r="O488" s="65"/>
      <c r="P488" s="70" t="s">
        <v>4493</v>
      </c>
      <c r="Q488" s="65"/>
      <c r="R488" s="71">
        <v>39722</v>
      </c>
      <c r="S488" s="65"/>
      <c r="T488" s="70" t="s">
        <v>4494</v>
      </c>
      <c r="U488" s="65"/>
    </row>
    <row r="489" spans="1:21" ht="24.75" customHeight="1" x14ac:dyDescent="0.15">
      <c r="A489" s="61">
        <v>1099</v>
      </c>
      <c r="B489" s="67" t="s">
        <v>4495</v>
      </c>
      <c r="C489" s="65"/>
      <c r="D489" s="66">
        <v>17370</v>
      </c>
      <c r="E489" s="69"/>
      <c r="F489" s="65"/>
      <c r="G489" s="67" t="s">
        <v>4496</v>
      </c>
      <c r="H489" s="65"/>
      <c r="I489" s="64">
        <v>34411</v>
      </c>
      <c r="J489" s="65"/>
      <c r="K489" s="54">
        <v>1051</v>
      </c>
      <c r="L489" s="66">
        <v>1054</v>
      </c>
      <c r="M489" s="65"/>
      <c r="N489" s="70" t="s">
        <v>4497</v>
      </c>
      <c r="O489" s="65"/>
      <c r="P489" s="67" t="s">
        <v>4498</v>
      </c>
      <c r="Q489" s="65"/>
      <c r="R489" s="64">
        <v>34411</v>
      </c>
      <c r="S489" s="65"/>
      <c r="T489" s="67" t="s">
        <v>4499</v>
      </c>
      <c r="U489" s="65"/>
    </row>
    <row r="490" spans="1:21" ht="12.75" customHeight="1" x14ac:dyDescent="0.15">
      <c r="A490" s="68"/>
      <c r="B490" s="69"/>
      <c r="C490" s="69"/>
      <c r="D490" s="69"/>
      <c r="E490" s="69"/>
      <c r="F490" s="69"/>
      <c r="G490" s="69"/>
      <c r="H490" s="69"/>
      <c r="I490" s="69"/>
      <c r="J490" s="69"/>
      <c r="K490" s="69"/>
      <c r="L490" s="69"/>
      <c r="M490" s="69"/>
      <c r="N490" s="69"/>
      <c r="O490" s="65"/>
      <c r="P490" s="70" t="s">
        <v>4500</v>
      </c>
      <c r="Q490" s="65"/>
      <c r="R490" s="71">
        <v>35772</v>
      </c>
      <c r="S490" s="65"/>
      <c r="T490" s="70" t="s">
        <v>4501</v>
      </c>
      <c r="U490" s="65"/>
    </row>
    <row r="491" spans="1:21" ht="13.5" customHeight="1" x14ac:dyDescent="0.15">
      <c r="A491" s="68"/>
      <c r="B491" s="69"/>
      <c r="C491" s="69"/>
      <c r="D491" s="69"/>
      <c r="E491" s="69"/>
      <c r="F491" s="69"/>
      <c r="G491" s="69"/>
      <c r="H491" s="69"/>
      <c r="I491" s="69"/>
      <c r="J491" s="69"/>
      <c r="K491" s="69"/>
      <c r="L491" s="69"/>
      <c r="M491" s="69"/>
      <c r="N491" s="69"/>
      <c r="O491" s="65"/>
      <c r="P491" s="70" t="s">
        <v>4502</v>
      </c>
      <c r="Q491" s="65"/>
      <c r="R491" s="71">
        <v>38718</v>
      </c>
      <c r="S491" s="65"/>
      <c r="T491" s="70" t="s">
        <v>4503</v>
      </c>
      <c r="U491" s="65"/>
    </row>
    <row r="492" spans="1:21" ht="25.5" customHeight="1" x14ac:dyDescent="0.15">
      <c r="A492" s="61">
        <v>1100</v>
      </c>
      <c r="B492" s="67" t="s">
        <v>4504</v>
      </c>
      <c r="C492" s="65"/>
      <c r="D492" s="66">
        <v>2903</v>
      </c>
      <c r="E492" s="69"/>
      <c r="F492" s="65"/>
      <c r="G492" s="67" t="s">
        <v>4505</v>
      </c>
      <c r="H492" s="65"/>
      <c r="I492" s="64">
        <v>34435</v>
      </c>
      <c r="J492" s="65"/>
      <c r="K492" s="54">
        <v>1012</v>
      </c>
      <c r="L492" s="66">
        <v>1044</v>
      </c>
      <c r="M492" s="65"/>
      <c r="N492" s="73" t="s">
        <v>4506</v>
      </c>
      <c r="O492" s="65"/>
      <c r="P492" s="67" t="s">
        <v>4507</v>
      </c>
      <c r="Q492" s="65"/>
      <c r="R492" s="64">
        <v>34435</v>
      </c>
      <c r="S492" s="65"/>
      <c r="T492" s="67" t="s">
        <v>4508</v>
      </c>
      <c r="U492" s="65"/>
    </row>
    <row r="493" spans="1:21" ht="12.75" customHeight="1" x14ac:dyDescent="0.15">
      <c r="A493" s="68"/>
      <c r="B493" s="69"/>
      <c r="C493" s="69"/>
      <c r="D493" s="69"/>
      <c r="E493" s="69"/>
      <c r="F493" s="69"/>
      <c r="G493" s="69"/>
      <c r="H493" s="69"/>
      <c r="I493" s="69"/>
      <c r="J493" s="69"/>
      <c r="K493" s="69"/>
      <c r="L493" s="69"/>
      <c r="M493" s="69"/>
      <c r="N493" s="69"/>
      <c r="O493" s="65"/>
      <c r="P493" s="70" t="s">
        <v>4509</v>
      </c>
      <c r="Q493" s="65"/>
      <c r="R493" s="71">
        <v>34435</v>
      </c>
      <c r="S493" s="65"/>
      <c r="T493" s="70" t="s">
        <v>4510</v>
      </c>
      <c r="U493" s="65"/>
    </row>
    <row r="494" spans="1:21" ht="25.5" customHeight="1" x14ac:dyDescent="0.15">
      <c r="A494" s="61">
        <v>1101</v>
      </c>
      <c r="B494" s="67" t="s">
        <v>4511</v>
      </c>
      <c r="C494" s="65"/>
      <c r="D494" s="66">
        <v>2904</v>
      </c>
      <c r="E494" s="69"/>
      <c r="F494" s="65"/>
      <c r="G494" s="67" t="s">
        <v>4512</v>
      </c>
      <c r="H494" s="65"/>
      <c r="I494" s="64">
        <v>34435</v>
      </c>
      <c r="J494" s="65"/>
      <c r="K494" s="54">
        <v>1012</v>
      </c>
      <c r="L494" s="66">
        <v>1044</v>
      </c>
      <c r="M494" s="65"/>
      <c r="N494" s="70" t="s">
        <v>4513</v>
      </c>
      <c r="O494" s="65"/>
      <c r="P494" s="67" t="s">
        <v>4514</v>
      </c>
      <c r="Q494" s="65"/>
      <c r="R494" s="64">
        <v>34435</v>
      </c>
      <c r="S494" s="65"/>
      <c r="T494" s="67" t="s">
        <v>4515</v>
      </c>
      <c r="U494" s="65"/>
    </row>
    <row r="495" spans="1:21" ht="12.75" customHeight="1" x14ac:dyDescent="0.15">
      <c r="A495" s="68"/>
      <c r="B495" s="69"/>
      <c r="C495" s="69"/>
      <c r="D495" s="69"/>
      <c r="E495" s="69"/>
      <c r="F495" s="69"/>
      <c r="G495" s="69"/>
      <c r="H495" s="69"/>
      <c r="I495" s="69"/>
      <c r="J495" s="69"/>
      <c r="K495" s="69"/>
      <c r="L495" s="69"/>
      <c r="M495" s="69"/>
      <c r="N495" s="69"/>
      <c r="O495" s="65"/>
      <c r="P495" s="70" t="s">
        <v>4516</v>
      </c>
      <c r="Q495" s="65"/>
      <c r="R495" s="71">
        <v>34435</v>
      </c>
      <c r="S495" s="65"/>
      <c r="T495" s="70" t="s">
        <v>4517</v>
      </c>
      <c r="U495" s="65"/>
    </row>
    <row r="496" spans="1:21" ht="25.5" customHeight="1" x14ac:dyDescent="0.15">
      <c r="A496" s="61">
        <v>1102</v>
      </c>
      <c r="B496" s="67" t="s">
        <v>4518</v>
      </c>
      <c r="C496" s="65"/>
      <c r="D496" s="66">
        <v>950018</v>
      </c>
      <c r="E496" s="69"/>
      <c r="F496" s="65"/>
      <c r="G496" s="67" t="s">
        <v>4519</v>
      </c>
      <c r="H496" s="65"/>
      <c r="I496" s="64">
        <v>34741</v>
      </c>
      <c r="J496" s="65"/>
      <c r="K496" s="54">
        <v>1064</v>
      </c>
      <c r="L496" s="66">
        <v>1088</v>
      </c>
      <c r="M496" s="65"/>
      <c r="N496" s="70" t="s">
        <v>4520</v>
      </c>
      <c r="O496" s="65"/>
      <c r="P496" s="67" t="s">
        <v>4521</v>
      </c>
      <c r="Q496" s="65"/>
      <c r="R496" s="64">
        <v>34741</v>
      </c>
      <c r="S496" s="65"/>
      <c r="T496" s="67" t="s">
        <v>4522</v>
      </c>
      <c r="U496" s="65"/>
    </row>
    <row r="497" spans="1:21" ht="12.75" customHeight="1" x14ac:dyDescent="0.15">
      <c r="A497" s="68"/>
      <c r="B497" s="69"/>
      <c r="C497" s="69"/>
      <c r="D497" s="69"/>
      <c r="E497" s="69"/>
      <c r="F497" s="69"/>
      <c r="G497" s="69"/>
      <c r="H497" s="69"/>
      <c r="I497" s="69"/>
      <c r="J497" s="69"/>
      <c r="K497" s="69"/>
      <c r="L497" s="69"/>
      <c r="M497" s="69"/>
      <c r="N497" s="69"/>
      <c r="O497" s="65"/>
      <c r="P497" s="70" t="s">
        <v>4523</v>
      </c>
      <c r="Q497" s="65"/>
      <c r="R497" s="71">
        <v>39271</v>
      </c>
      <c r="S497" s="65"/>
      <c r="T497" s="70" t="s">
        <v>4524</v>
      </c>
      <c r="U497" s="65"/>
    </row>
    <row r="498" spans="1:21" ht="25.5" customHeight="1" x14ac:dyDescent="0.15">
      <c r="A498" s="61">
        <v>1103</v>
      </c>
      <c r="B498" s="67" t="s">
        <v>4525</v>
      </c>
      <c r="C498" s="65"/>
      <c r="D498" s="66">
        <v>2907</v>
      </c>
      <c r="E498" s="69"/>
      <c r="F498" s="65"/>
      <c r="G498" s="67" t="s">
        <v>4526</v>
      </c>
      <c r="H498" s="65"/>
      <c r="I498" s="64">
        <v>34745</v>
      </c>
      <c r="J498" s="65"/>
      <c r="K498" s="54">
        <v>1012</v>
      </c>
      <c r="L498" s="66">
        <v>1044</v>
      </c>
      <c r="M498" s="65"/>
      <c r="N498" s="73" t="s">
        <v>4527</v>
      </c>
      <c r="O498" s="65"/>
      <c r="P498" s="67" t="s">
        <v>4528</v>
      </c>
      <c r="Q498" s="65"/>
      <c r="R498" s="64">
        <v>34745</v>
      </c>
      <c r="S498" s="65"/>
      <c r="T498" s="67" t="s">
        <v>4529</v>
      </c>
      <c r="U498" s="65"/>
    </row>
    <row r="499" spans="1:21" ht="12.75" customHeight="1" x14ac:dyDescent="0.15">
      <c r="A499" s="68"/>
      <c r="B499" s="69"/>
      <c r="C499" s="69"/>
      <c r="D499" s="69"/>
      <c r="E499" s="69"/>
      <c r="F499" s="69"/>
      <c r="G499" s="69"/>
      <c r="H499" s="69"/>
      <c r="I499" s="69"/>
      <c r="J499" s="69"/>
      <c r="K499" s="69"/>
      <c r="L499" s="69"/>
      <c r="M499" s="69"/>
      <c r="N499" s="69"/>
      <c r="O499" s="65"/>
      <c r="P499" s="70" t="s">
        <v>4530</v>
      </c>
      <c r="Q499" s="65"/>
      <c r="R499" s="71">
        <v>40047</v>
      </c>
      <c r="S499" s="65"/>
      <c r="T499" s="70" t="s">
        <v>4531</v>
      </c>
      <c r="U499" s="65"/>
    </row>
    <row r="500" spans="1:21" ht="25.5" customHeight="1" x14ac:dyDescent="0.15">
      <c r="A500" s="61">
        <v>1104</v>
      </c>
      <c r="B500" s="67" t="s">
        <v>4532</v>
      </c>
      <c r="C500" s="65"/>
      <c r="D500" s="66">
        <v>202338</v>
      </c>
      <c r="E500" s="69"/>
      <c r="F500" s="65"/>
      <c r="G500" s="67" t="s">
        <v>4533</v>
      </c>
      <c r="H500" s="65"/>
      <c r="I500" s="64">
        <v>34745</v>
      </c>
      <c r="J500" s="65"/>
      <c r="K500" s="54">
        <v>1012</v>
      </c>
      <c r="L500" s="66">
        <v>1044</v>
      </c>
      <c r="M500" s="65"/>
      <c r="N500" s="70" t="s">
        <v>4534</v>
      </c>
      <c r="O500" s="65"/>
      <c r="P500" s="67" t="s">
        <v>4535</v>
      </c>
      <c r="Q500" s="65"/>
      <c r="R500" s="64">
        <v>34745</v>
      </c>
      <c r="S500" s="65"/>
      <c r="T500" s="67" t="s">
        <v>4536</v>
      </c>
      <c r="U500" s="65"/>
    </row>
    <row r="501" spans="1:21" ht="12.75" customHeight="1" x14ac:dyDescent="0.15">
      <c r="A501" s="68"/>
      <c r="B501" s="69"/>
      <c r="C501" s="69"/>
      <c r="D501" s="69"/>
      <c r="E501" s="69"/>
      <c r="F501" s="69"/>
      <c r="G501" s="69"/>
      <c r="H501" s="69"/>
      <c r="I501" s="69"/>
      <c r="J501" s="69"/>
      <c r="K501" s="69"/>
      <c r="L501" s="69"/>
      <c r="M501" s="69"/>
      <c r="N501" s="69"/>
      <c r="O501" s="65"/>
      <c r="P501" s="70" t="s">
        <v>4537</v>
      </c>
      <c r="Q501" s="65"/>
      <c r="R501" s="71">
        <v>35908</v>
      </c>
      <c r="S501" s="65"/>
      <c r="T501" s="70" t="s">
        <v>4538</v>
      </c>
      <c r="U501" s="65"/>
    </row>
    <row r="502" spans="1:21" ht="12.75" customHeight="1" x14ac:dyDescent="0.15">
      <c r="A502" s="68"/>
      <c r="B502" s="69"/>
      <c r="C502" s="69"/>
      <c r="D502" s="69"/>
      <c r="E502" s="69"/>
      <c r="F502" s="69"/>
      <c r="G502" s="69"/>
      <c r="H502" s="69"/>
      <c r="I502" s="69"/>
      <c r="J502" s="69"/>
      <c r="K502" s="69"/>
      <c r="L502" s="69"/>
      <c r="M502" s="69"/>
      <c r="N502" s="69"/>
      <c r="O502" s="65"/>
      <c r="P502" s="70" t="s">
        <v>4539</v>
      </c>
      <c r="Q502" s="65"/>
      <c r="R502" s="71">
        <v>39028</v>
      </c>
      <c r="S502" s="65"/>
      <c r="T502" s="70" t="s">
        <v>4540</v>
      </c>
      <c r="U502" s="65"/>
    </row>
    <row r="503" spans="1:21" ht="12.75" customHeight="1" x14ac:dyDescent="0.15">
      <c r="A503" s="68"/>
      <c r="B503" s="69"/>
      <c r="C503" s="69"/>
      <c r="D503" s="69"/>
      <c r="E503" s="69"/>
      <c r="F503" s="69"/>
      <c r="G503" s="69"/>
      <c r="H503" s="69"/>
      <c r="I503" s="69"/>
      <c r="J503" s="69"/>
      <c r="K503" s="69"/>
      <c r="L503" s="69"/>
      <c r="M503" s="69"/>
      <c r="N503" s="69"/>
      <c r="O503" s="65"/>
      <c r="P503" s="70" t="s">
        <v>4541</v>
      </c>
      <c r="Q503" s="65"/>
      <c r="R503" s="71">
        <v>40408</v>
      </c>
      <c r="S503" s="65"/>
      <c r="T503" s="70" t="s">
        <v>4542</v>
      </c>
      <c r="U503" s="65"/>
    </row>
    <row r="504" spans="1:21" ht="25.5" customHeight="1" x14ac:dyDescent="0.15">
      <c r="A504" s="61">
        <v>1105</v>
      </c>
      <c r="B504" s="67" t="s">
        <v>4543</v>
      </c>
      <c r="C504" s="65"/>
      <c r="D504" s="66">
        <v>595042</v>
      </c>
      <c r="E504" s="69"/>
      <c r="F504" s="65"/>
      <c r="G504" s="67" t="s">
        <v>4544</v>
      </c>
      <c r="H504" s="65"/>
      <c r="I504" s="64">
        <v>34752</v>
      </c>
      <c r="J504" s="65"/>
      <c r="K504" s="54">
        <v>1057</v>
      </c>
      <c r="L504" s="66">
        <v>1060</v>
      </c>
      <c r="M504" s="65"/>
      <c r="N504" s="70" t="s">
        <v>4545</v>
      </c>
      <c r="O504" s="65"/>
      <c r="P504" s="67" t="s">
        <v>4546</v>
      </c>
      <c r="Q504" s="65"/>
      <c r="R504" s="64">
        <v>34752</v>
      </c>
      <c r="S504" s="65"/>
      <c r="T504" s="67" t="s">
        <v>4547</v>
      </c>
      <c r="U504" s="65"/>
    </row>
    <row r="505" spans="1:21" ht="12.75" customHeight="1" x14ac:dyDescent="0.15">
      <c r="A505" s="68"/>
      <c r="B505" s="69"/>
      <c r="C505" s="69"/>
      <c r="D505" s="69"/>
      <c r="E505" s="69"/>
      <c r="F505" s="69"/>
      <c r="G505" s="69"/>
      <c r="H505" s="69"/>
      <c r="I505" s="69"/>
      <c r="J505" s="69"/>
      <c r="K505" s="69"/>
      <c r="L505" s="69"/>
      <c r="M505" s="69"/>
      <c r="N505" s="69"/>
      <c r="O505" s="65"/>
      <c r="P505" s="70" t="s">
        <v>4548</v>
      </c>
      <c r="Q505" s="65"/>
      <c r="R505" s="71">
        <v>41814</v>
      </c>
      <c r="S505" s="65"/>
      <c r="T505" s="70" t="s">
        <v>4549</v>
      </c>
      <c r="U505" s="65"/>
    </row>
    <row r="506" spans="1:21" ht="24.75" customHeight="1" x14ac:dyDescent="0.15">
      <c r="A506" s="61">
        <v>1106</v>
      </c>
      <c r="B506" s="67" t="s">
        <v>4550</v>
      </c>
      <c r="C506" s="65"/>
      <c r="D506" s="66">
        <v>16671</v>
      </c>
      <c r="E506" s="69"/>
      <c r="F506" s="65"/>
      <c r="G506" s="67" t="s">
        <v>4551</v>
      </c>
      <c r="H506" s="65"/>
      <c r="I506" s="64">
        <v>34753</v>
      </c>
      <c r="J506" s="65"/>
      <c r="K506" s="54">
        <v>1041</v>
      </c>
      <c r="L506" s="66">
        <v>1040</v>
      </c>
      <c r="M506" s="65"/>
      <c r="N506" s="70" t="s">
        <v>4552</v>
      </c>
      <c r="O506" s="65"/>
      <c r="P506" s="67" t="s">
        <v>4553</v>
      </c>
      <c r="Q506" s="65"/>
      <c r="R506" s="64">
        <v>34753</v>
      </c>
      <c r="S506" s="65"/>
      <c r="T506" s="67" t="s">
        <v>4554</v>
      </c>
      <c r="U506" s="65"/>
    </row>
    <row r="507" spans="1:21" ht="12.75" customHeight="1" x14ac:dyDescent="0.15">
      <c r="A507" s="68"/>
      <c r="B507" s="69"/>
      <c r="C507" s="69"/>
      <c r="D507" s="69"/>
      <c r="E507" s="69"/>
      <c r="F507" s="69"/>
      <c r="G507" s="69"/>
      <c r="H507" s="69"/>
      <c r="I507" s="69"/>
      <c r="J507" s="69"/>
      <c r="K507" s="69"/>
      <c r="L507" s="69"/>
      <c r="M507" s="69"/>
      <c r="N507" s="69"/>
      <c r="O507" s="65"/>
      <c r="P507" s="70" t="s">
        <v>4555</v>
      </c>
      <c r="Q507" s="65"/>
      <c r="R507" s="71">
        <v>35493</v>
      </c>
      <c r="S507" s="65"/>
      <c r="T507" s="70" t="s">
        <v>4556</v>
      </c>
      <c r="U507" s="65"/>
    </row>
    <row r="508" spans="1:21" ht="13.5" customHeight="1" x14ac:dyDescent="0.15">
      <c r="A508" s="68"/>
      <c r="B508" s="69"/>
      <c r="C508" s="69"/>
      <c r="D508" s="69"/>
      <c r="E508" s="69"/>
      <c r="F508" s="69"/>
      <c r="G508" s="69"/>
      <c r="H508" s="69"/>
      <c r="I508" s="69"/>
      <c r="J508" s="69"/>
      <c r="K508" s="69"/>
      <c r="L508" s="69"/>
      <c r="M508" s="69"/>
      <c r="N508" s="69"/>
      <c r="O508" s="65"/>
      <c r="P508" s="70" t="s">
        <v>4557</v>
      </c>
      <c r="Q508" s="65"/>
      <c r="R508" s="71">
        <v>38504</v>
      </c>
      <c r="S508" s="65"/>
      <c r="T508" s="70" t="s">
        <v>4558</v>
      </c>
      <c r="U508" s="65"/>
    </row>
    <row r="509" spans="1:21" ht="25.5" customHeight="1" x14ac:dyDescent="0.15">
      <c r="A509" s="61">
        <v>1107</v>
      </c>
      <c r="B509" s="67" t="s">
        <v>4559</v>
      </c>
      <c r="C509" s="65"/>
      <c r="D509" s="66">
        <v>970083</v>
      </c>
      <c r="E509" s="69"/>
      <c r="F509" s="65"/>
      <c r="G509" s="67" t="s">
        <v>4560</v>
      </c>
      <c r="H509" s="65"/>
      <c r="I509" s="64">
        <v>34753</v>
      </c>
      <c r="J509" s="65"/>
      <c r="K509" s="54">
        <v>1041</v>
      </c>
      <c r="L509" s="66">
        <v>1040</v>
      </c>
      <c r="M509" s="65"/>
      <c r="N509" s="73" t="s">
        <v>4561</v>
      </c>
      <c r="O509" s="65"/>
      <c r="P509" s="67" t="s">
        <v>4562</v>
      </c>
      <c r="Q509" s="65"/>
      <c r="R509" s="64">
        <v>34753</v>
      </c>
      <c r="S509" s="65"/>
      <c r="T509" s="67" t="s">
        <v>4563</v>
      </c>
      <c r="U509" s="65"/>
    </row>
    <row r="510" spans="1:21" ht="12.75" customHeight="1" x14ac:dyDescent="0.15">
      <c r="A510" s="68"/>
      <c r="B510" s="69"/>
      <c r="C510" s="69"/>
      <c r="D510" s="69"/>
      <c r="E510" s="69"/>
      <c r="F510" s="69"/>
      <c r="G510" s="69"/>
      <c r="H510" s="69"/>
      <c r="I510" s="69"/>
      <c r="J510" s="69"/>
      <c r="K510" s="69"/>
      <c r="L510" s="69"/>
      <c r="M510" s="69"/>
      <c r="N510" s="69"/>
      <c r="O510" s="65"/>
      <c r="P510" s="70" t="s">
        <v>4564</v>
      </c>
      <c r="Q510" s="65"/>
      <c r="R510" s="71">
        <v>35481</v>
      </c>
      <c r="S510" s="65"/>
      <c r="T510" s="70" t="s">
        <v>4565</v>
      </c>
      <c r="U510" s="65"/>
    </row>
    <row r="511" spans="1:21" ht="12.75" customHeight="1" x14ac:dyDescent="0.15">
      <c r="A511" s="68"/>
      <c r="B511" s="69"/>
      <c r="C511" s="69"/>
      <c r="D511" s="69"/>
      <c r="E511" s="69"/>
      <c r="F511" s="69"/>
      <c r="G511" s="69"/>
      <c r="H511" s="69"/>
      <c r="I511" s="69"/>
      <c r="J511" s="69"/>
      <c r="K511" s="69"/>
      <c r="L511" s="69"/>
      <c r="M511" s="69"/>
      <c r="N511" s="69"/>
      <c r="O511" s="65"/>
      <c r="P511" s="70" t="s">
        <v>4566</v>
      </c>
      <c r="Q511" s="65"/>
      <c r="R511" s="71">
        <v>35523</v>
      </c>
      <c r="S511" s="65"/>
      <c r="T511" s="70" t="s">
        <v>4567</v>
      </c>
      <c r="U511" s="65"/>
    </row>
    <row r="512" spans="1:21" ht="13.5" customHeight="1" x14ac:dyDescent="0.15">
      <c r="A512" s="68"/>
      <c r="B512" s="69"/>
      <c r="C512" s="69"/>
      <c r="D512" s="69"/>
      <c r="E512" s="69"/>
      <c r="F512" s="69"/>
      <c r="G512" s="69"/>
      <c r="H512" s="69"/>
      <c r="I512" s="69"/>
      <c r="J512" s="69"/>
      <c r="K512" s="69"/>
      <c r="L512" s="69"/>
      <c r="M512" s="69"/>
      <c r="N512" s="69"/>
      <c r="O512" s="65"/>
      <c r="P512" s="70" t="s">
        <v>4568</v>
      </c>
      <c r="Q512" s="65"/>
      <c r="R512" s="71">
        <v>38140</v>
      </c>
      <c r="S512" s="65"/>
      <c r="T512" s="70" t="s">
        <v>4569</v>
      </c>
      <c r="U512" s="65"/>
    </row>
    <row r="513" spans="1:21" ht="21" customHeight="1" x14ac:dyDescent="0.15">
      <c r="A513" s="60" t="s">
        <v>4570</v>
      </c>
      <c r="B513" s="72" t="s">
        <v>4571</v>
      </c>
      <c r="C513" s="65"/>
      <c r="D513" s="72" t="s">
        <v>4572</v>
      </c>
      <c r="E513" s="69"/>
      <c r="F513" s="65"/>
      <c r="G513" s="72" t="s">
        <v>4573</v>
      </c>
      <c r="H513" s="65"/>
      <c r="I513" s="72" t="s">
        <v>4574</v>
      </c>
      <c r="J513" s="65"/>
      <c r="K513" s="60" t="s">
        <v>4575</v>
      </c>
      <c r="L513" s="72" t="s">
        <v>4576</v>
      </c>
      <c r="M513" s="65"/>
      <c r="N513" s="72" t="s">
        <v>4577</v>
      </c>
      <c r="O513" s="65"/>
      <c r="P513" s="72" t="s">
        <v>4578</v>
      </c>
      <c r="Q513" s="65"/>
      <c r="R513" s="72" t="s">
        <v>4579</v>
      </c>
      <c r="S513" s="65"/>
      <c r="T513" s="72" t="s">
        <v>4580</v>
      </c>
      <c r="U513" s="65"/>
    </row>
    <row r="514" spans="1:21" ht="25.5" customHeight="1" x14ac:dyDescent="0.15">
      <c r="A514" s="61">
        <v>1108</v>
      </c>
      <c r="B514" s="67" t="s">
        <v>4581</v>
      </c>
      <c r="C514" s="65"/>
      <c r="D514" s="66">
        <v>595052</v>
      </c>
      <c r="E514" s="69"/>
      <c r="F514" s="65"/>
      <c r="G514" s="67" t="s">
        <v>4582</v>
      </c>
      <c r="H514" s="65"/>
      <c r="I514" s="64">
        <v>34756</v>
      </c>
      <c r="J514" s="65"/>
      <c r="K514" s="54">
        <v>1017</v>
      </c>
      <c r="L514" s="66">
        <v>1019</v>
      </c>
      <c r="M514" s="65"/>
      <c r="N514" s="70" t="s">
        <v>4583</v>
      </c>
      <c r="O514" s="65"/>
      <c r="P514" s="67" t="s">
        <v>4584</v>
      </c>
      <c r="Q514" s="65"/>
      <c r="R514" s="64">
        <v>34756</v>
      </c>
      <c r="S514" s="65"/>
      <c r="T514" s="67" t="s">
        <v>4585</v>
      </c>
      <c r="U514" s="65"/>
    </row>
    <row r="515" spans="1:21" ht="12.75" customHeight="1" x14ac:dyDescent="0.15">
      <c r="A515" s="68"/>
      <c r="B515" s="69"/>
      <c r="C515" s="69"/>
      <c r="D515" s="69"/>
      <c r="E515" s="69"/>
      <c r="F515" s="69"/>
      <c r="G515" s="69"/>
      <c r="H515" s="69"/>
      <c r="I515" s="69"/>
      <c r="J515" s="69"/>
      <c r="K515" s="69"/>
      <c r="L515" s="69"/>
      <c r="M515" s="69"/>
      <c r="N515" s="69"/>
      <c r="O515" s="65"/>
      <c r="P515" s="70" t="s">
        <v>4586</v>
      </c>
      <c r="Q515" s="65"/>
      <c r="R515" s="71">
        <v>41800</v>
      </c>
      <c r="S515" s="65"/>
      <c r="T515" s="70" t="s">
        <v>4587</v>
      </c>
      <c r="U515" s="65"/>
    </row>
    <row r="516" spans="1:21" ht="24.75" customHeight="1" x14ac:dyDescent="0.15">
      <c r="A516" s="61">
        <v>1109</v>
      </c>
      <c r="B516" s="67" t="s">
        <v>4588</v>
      </c>
      <c r="C516" s="65"/>
      <c r="D516" s="66">
        <v>950045</v>
      </c>
      <c r="E516" s="69"/>
      <c r="F516" s="65"/>
      <c r="G516" s="67" t="s">
        <v>4589</v>
      </c>
      <c r="H516" s="65"/>
      <c r="I516" s="64">
        <v>34784</v>
      </c>
      <c r="J516" s="65"/>
      <c r="K516" s="54">
        <v>1051</v>
      </c>
      <c r="L516" s="66">
        <v>1054</v>
      </c>
      <c r="M516" s="65"/>
      <c r="N516" s="70" t="s">
        <v>4590</v>
      </c>
      <c r="O516" s="65"/>
      <c r="P516" s="67" t="s">
        <v>4591</v>
      </c>
      <c r="Q516" s="65"/>
      <c r="R516" s="64">
        <v>34784</v>
      </c>
      <c r="S516" s="65"/>
      <c r="T516" s="67" t="s">
        <v>4592</v>
      </c>
      <c r="U516" s="65"/>
    </row>
    <row r="517" spans="1:21" ht="12.75" customHeight="1" x14ac:dyDescent="0.15">
      <c r="A517" s="68"/>
      <c r="B517" s="69"/>
      <c r="C517" s="69"/>
      <c r="D517" s="69"/>
      <c r="E517" s="69"/>
      <c r="F517" s="69"/>
      <c r="G517" s="69"/>
      <c r="H517" s="69"/>
      <c r="I517" s="69"/>
      <c r="J517" s="69"/>
      <c r="K517" s="69"/>
      <c r="L517" s="69"/>
      <c r="M517" s="69"/>
      <c r="N517" s="69"/>
      <c r="O517" s="65"/>
      <c r="P517" s="70" t="s">
        <v>4593</v>
      </c>
      <c r="Q517" s="65"/>
      <c r="R517" s="71">
        <v>35861</v>
      </c>
      <c r="S517" s="65"/>
      <c r="T517" s="70" t="s">
        <v>4594</v>
      </c>
      <c r="U517" s="65"/>
    </row>
    <row r="518" spans="1:21" ht="25.5" customHeight="1" x14ac:dyDescent="0.15">
      <c r="A518" s="61">
        <v>1110</v>
      </c>
      <c r="B518" s="67" t="s">
        <v>4595</v>
      </c>
      <c r="C518" s="65"/>
      <c r="D518" s="66">
        <v>950046</v>
      </c>
      <c r="E518" s="69"/>
      <c r="F518" s="65"/>
      <c r="G518" s="67" t="s">
        <v>4596</v>
      </c>
      <c r="H518" s="65"/>
      <c r="I518" s="64">
        <v>34784</v>
      </c>
      <c r="J518" s="65"/>
      <c r="K518" s="54">
        <v>1051</v>
      </c>
      <c r="L518" s="66">
        <v>1054</v>
      </c>
      <c r="M518" s="65"/>
      <c r="N518" s="70" t="s">
        <v>4597</v>
      </c>
      <c r="O518" s="65"/>
      <c r="P518" s="67" t="s">
        <v>4598</v>
      </c>
      <c r="Q518" s="65"/>
      <c r="R518" s="64">
        <v>34784</v>
      </c>
      <c r="S518" s="65"/>
      <c r="T518" s="67" t="s">
        <v>4599</v>
      </c>
      <c r="U518" s="65"/>
    </row>
    <row r="519" spans="1:21" ht="13.5" customHeight="1" x14ac:dyDescent="0.15">
      <c r="A519" s="68"/>
      <c r="B519" s="69"/>
      <c r="C519" s="69"/>
      <c r="D519" s="69"/>
      <c r="E519" s="69"/>
      <c r="F519" s="69"/>
      <c r="G519" s="69"/>
      <c r="H519" s="69"/>
      <c r="I519" s="69"/>
      <c r="J519" s="69"/>
      <c r="K519" s="69"/>
      <c r="L519" s="69"/>
      <c r="M519" s="69"/>
      <c r="N519" s="69"/>
      <c r="O519" s="65"/>
      <c r="P519" s="70" t="s">
        <v>4600</v>
      </c>
      <c r="Q519" s="65"/>
      <c r="R519" s="71">
        <v>34784</v>
      </c>
      <c r="S519" s="65"/>
      <c r="T519" s="70" t="s">
        <v>4601</v>
      </c>
      <c r="U519" s="65"/>
    </row>
    <row r="520" spans="1:21" ht="12.75" customHeight="1" x14ac:dyDescent="0.15">
      <c r="A520" s="61">
        <v>1113</v>
      </c>
      <c r="B520" s="70" t="s">
        <v>4602</v>
      </c>
      <c r="C520" s="65"/>
      <c r="D520" s="76">
        <v>595444</v>
      </c>
      <c r="E520" s="69"/>
      <c r="F520" s="65"/>
      <c r="G520" s="70" t="s">
        <v>4603</v>
      </c>
      <c r="H520" s="65"/>
      <c r="I520" s="70" t="s">
        <v>4604</v>
      </c>
      <c r="J520" s="65"/>
      <c r="K520" s="56" t="s">
        <v>4605</v>
      </c>
      <c r="L520" s="70" t="s">
        <v>4606</v>
      </c>
      <c r="M520" s="65"/>
      <c r="N520" s="70" t="s">
        <v>4607</v>
      </c>
      <c r="O520" s="65"/>
      <c r="P520" s="70" t="s">
        <v>4608</v>
      </c>
      <c r="Q520" s="65"/>
      <c r="R520" s="70" t="s">
        <v>4609</v>
      </c>
      <c r="S520" s="65"/>
      <c r="T520" s="70" t="s">
        <v>4610</v>
      </c>
      <c r="U520" s="65"/>
    </row>
    <row r="521" spans="1:21" ht="12.75" customHeight="1" x14ac:dyDescent="0.15">
      <c r="A521" s="68"/>
      <c r="B521" s="69"/>
      <c r="C521" s="69"/>
      <c r="D521" s="69"/>
      <c r="E521" s="69"/>
      <c r="F521" s="69"/>
      <c r="G521" s="69"/>
      <c r="H521" s="69"/>
      <c r="I521" s="69"/>
      <c r="J521" s="69"/>
      <c r="K521" s="69"/>
      <c r="L521" s="69"/>
      <c r="M521" s="69"/>
      <c r="N521" s="69"/>
      <c r="O521" s="65"/>
      <c r="P521" s="70" t="s">
        <v>4611</v>
      </c>
      <c r="Q521" s="65"/>
      <c r="R521" s="70" t="s">
        <v>4612</v>
      </c>
      <c r="S521" s="65"/>
      <c r="T521" s="70" t="s">
        <v>4613</v>
      </c>
      <c r="U521" s="65"/>
    </row>
    <row r="522" spans="1:21" ht="13.5" customHeight="1" x14ac:dyDescent="0.15">
      <c r="A522" s="68"/>
      <c r="B522" s="69"/>
      <c r="C522" s="69"/>
      <c r="D522" s="69"/>
      <c r="E522" s="69"/>
      <c r="F522" s="69"/>
      <c r="G522" s="69"/>
      <c r="H522" s="69"/>
      <c r="I522" s="69"/>
      <c r="J522" s="69"/>
      <c r="K522" s="69"/>
      <c r="L522" s="69"/>
      <c r="M522" s="69"/>
      <c r="N522" s="69"/>
      <c r="O522" s="65"/>
      <c r="P522" s="70" t="s">
        <v>4614</v>
      </c>
      <c r="Q522" s="65"/>
      <c r="R522" s="70" t="s">
        <v>4615</v>
      </c>
      <c r="S522" s="65"/>
      <c r="T522" s="70" t="s">
        <v>4616</v>
      </c>
      <c r="U522" s="65"/>
    </row>
    <row r="523" spans="1:21" ht="12.75" customHeight="1" x14ac:dyDescent="0.15">
      <c r="A523" s="68"/>
      <c r="B523" s="69"/>
      <c r="C523" s="69"/>
      <c r="D523" s="69"/>
      <c r="E523" s="69"/>
      <c r="F523" s="69"/>
      <c r="G523" s="69"/>
      <c r="H523" s="69"/>
      <c r="I523" s="69"/>
      <c r="J523" s="69"/>
      <c r="K523" s="69"/>
      <c r="L523" s="69"/>
      <c r="M523" s="69"/>
      <c r="N523" s="69"/>
      <c r="O523" s="65"/>
      <c r="P523" s="70" t="s">
        <v>4617</v>
      </c>
      <c r="Q523" s="65"/>
      <c r="R523" s="71">
        <v>34785</v>
      </c>
      <c r="S523" s="65"/>
      <c r="T523" s="70" t="s">
        <v>4618</v>
      </c>
      <c r="U523" s="65"/>
    </row>
    <row r="524" spans="1:21" ht="12.75" customHeight="1" x14ac:dyDescent="0.15">
      <c r="A524" s="68"/>
      <c r="B524" s="69"/>
      <c r="C524" s="69"/>
      <c r="D524" s="69"/>
      <c r="E524" s="69"/>
      <c r="F524" s="69"/>
      <c r="G524" s="69"/>
      <c r="H524" s="69"/>
      <c r="I524" s="69"/>
      <c r="J524" s="69"/>
      <c r="K524" s="69"/>
      <c r="L524" s="69"/>
      <c r="M524" s="69"/>
      <c r="N524" s="69"/>
      <c r="O524" s="65"/>
      <c r="P524" s="70" t="s">
        <v>4619</v>
      </c>
      <c r="Q524" s="65"/>
      <c r="R524" s="71">
        <v>35005</v>
      </c>
      <c r="S524" s="65"/>
      <c r="T524" s="70" t="s">
        <v>4620</v>
      </c>
      <c r="U524" s="65"/>
    </row>
    <row r="525" spans="1:21" ht="12.75" customHeight="1" x14ac:dyDescent="0.15">
      <c r="A525" s="68"/>
      <c r="B525" s="69"/>
      <c r="C525" s="69"/>
      <c r="D525" s="69"/>
      <c r="E525" s="69"/>
      <c r="F525" s="69"/>
      <c r="G525" s="69"/>
      <c r="H525" s="69"/>
      <c r="I525" s="69"/>
      <c r="J525" s="69"/>
      <c r="K525" s="69"/>
      <c r="L525" s="69"/>
      <c r="M525" s="69"/>
      <c r="N525" s="69"/>
      <c r="O525" s="65"/>
      <c r="P525" s="70" t="s">
        <v>4621</v>
      </c>
      <c r="Q525" s="65"/>
      <c r="R525" s="71">
        <v>40604</v>
      </c>
      <c r="S525" s="65"/>
      <c r="T525" s="70" t="s">
        <v>4622</v>
      </c>
      <c r="U525" s="65"/>
    </row>
    <row r="526" spans="1:21" ht="13.5" customHeight="1" x14ac:dyDescent="0.15">
      <c r="A526" s="61">
        <v>1114</v>
      </c>
      <c r="B526" s="70" t="s">
        <v>4623</v>
      </c>
      <c r="C526" s="65"/>
      <c r="D526" s="68"/>
      <c r="E526" s="69"/>
      <c r="F526" s="65"/>
      <c r="G526" s="70" t="s">
        <v>4624</v>
      </c>
      <c r="H526" s="65"/>
      <c r="I526" s="70" t="s">
        <v>4625</v>
      </c>
      <c r="J526" s="65"/>
      <c r="K526" s="56" t="s">
        <v>4626</v>
      </c>
      <c r="L526" s="70" t="s">
        <v>4627</v>
      </c>
      <c r="M526" s="65"/>
      <c r="N526" s="70" t="s">
        <v>4628</v>
      </c>
      <c r="O526" s="65"/>
      <c r="P526" s="70" t="s">
        <v>4629</v>
      </c>
      <c r="Q526" s="65"/>
      <c r="R526" s="70" t="s">
        <v>4630</v>
      </c>
      <c r="S526" s="65"/>
      <c r="T526" s="70" t="s">
        <v>4631</v>
      </c>
      <c r="U526" s="65"/>
    </row>
    <row r="527" spans="1:21" ht="12.75" customHeight="1" x14ac:dyDescent="0.15">
      <c r="A527" s="78"/>
      <c r="B527" s="79"/>
      <c r="C527" s="79"/>
      <c r="D527" s="79"/>
      <c r="E527" s="79"/>
      <c r="F527" s="79"/>
      <c r="G527" s="79"/>
      <c r="H527" s="79"/>
      <c r="I527" s="79"/>
      <c r="J527" s="79"/>
      <c r="K527" s="79"/>
      <c r="L527" s="79"/>
      <c r="M527" s="79"/>
      <c r="N527" s="79"/>
      <c r="O527" s="80"/>
      <c r="P527" s="70" t="s">
        <v>4632</v>
      </c>
      <c r="Q527" s="65"/>
      <c r="R527" s="70" t="s">
        <v>4633</v>
      </c>
      <c r="S527" s="65"/>
      <c r="T527" s="70" t="s">
        <v>4634</v>
      </c>
      <c r="U527" s="65"/>
    </row>
    <row r="528" spans="1:21" ht="12.75" customHeight="1" x14ac:dyDescent="0.15">
      <c r="A528" s="68"/>
      <c r="B528" s="69"/>
      <c r="C528" s="69"/>
      <c r="D528" s="69"/>
      <c r="E528" s="69"/>
      <c r="F528" s="69"/>
      <c r="G528" s="69"/>
      <c r="H528" s="69"/>
      <c r="I528" s="69"/>
      <c r="J528" s="69"/>
      <c r="K528" s="69"/>
      <c r="L528" s="69"/>
      <c r="M528" s="69"/>
      <c r="N528" s="69"/>
      <c r="O528" s="65"/>
      <c r="P528" s="70" t="s">
        <v>4635</v>
      </c>
      <c r="Q528" s="65"/>
      <c r="R528" s="70" t="s">
        <v>4636</v>
      </c>
      <c r="S528" s="65"/>
      <c r="T528" s="70" t="s">
        <v>4637</v>
      </c>
      <c r="U528" s="65"/>
    </row>
    <row r="529" spans="1:21" ht="12.75" customHeight="1" x14ac:dyDescent="0.15">
      <c r="A529" s="68"/>
      <c r="B529" s="69"/>
      <c r="C529" s="69"/>
      <c r="D529" s="69"/>
      <c r="E529" s="69"/>
      <c r="F529" s="69"/>
      <c r="G529" s="69"/>
      <c r="H529" s="69"/>
      <c r="I529" s="69"/>
      <c r="J529" s="69"/>
      <c r="K529" s="69"/>
      <c r="L529" s="69"/>
      <c r="M529" s="69"/>
      <c r="N529" s="69"/>
      <c r="O529" s="65"/>
      <c r="P529" s="70" t="s">
        <v>4638</v>
      </c>
      <c r="Q529" s="65"/>
      <c r="R529" s="71">
        <v>34856</v>
      </c>
      <c r="S529" s="65"/>
      <c r="T529" s="70" t="s">
        <v>4639</v>
      </c>
      <c r="U529" s="65"/>
    </row>
    <row r="530" spans="1:21" ht="13.5" customHeight="1" x14ac:dyDescent="0.15">
      <c r="A530" s="68"/>
      <c r="B530" s="69"/>
      <c r="C530" s="69"/>
      <c r="D530" s="69"/>
      <c r="E530" s="69"/>
      <c r="F530" s="69"/>
      <c r="G530" s="69"/>
      <c r="H530" s="69"/>
      <c r="I530" s="69"/>
      <c r="J530" s="69"/>
      <c r="K530" s="69"/>
      <c r="L530" s="69"/>
      <c r="M530" s="69"/>
      <c r="N530" s="69"/>
      <c r="O530" s="65"/>
      <c r="P530" s="70" t="s">
        <v>4640</v>
      </c>
      <c r="Q530" s="65"/>
      <c r="R530" s="71">
        <v>36545</v>
      </c>
      <c r="S530" s="65"/>
      <c r="T530" s="70" t="s">
        <v>4641</v>
      </c>
      <c r="U530" s="65"/>
    </row>
    <row r="531" spans="1:21" ht="25.5" customHeight="1" x14ac:dyDescent="0.15">
      <c r="A531" s="61">
        <v>1115</v>
      </c>
      <c r="B531" s="67" t="s">
        <v>4642</v>
      </c>
      <c r="C531" s="65"/>
      <c r="D531" s="66">
        <v>111009</v>
      </c>
      <c r="E531" s="69"/>
      <c r="F531" s="65"/>
      <c r="G531" s="67" t="s">
        <v>4643</v>
      </c>
      <c r="H531" s="65"/>
      <c r="I531" s="64">
        <v>35069</v>
      </c>
      <c r="J531" s="65"/>
      <c r="K531" s="54">
        <v>1064</v>
      </c>
      <c r="L531" s="66">
        <v>1088</v>
      </c>
      <c r="M531" s="65"/>
      <c r="N531" s="73" t="s">
        <v>4644</v>
      </c>
      <c r="O531" s="65"/>
      <c r="P531" s="67" t="s">
        <v>4645</v>
      </c>
      <c r="Q531" s="65"/>
      <c r="R531" s="64">
        <v>35069</v>
      </c>
      <c r="S531" s="65"/>
      <c r="T531" s="67" t="s">
        <v>4646</v>
      </c>
      <c r="U531" s="65"/>
    </row>
    <row r="532" spans="1:21" ht="12.75" customHeight="1" x14ac:dyDescent="0.15">
      <c r="A532" s="68"/>
      <c r="B532" s="69"/>
      <c r="C532" s="69"/>
      <c r="D532" s="69"/>
      <c r="E532" s="69"/>
      <c r="F532" s="69"/>
      <c r="G532" s="69"/>
      <c r="H532" s="69"/>
      <c r="I532" s="69"/>
      <c r="J532" s="69"/>
      <c r="K532" s="69"/>
      <c r="L532" s="69"/>
      <c r="M532" s="69"/>
      <c r="N532" s="69"/>
      <c r="O532" s="65"/>
      <c r="P532" s="70" t="s">
        <v>4647</v>
      </c>
      <c r="Q532" s="65"/>
      <c r="R532" s="71">
        <v>35908</v>
      </c>
      <c r="S532" s="65"/>
      <c r="T532" s="70" t="s">
        <v>4648</v>
      </c>
      <c r="U532" s="65"/>
    </row>
    <row r="533" spans="1:21" ht="12.75" customHeight="1" x14ac:dyDescent="0.15">
      <c r="A533" s="68"/>
      <c r="B533" s="69"/>
      <c r="C533" s="69"/>
      <c r="D533" s="69"/>
      <c r="E533" s="69"/>
      <c r="F533" s="69"/>
      <c r="G533" s="69"/>
      <c r="H533" s="69"/>
      <c r="I533" s="69"/>
      <c r="J533" s="69"/>
      <c r="K533" s="69"/>
      <c r="L533" s="69"/>
      <c r="M533" s="69"/>
      <c r="N533" s="69"/>
      <c r="O533" s="65"/>
      <c r="P533" s="70" t="s">
        <v>4649</v>
      </c>
      <c r="Q533" s="65"/>
      <c r="R533" s="71">
        <v>39738</v>
      </c>
      <c r="S533" s="65"/>
      <c r="T533" s="70" t="s">
        <v>4650</v>
      </c>
      <c r="U533" s="65"/>
    </row>
    <row r="534" spans="1:21" ht="13.5" customHeight="1" x14ac:dyDescent="0.15">
      <c r="A534" s="68"/>
      <c r="B534" s="69"/>
      <c r="C534" s="69"/>
      <c r="D534" s="69"/>
      <c r="E534" s="69"/>
      <c r="F534" s="69"/>
      <c r="G534" s="69"/>
      <c r="H534" s="69"/>
      <c r="I534" s="69"/>
      <c r="J534" s="69"/>
      <c r="K534" s="69"/>
      <c r="L534" s="69"/>
      <c r="M534" s="69"/>
      <c r="N534" s="69"/>
      <c r="O534" s="65"/>
      <c r="P534" s="70" t="s">
        <v>4651</v>
      </c>
      <c r="Q534" s="65"/>
      <c r="R534" s="71">
        <v>40823</v>
      </c>
      <c r="S534" s="65"/>
      <c r="T534" s="70" t="s">
        <v>4652</v>
      </c>
      <c r="U534" s="65"/>
    </row>
    <row r="535" spans="1:21" ht="12.75" customHeight="1" x14ac:dyDescent="0.15">
      <c r="A535" s="68"/>
      <c r="B535" s="69"/>
      <c r="C535" s="69"/>
      <c r="D535" s="69"/>
      <c r="E535" s="69"/>
      <c r="F535" s="69"/>
      <c r="G535" s="69"/>
      <c r="H535" s="69"/>
      <c r="I535" s="69"/>
      <c r="J535" s="69"/>
      <c r="K535" s="69"/>
      <c r="L535" s="69"/>
      <c r="M535" s="69"/>
      <c r="N535" s="69"/>
      <c r="O535" s="65"/>
      <c r="P535" s="70" t="s">
        <v>4653</v>
      </c>
      <c r="Q535" s="65"/>
      <c r="R535" s="71">
        <v>41492</v>
      </c>
      <c r="S535" s="65"/>
      <c r="T535" s="70" t="s">
        <v>4654</v>
      </c>
      <c r="U535" s="65"/>
    </row>
    <row r="536" spans="1:21" ht="24.75" customHeight="1" x14ac:dyDescent="0.15">
      <c r="A536" s="61">
        <v>1116</v>
      </c>
      <c r="B536" s="67" t="s">
        <v>4655</v>
      </c>
      <c r="C536" s="65"/>
      <c r="D536" s="66">
        <v>980287</v>
      </c>
      <c r="E536" s="69"/>
      <c r="F536" s="65"/>
      <c r="G536" s="67" t="s">
        <v>4656</v>
      </c>
      <c r="H536" s="65"/>
      <c r="I536" s="64">
        <v>35069</v>
      </c>
      <c r="J536" s="65"/>
      <c r="K536" s="54">
        <v>1064</v>
      </c>
      <c r="L536" s="66">
        <v>1088</v>
      </c>
      <c r="M536" s="65"/>
      <c r="N536" s="70" t="s">
        <v>4657</v>
      </c>
      <c r="O536" s="65"/>
      <c r="P536" s="67" t="s">
        <v>4658</v>
      </c>
      <c r="Q536" s="65"/>
      <c r="R536" s="64">
        <v>35069</v>
      </c>
      <c r="S536" s="65"/>
      <c r="T536" s="67" t="s">
        <v>4659</v>
      </c>
      <c r="U536" s="65"/>
    </row>
    <row r="537" spans="1:21" ht="12.75" customHeight="1" x14ac:dyDescent="0.15">
      <c r="A537" s="68"/>
      <c r="B537" s="69"/>
      <c r="C537" s="69"/>
      <c r="D537" s="69"/>
      <c r="E537" s="69"/>
      <c r="F537" s="69"/>
      <c r="G537" s="69"/>
      <c r="H537" s="69"/>
      <c r="I537" s="69"/>
      <c r="J537" s="69"/>
      <c r="K537" s="69"/>
      <c r="L537" s="69"/>
      <c r="M537" s="69"/>
      <c r="N537" s="69"/>
      <c r="O537" s="65"/>
      <c r="P537" s="70" t="s">
        <v>4660</v>
      </c>
      <c r="Q537" s="65"/>
      <c r="R537" s="71">
        <v>36069</v>
      </c>
      <c r="S537" s="65"/>
      <c r="T537" s="70" t="s">
        <v>4661</v>
      </c>
      <c r="U537" s="65"/>
    </row>
    <row r="538" spans="1:21" ht="13.5" customHeight="1" x14ac:dyDescent="0.15">
      <c r="A538" s="68"/>
      <c r="B538" s="69"/>
      <c r="C538" s="69"/>
      <c r="D538" s="69"/>
      <c r="E538" s="69"/>
      <c r="F538" s="69"/>
      <c r="G538" s="69"/>
      <c r="H538" s="69"/>
      <c r="I538" s="69"/>
      <c r="J538" s="69"/>
      <c r="K538" s="69"/>
      <c r="L538" s="69"/>
      <c r="M538" s="69"/>
      <c r="N538" s="69"/>
      <c r="O538" s="65"/>
      <c r="P538" s="70" t="s">
        <v>4662</v>
      </c>
      <c r="Q538" s="65"/>
      <c r="R538" s="71">
        <v>39843</v>
      </c>
      <c r="S538" s="65"/>
      <c r="T538" s="70" t="s">
        <v>4663</v>
      </c>
      <c r="U538" s="65"/>
    </row>
    <row r="539" spans="1:21" ht="25.5" customHeight="1" x14ac:dyDescent="0.15">
      <c r="A539" s="61">
        <v>1117</v>
      </c>
      <c r="B539" s="67" t="s">
        <v>4664</v>
      </c>
      <c r="C539" s="65"/>
      <c r="D539" s="66">
        <v>960040</v>
      </c>
      <c r="E539" s="69"/>
      <c r="F539" s="65"/>
      <c r="G539" s="67" t="s">
        <v>4665</v>
      </c>
      <c r="H539" s="65"/>
      <c r="I539" s="64">
        <v>35097</v>
      </c>
      <c r="J539" s="65"/>
      <c r="K539" s="54">
        <v>1051</v>
      </c>
      <c r="L539" s="66">
        <v>1054</v>
      </c>
      <c r="M539" s="65"/>
      <c r="N539" s="73" t="s">
        <v>4666</v>
      </c>
      <c r="O539" s="65"/>
      <c r="P539" s="67" t="s">
        <v>4667</v>
      </c>
      <c r="Q539" s="65"/>
      <c r="R539" s="64">
        <v>35097</v>
      </c>
      <c r="S539" s="65"/>
      <c r="T539" s="67" t="s">
        <v>4668</v>
      </c>
      <c r="U539" s="65"/>
    </row>
    <row r="540" spans="1:21" ht="12.75" customHeight="1" x14ac:dyDescent="0.15">
      <c r="A540" s="68"/>
      <c r="B540" s="69"/>
      <c r="C540" s="69"/>
      <c r="D540" s="69"/>
      <c r="E540" s="69"/>
      <c r="F540" s="69"/>
      <c r="G540" s="69"/>
      <c r="H540" s="69"/>
      <c r="I540" s="69"/>
      <c r="J540" s="69"/>
      <c r="K540" s="69"/>
      <c r="L540" s="69"/>
      <c r="M540" s="69"/>
      <c r="N540" s="69"/>
      <c r="O540" s="65"/>
      <c r="P540" s="70" t="s">
        <v>4669</v>
      </c>
      <c r="Q540" s="65"/>
      <c r="R540" s="71">
        <v>35097</v>
      </c>
      <c r="S540" s="65"/>
      <c r="T540" s="70" t="s">
        <v>4670</v>
      </c>
      <c r="U540" s="65"/>
    </row>
    <row r="541" spans="1:21" ht="25.5" customHeight="1" x14ac:dyDescent="0.15">
      <c r="A541" s="61">
        <v>1118</v>
      </c>
      <c r="B541" s="67" t="s">
        <v>4671</v>
      </c>
      <c r="C541" s="65"/>
      <c r="D541" s="66">
        <v>960041</v>
      </c>
      <c r="E541" s="69"/>
      <c r="F541" s="65"/>
      <c r="G541" s="67" t="s">
        <v>4672</v>
      </c>
      <c r="H541" s="65"/>
      <c r="I541" s="64">
        <v>35097</v>
      </c>
      <c r="J541" s="65"/>
      <c r="K541" s="54">
        <v>1051</v>
      </c>
      <c r="L541" s="66">
        <v>1054</v>
      </c>
      <c r="M541" s="65"/>
      <c r="N541" s="73" t="s">
        <v>4673</v>
      </c>
      <c r="O541" s="65"/>
      <c r="P541" s="67" t="s">
        <v>4674</v>
      </c>
      <c r="Q541" s="65"/>
      <c r="R541" s="64">
        <v>35097</v>
      </c>
      <c r="S541" s="65"/>
      <c r="T541" s="67" t="s">
        <v>4675</v>
      </c>
      <c r="U541" s="65"/>
    </row>
    <row r="542" spans="1:21" ht="12.75" customHeight="1" x14ac:dyDescent="0.15">
      <c r="A542" s="68"/>
      <c r="B542" s="69"/>
      <c r="C542" s="69"/>
      <c r="D542" s="69"/>
      <c r="E542" s="69"/>
      <c r="F542" s="69"/>
      <c r="G542" s="69"/>
      <c r="H542" s="69"/>
      <c r="I542" s="69"/>
      <c r="J542" s="69"/>
      <c r="K542" s="69"/>
      <c r="L542" s="69"/>
      <c r="M542" s="69"/>
      <c r="N542" s="69"/>
      <c r="O542" s="65"/>
      <c r="P542" s="70" t="s">
        <v>4676</v>
      </c>
      <c r="Q542" s="65"/>
      <c r="R542" s="71">
        <v>35097</v>
      </c>
      <c r="S542" s="65"/>
      <c r="T542" s="70" t="s">
        <v>4677</v>
      </c>
      <c r="U542" s="65"/>
    </row>
    <row r="543" spans="1:21" ht="25.5" customHeight="1" x14ac:dyDescent="0.15">
      <c r="A543" s="61">
        <v>1119</v>
      </c>
      <c r="B543" s="67" t="s">
        <v>4678</v>
      </c>
      <c r="C543" s="65"/>
      <c r="D543" s="66">
        <v>596028</v>
      </c>
      <c r="E543" s="69"/>
      <c r="F543" s="65"/>
      <c r="G543" s="67" t="s">
        <v>4679</v>
      </c>
      <c r="H543" s="65"/>
      <c r="I543" s="64">
        <v>35102</v>
      </c>
      <c r="J543" s="65"/>
      <c r="K543" s="54">
        <v>1059</v>
      </c>
      <c r="L543" s="66">
        <v>1058</v>
      </c>
      <c r="M543" s="65"/>
      <c r="N543" s="70" t="s">
        <v>4680</v>
      </c>
      <c r="O543" s="65"/>
      <c r="P543" s="67" t="s">
        <v>4681</v>
      </c>
      <c r="Q543" s="65"/>
      <c r="R543" s="64">
        <v>35102</v>
      </c>
      <c r="S543" s="65"/>
      <c r="T543" s="67" t="s">
        <v>4682</v>
      </c>
      <c r="U543" s="65"/>
    </row>
    <row r="544" spans="1:21" ht="12.75" customHeight="1" x14ac:dyDescent="0.15">
      <c r="A544" s="68"/>
      <c r="B544" s="69"/>
      <c r="C544" s="69"/>
      <c r="D544" s="69"/>
      <c r="E544" s="69"/>
      <c r="F544" s="69"/>
      <c r="G544" s="69"/>
      <c r="H544" s="69"/>
      <c r="I544" s="69"/>
      <c r="J544" s="69"/>
      <c r="K544" s="69"/>
      <c r="L544" s="69"/>
      <c r="M544" s="69"/>
      <c r="N544" s="69"/>
      <c r="O544" s="65"/>
      <c r="P544" s="70" t="s">
        <v>4683</v>
      </c>
      <c r="Q544" s="65"/>
      <c r="R544" s="71">
        <v>35103</v>
      </c>
      <c r="S544" s="65"/>
      <c r="T544" s="70" t="s">
        <v>4684</v>
      </c>
      <c r="U544" s="65"/>
    </row>
    <row r="545" spans="1:21" ht="21" customHeight="1" x14ac:dyDescent="0.15">
      <c r="A545" s="60" t="s">
        <v>4685</v>
      </c>
      <c r="B545" s="72" t="s">
        <v>4686</v>
      </c>
      <c r="C545" s="65"/>
      <c r="D545" s="72" t="s">
        <v>4687</v>
      </c>
      <c r="E545" s="69"/>
      <c r="F545" s="65"/>
      <c r="G545" s="72" t="s">
        <v>4688</v>
      </c>
      <c r="H545" s="65"/>
      <c r="I545" s="72" t="s">
        <v>4689</v>
      </c>
      <c r="J545" s="65"/>
      <c r="K545" s="60" t="s">
        <v>4690</v>
      </c>
      <c r="L545" s="72" t="s">
        <v>4691</v>
      </c>
      <c r="M545" s="65"/>
      <c r="N545" s="72" t="s">
        <v>4692</v>
      </c>
      <c r="O545" s="65"/>
      <c r="P545" s="72" t="s">
        <v>4693</v>
      </c>
      <c r="Q545" s="65"/>
      <c r="R545" s="72" t="s">
        <v>4694</v>
      </c>
      <c r="S545" s="65"/>
      <c r="T545" s="72" t="s">
        <v>4695</v>
      </c>
      <c r="U545" s="65"/>
    </row>
    <row r="546" spans="1:21" ht="25.5" customHeight="1" x14ac:dyDescent="0.15">
      <c r="A546" s="61">
        <v>1120</v>
      </c>
      <c r="B546" s="67" t="s">
        <v>4696</v>
      </c>
      <c r="C546" s="65"/>
      <c r="D546" s="66">
        <v>108</v>
      </c>
      <c r="E546" s="69"/>
      <c r="F546" s="65"/>
      <c r="G546" s="67" t="s">
        <v>4697</v>
      </c>
      <c r="H546" s="65"/>
      <c r="I546" s="64">
        <v>35102</v>
      </c>
      <c r="J546" s="65"/>
      <c r="K546" s="54">
        <v>1059</v>
      </c>
      <c r="L546" s="66">
        <v>1058</v>
      </c>
      <c r="M546" s="65"/>
      <c r="N546" s="70" t="s">
        <v>4698</v>
      </c>
      <c r="O546" s="65"/>
      <c r="P546" s="67" t="s">
        <v>4699</v>
      </c>
      <c r="Q546" s="65"/>
      <c r="R546" s="64">
        <v>35102</v>
      </c>
      <c r="S546" s="65"/>
      <c r="T546" s="67" t="s">
        <v>4700</v>
      </c>
      <c r="U546" s="65"/>
    </row>
    <row r="547" spans="1:21" ht="12.75" customHeight="1" x14ac:dyDescent="0.15">
      <c r="A547" s="68"/>
      <c r="B547" s="69"/>
      <c r="C547" s="69"/>
      <c r="D547" s="69"/>
      <c r="E547" s="69"/>
      <c r="F547" s="69"/>
      <c r="G547" s="69"/>
      <c r="H547" s="69"/>
      <c r="I547" s="69"/>
      <c r="J547" s="69"/>
      <c r="K547" s="69"/>
      <c r="L547" s="69"/>
      <c r="M547" s="69"/>
      <c r="N547" s="69"/>
      <c r="O547" s="65"/>
      <c r="P547" s="70" t="s">
        <v>4701</v>
      </c>
      <c r="Q547" s="65"/>
      <c r="R547" s="71">
        <v>37435</v>
      </c>
      <c r="S547" s="65"/>
      <c r="T547" s="70" t="s">
        <v>4702</v>
      </c>
      <c r="U547" s="65"/>
    </row>
    <row r="548" spans="1:21" ht="12.75" customHeight="1" x14ac:dyDescent="0.15">
      <c r="A548" s="68"/>
      <c r="B548" s="69"/>
      <c r="C548" s="69"/>
      <c r="D548" s="69"/>
      <c r="E548" s="69"/>
      <c r="F548" s="69"/>
      <c r="G548" s="69"/>
      <c r="H548" s="69"/>
      <c r="I548" s="69"/>
      <c r="J548" s="69"/>
      <c r="K548" s="69"/>
      <c r="L548" s="69"/>
      <c r="M548" s="69"/>
      <c r="N548" s="69"/>
      <c r="O548" s="65"/>
      <c r="P548" s="70" t="s">
        <v>4703</v>
      </c>
      <c r="Q548" s="65"/>
      <c r="R548" s="71">
        <v>42145</v>
      </c>
      <c r="S548" s="65"/>
      <c r="T548" s="70" t="s">
        <v>4704</v>
      </c>
      <c r="U548" s="65"/>
    </row>
    <row r="549" spans="1:21" ht="25.5" customHeight="1" x14ac:dyDescent="0.15">
      <c r="A549" s="61">
        <v>1121</v>
      </c>
      <c r="B549" s="67" t="s">
        <v>4705</v>
      </c>
      <c r="C549" s="65"/>
      <c r="D549" s="66">
        <v>3221</v>
      </c>
      <c r="E549" s="69"/>
      <c r="F549" s="65"/>
      <c r="G549" s="67" t="s">
        <v>4706</v>
      </c>
      <c r="H549" s="65"/>
      <c r="I549" s="64">
        <v>35115</v>
      </c>
      <c r="J549" s="65"/>
      <c r="K549" s="54">
        <v>1057</v>
      </c>
      <c r="L549" s="66">
        <v>1060</v>
      </c>
      <c r="M549" s="65"/>
      <c r="N549" s="70" t="s">
        <v>4707</v>
      </c>
      <c r="O549" s="65"/>
      <c r="P549" s="67" t="s">
        <v>4708</v>
      </c>
      <c r="Q549" s="65"/>
      <c r="R549" s="64">
        <v>35115</v>
      </c>
      <c r="S549" s="65"/>
      <c r="T549" s="67" t="s">
        <v>4709</v>
      </c>
      <c r="U549" s="65"/>
    </row>
    <row r="550" spans="1:21" ht="13.5" customHeight="1" x14ac:dyDescent="0.15">
      <c r="A550" s="68"/>
      <c r="B550" s="69"/>
      <c r="C550" s="69"/>
      <c r="D550" s="69"/>
      <c r="E550" s="69"/>
      <c r="F550" s="69"/>
      <c r="G550" s="69"/>
      <c r="H550" s="69"/>
      <c r="I550" s="69"/>
      <c r="J550" s="69"/>
      <c r="K550" s="69"/>
      <c r="L550" s="69"/>
      <c r="M550" s="69"/>
      <c r="N550" s="69"/>
      <c r="O550" s="65"/>
      <c r="P550" s="70" t="s">
        <v>4710</v>
      </c>
      <c r="Q550" s="65"/>
      <c r="R550" s="71">
        <v>37910</v>
      </c>
      <c r="S550" s="65"/>
      <c r="T550" s="70" t="s">
        <v>4711</v>
      </c>
      <c r="U550" s="65"/>
    </row>
    <row r="551" spans="1:21" ht="12.75" customHeight="1" x14ac:dyDescent="0.15">
      <c r="A551" s="68"/>
      <c r="B551" s="69"/>
      <c r="C551" s="69"/>
      <c r="D551" s="69"/>
      <c r="E551" s="69"/>
      <c r="F551" s="69"/>
      <c r="G551" s="69"/>
      <c r="H551" s="69"/>
      <c r="I551" s="69"/>
      <c r="J551" s="69"/>
      <c r="K551" s="69"/>
      <c r="L551" s="69"/>
      <c r="M551" s="69"/>
      <c r="N551" s="69"/>
      <c r="O551" s="65"/>
      <c r="P551" s="70" t="s">
        <v>4712</v>
      </c>
      <c r="Q551" s="65"/>
      <c r="R551" s="71">
        <v>38267</v>
      </c>
      <c r="S551" s="65"/>
      <c r="T551" s="70" t="s">
        <v>4713</v>
      </c>
      <c r="U551" s="65"/>
    </row>
    <row r="552" spans="1:21" ht="12.75" customHeight="1" x14ac:dyDescent="0.15">
      <c r="A552" s="68"/>
      <c r="B552" s="69"/>
      <c r="C552" s="69"/>
      <c r="D552" s="69"/>
      <c r="E552" s="69"/>
      <c r="F552" s="69"/>
      <c r="G552" s="69"/>
      <c r="H552" s="69"/>
      <c r="I552" s="69"/>
      <c r="J552" s="69"/>
      <c r="K552" s="69"/>
      <c r="L552" s="69"/>
      <c r="M552" s="69"/>
      <c r="N552" s="69"/>
      <c r="O552" s="65"/>
      <c r="P552" s="70" t="s">
        <v>4714</v>
      </c>
      <c r="Q552" s="65"/>
      <c r="R552" s="71">
        <v>39708</v>
      </c>
      <c r="S552" s="65"/>
      <c r="T552" s="70" t="s">
        <v>4715</v>
      </c>
      <c r="U552" s="65"/>
    </row>
    <row r="553" spans="1:21" ht="12.75" customHeight="1" x14ac:dyDescent="0.15">
      <c r="A553" s="68"/>
      <c r="B553" s="69"/>
      <c r="C553" s="69"/>
      <c r="D553" s="69"/>
      <c r="E553" s="69"/>
      <c r="F553" s="69"/>
      <c r="G553" s="69"/>
      <c r="H553" s="69"/>
      <c r="I553" s="69"/>
      <c r="J553" s="69"/>
      <c r="K553" s="69"/>
      <c r="L553" s="69"/>
      <c r="M553" s="69"/>
      <c r="N553" s="69"/>
      <c r="O553" s="65"/>
      <c r="P553" s="70" t="s">
        <v>4716</v>
      </c>
      <c r="Q553" s="65"/>
      <c r="R553" s="71">
        <v>39833</v>
      </c>
      <c r="S553" s="65"/>
      <c r="T553" s="70" t="s">
        <v>4717</v>
      </c>
      <c r="U553" s="65"/>
    </row>
    <row r="554" spans="1:21" ht="13.5" customHeight="1" x14ac:dyDescent="0.15">
      <c r="A554" s="68"/>
      <c r="B554" s="69"/>
      <c r="C554" s="69"/>
      <c r="D554" s="69"/>
      <c r="E554" s="69"/>
      <c r="F554" s="69"/>
      <c r="G554" s="69"/>
      <c r="H554" s="69"/>
      <c r="I554" s="69"/>
      <c r="J554" s="69"/>
      <c r="K554" s="69"/>
      <c r="L554" s="69"/>
      <c r="M554" s="69"/>
      <c r="N554" s="69"/>
      <c r="O554" s="65"/>
      <c r="P554" s="70" t="s">
        <v>4718</v>
      </c>
      <c r="Q554" s="65"/>
      <c r="R554" s="71">
        <v>41534</v>
      </c>
      <c r="S554" s="65"/>
      <c r="T554" s="70" t="s">
        <v>4719</v>
      </c>
      <c r="U554" s="65"/>
    </row>
    <row r="555" spans="1:21" ht="25.5" customHeight="1" x14ac:dyDescent="0.15">
      <c r="A555" s="61">
        <v>1122</v>
      </c>
      <c r="B555" s="67" t="s">
        <v>4720</v>
      </c>
      <c r="C555" s="65"/>
      <c r="D555" s="66">
        <v>6165</v>
      </c>
      <c r="E555" s="69"/>
      <c r="F555" s="65"/>
      <c r="G555" s="67" t="s">
        <v>4721</v>
      </c>
      <c r="H555" s="65"/>
      <c r="I555" s="64">
        <v>35115</v>
      </c>
      <c r="J555" s="65"/>
      <c r="K555" s="54">
        <v>1057</v>
      </c>
      <c r="L555" s="66">
        <v>1060</v>
      </c>
      <c r="M555" s="65"/>
      <c r="N555" s="73" t="s">
        <v>4722</v>
      </c>
      <c r="O555" s="65"/>
      <c r="P555" s="67" t="s">
        <v>4723</v>
      </c>
      <c r="Q555" s="65"/>
      <c r="R555" s="64">
        <v>35115</v>
      </c>
      <c r="S555" s="65"/>
      <c r="T555" s="67" t="s">
        <v>4724</v>
      </c>
      <c r="U555" s="65"/>
    </row>
    <row r="556" spans="1:21" ht="12.75" customHeight="1" x14ac:dyDescent="0.15">
      <c r="A556" s="68"/>
      <c r="B556" s="69"/>
      <c r="C556" s="69"/>
      <c r="D556" s="69"/>
      <c r="E556" s="69"/>
      <c r="F556" s="69"/>
      <c r="G556" s="69"/>
      <c r="H556" s="69"/>
      <c r="I556" s="69"/>
      <c r="J556" s="69"/>
      <c r="K556" s="69"/>
      <c r="L556" s="69"/>
      <c r="M556" s="69"/>
      <c r="N556" s="69"/>
      <c r="O556" s="65"/>
      <c r="P556" s="70" t="s">
        <v>4725</v>
      </c>
      <c r="Q556" s="65"/>
      <c r="R556" s="71">
        <v>37544</v>
      </c>
      <c r="S556" s="65"/>
      <c r="T556" s="70" t="s">
        <v>4726</v>
      </c>
      <c r="U556" s="65"/>
    </row>
    <row r="557" spans="1:21" ht="12.75" customHeight="1" x14ac:dyDescent="0.15">
      <c r="A557" s="68"/>
      <c r="B557" s="69"/>
      <c r="C557" s="69"/>
      <c r="D557" s="69"/>
      <c r="E557" s="69"/>
      <c r="F557" s="69"/>
      <c r="G557" s="69"/>
      <c r="H557" s="69"/>
      <c r="I557" s="69"/>
      <c r="J557" s="69"/>
      <c r="K557" s="69"/>
      <c r="L557" s="69"/>
      <c r="M557" s="69"/>
      <c r="N557" s="69"/>
      <c r="O557" s="65"/>
      <c r="P557" s="70" t="s">
        <v>4727</v>
      </c>
      <c r="Q557" s="65"/>
      <c r="R557" s="71">
        <v>41617</v>
      </c>
      <c r="S557" s="65"/>
      <c r="T557" s="70" t="s">
        <v>4728</v>
      </c>
      <c r="U557" s="65"/>
    </row>
    <row r="558" spans="1:21" ht="25.5" customHeight="1" x14ac:dyDescent="0.15">
      <c r="A558" s="61">
        <v>1123</v>
      </c>
      <c r="B558" s="67" t="s">
        <v>4729</v>
      </c>
      <c r="C558" s="65"/>
      <c r="D558" s="66">
        <v>9421</v>
      </c>
      <c r="E558" s="69"/>
      <c r="F558" s="65"/>
      <c r="G558" s="67" t="s">
        <v>4730</v>
      </c>
      <c r="H558" s="65"/>
      <c r="I558" s="64">
        <v>35180</v>
      </c>
      <c r="J558" s="65"/>
      <c r="K558" s="54">
        <v>1012</v>
      </c>
      <c r="L558" s="66">
        <v>1044</v>
      </c>
      <c r="M558" s="65"/>
      <c r="N558" s="70" t="s">
        <v>4731</v>
      </c>
      <c r="O558" s="65"/>
      <c r="P558" s="67" t="s">
        <v>4732</v>
      </c>
      <c r="Q558" s="65"/>
      <c r="R558" s="64">
        <v>35180</v>
      </c>
      <c r="S558" s="65"/>
      <c r="T558" s="67" t="s">
        <v>4733</v>
      </c>
      <c r="U558" s="65"/>
    </row>
    <row r="559" spans="1:21" ht="12.75" customHeight="1" x14ac:dyDescent="0.15">
      <c r="A559" s="68"/>
      <c r="B559" s="69"/>
      <c r="C559" s="69"/>
      <c r="D559" s="69"/>
      <c r="E559" s="69"/>
      <c r="F559" s="69"/>
      <c r="G559" s="69"/>
      <c r="H559" s="69"/>
      <c r="I559" s="69"/>
      <c r="J559" s="69"/>
      <c r="K559" s="69"/>
      <c r="L559" s="69"/>
      <c r="M559" s="69"/>
      <c r="N559" s="69"/>
      <c r="O559" s="65"/>
      <c r="P559" s="70" t="s">
        <v>4734</v>
      </c>
      <c r="Q559" s="65"/>
      <c r="R559" s="71">
        <v>35969</v>
      </c>
      <c r="S559" s="65"/>
      <c r="T559" s="70" t="s">
        <v>4735</v>
      </c>
      <c r="U559" s="65"/>
    </row>
    <row r="560" spans="1:21" ht="12.75" customHeight="1" x14ac:dyDescent="0.15">
      <c r="A560" s="68"/>
      <c r="B560" s="69"/>
      <c r="C560" s="69"/>
      <c r="D560" s="69"/>
      <c r="E560" s="69"/>
      <c r="F560" s="69"/>
      <c r="G560" s="69"/>
      <c r="H560" s="69"/>
      <c r="I560" s="69"/>
      <c r="J560" s="69"/>
      <c r="K560" s="69"/>
      <c r="L560" s="69"/>
      <c r="M560" s="69"/>
      <c r="N560" s="69"/>
      <c r="O560" s="65"/>
      <c r="P560" s="70" t="s">
        <v>4736</v>
      </c>
      <c r="Q560" s="65"/>
      <c r="R560" s="71">
        <v>36413</v>
      </c>
      <c r="S560" s="65"/>
      <c r="T560" s="70" t="s">
        <v>4737</v>
      </c>
      <c r="U560" s="65"/>
    </row>
    <row r="561" spans="1:21" ht="12.75" customHeight="1" x14ac:dyDescent="0.15">
      <c r="A561" s="61">
        <v>1124</v>
      </c>
      <c r="B561" s="70" t="s">
        <v>4738</v>
      </c>
      <c r="C561" s="65"/>
      <c r="D561" s="76">
        <v>970010</v>
      </c>
      <c r="E561" s="69"/>
      <c r="F561" s="65"/>
      <c r="G561" s="70" t="s">
        <v>4739</v>
      </c>
      <c r="H561" s="65"/>
      <c r="I561" s="70" t="s">
        <v>4740</v>
      </c>
      <c r="J561" s="65"/>
      <c r="K561" s="56" t="s">
        <v>4741</v>
      </c>
      <c r="L561" s="70" t="s">
        <v>4742</v>
      </c>
      <c r="M561" s="65"/>
      <c r="N561" s="70" t="s">
        <v>4743</v>
      </c>
      <c r="O561" s="65"/>
      <c r="P561" s="70" t="s">
        <v>4744</v>
      </c>
      <c r="Q561" s="65"/>
      <c r="R561" s="70" t="s">
        <v>4745</v>
      </c>
      <c r="S561" s="65"/>
      <c r="T561" s="70" t="s">
        <v>4746</v>
      </c>
      <c r="U561" s="65"/>
    </row>
    <row r="562" spans="1:21" ht="13.5" customHeight="1" x14ac:dyDescent="0.15">
      <c r="A562" s="68"/>
      <c r="B562" s="69"/>
      <c r="C562" s="69"/>
      <c r="D562" s="69"/>
      <c r="E562" s="69"/>
      <c r="F562" s="69"/>
      <c r="G562" s="69"/>
      <c r="H562" s="69"/>
      <c r="I562" s="69"/>
      <c r="J562" s="69"/>
      <c r="K562" s="69"/>
      <c r="L562" s="69"/>
      <c r="M562" s="69"/>
      <c r="N562" s="69"/>
      <c r="O562" s="65"/>
      <c r="P562" s="70" t="s">
        <v>4747</v>
      </c>
      <c r="Q562" s="65"/>
      <c r="R562" s="70" t="s">
        <v>4748</v>
      </c>
      <c r="S562" s="65"/>
      <c r="T562" s="70" t="s">
        <v>4749</v>
      </c>
      <c r="U562" s="65"/>
    </row>
    <row r="563" spans="1:21" ht="12.75" customHeight="1" x14ac:dyDescent="0.15">
      <c r="A563" s="68"/>
      <c r="B563" s="69"/>
      <c r="C563" s="69"/>
      <c r="D563" s="69"/>
      <c r="E563" s="69"/>
      <c r="F563" s="69"/>
      <c r="G563" s="69"/>
      <c r="H563" s="69"/>
      <c r="I563" s="69"/>
      <c r="J563" s="69"/>
      <c r="K563" s="69"/>
      <c r="L563" s="69"/>
      <c r="M563" s="69"/>
      <c r="N563" s="69"/>
      <c r="O563" s="65"/>
      <c r="P563" s="70" t="s">
        <v>4750</v>
      </c>
      <c r="Q563" s="65"/>
      <c r="R563" s="70" t="s">
        <v>4751</v>
      </c>
      <c r="S563" s="65"/>
      <c r="T563" s="70" t="s">
        <v>4752</v>
      </c>
      <c r="U563" s="65"/>
    </row>
    <row r="564" spans="1:21" ht="12.75" customHeight="1" x14ac:dyDescent="0.15">
      <c r="A564" s="68"/>
      <c r="B564" s="69"/>
      <c r="C564" s="69"/>
      <c r="D564" s="69"/>
      <c r="E564" s="69"/>
      <c r="F564" s="69"/>
      <c r="G564" s="69"/>
      <c r="H564" s="69"/>
      <c r="I564" s="69"/>
      <c r="J564" s="69"/>
      <c r="K564" s="69"/>
      <c r="L564" s="69"/>
      <c r="M564" s="69"/>
      <c r="N564" s="69"/>
      <c r="O564" s="65"/>
      <c r="P564" s="70" t="s">
        <v>4753</v>
      </c>
      <c r="Q564" s="65"/>
      <c r="R564" s="71">
        <v>35517</v>
      </c>
      <c r="S564" s="65"/>
      <c r="T564" s="70" t="s">
        <v>4754</v>
      </c>
      <c r="U564" s="65"/>
    </row>
    <row r="565" spans="1:21" ht="12.75" customHeight="1" x14ac:dyDescent="0.15">
      <c r="A565" s="68"/>
      <c r="B565" s="69"/>
      <c r="C565" s="69"/>
      <c r="D565" s="69"/>
      <c r="E565" s="69"/>
      <c r="F565" s="69"/>
      <c r="G565" s="69"/>
      <c r="H565" s="69"/>
      <c r="I565" s="69"/>
      <c r="J565" s="69"/>
      <c r="K565" s="69"/>
      <c r="L565" s="69"/>
      <c r="M565" s="69"/>
      <c r="N565" s="69"/>
      <c r="O565" s="65"/>
      <c r="P565" s="70" t="s">
        <v>4755</v>
      </c>
      <c r="Q565" s="65"/>
      <c r="R565" s="71">
        <v>41506</v>
      </c>
      <c r="S565" s="65"/>
      <c r="T565" s="70" t="s">
        <v>4756</v>
      </c>
      <c r="U565" s="65"/>
    </row>
    <row r="566" spans="1:21" ht="13.5" customHeight="1" x14ac:dyDescent="0.15">
      <c r="A566" s="61">
        <v>1125</v>
      </c>
      <c r="B566" s="70" t="s">
        <v>4757</v>
      </c>
      <c r="C566" s="65"/>
      <c r="D566" s="76">
        <v>97001</v>
      </c>
      <c r="E566" s="69"/>
      <c r="F566" s="65"/>
      <c r="G566" s="70" t="s">
        <v>4758</v>
      </c>
      <c r="H566" s="65"/>
      <c r="I566" s="70" t="s">
        <v>4759</v>
      </c>
      <c r="J566" s="65"/>
      <c r="K566" s="56" t="s">
        <v>4760</v>
      </c>
      <c r="L566" s="70" t="s">
        <v>4761</v>
      </c>
      <c r="M566" s="65"/>
      <c r="N566" s="70" t="s">
        <v>4762</v>
      </c>
      <c r="O566" s="65"/>
      <c r="P566" s="70" t="s">
        <v>4763</v>
      </c>
      <c r="Q566" s="65"/>
      <c r="R566" s="70" t="s">
        <v>4764</v>
      </c>
      <c r="S566" s="65"/>
      <c r="T566" s="70" t="s">
        <v>4765</v>
      </c>
      <c r="U566" s="65"/>
    </row>
    <row r="567" spans="1:21" ht="12.75" customHeight="1" x14ac:dyDescent="0.15">
      <c r="A567" s="68"/>
      <c r="B567" s="69"/>
      <c r="C567" s="69"/>
      <c r="D567" s="69"/>
      <c r="E567" s="69"/>
      <c r="F567" s="69"/>
      <c r="G567" s="69"/>
      <c r="H567" s="69"/>
      <c r="I567" s="69"/>
      <c r="J567" s="69"/>
      <c r="K567" s="69"/>
      <c r="L567" s="69"/>
      <c r="M567" s="69"/>
      <c r="N567" s="69"/>
      <c r="O567" s="65"/>
      <c r="P567" s="70" t="s">
        <v>4766</v>
      </c>
      <c r="Q567" s="65"/>
      <c r="R567" s="70" t="s">
        <v>4767</v>
      </c>
      <c r="S567" s="65"/>
      <c r="T567" s="70" t="s">
        <v>4768</v>
      </c>
      <c r="U567" s="65"/>
    </row>
    <row r="568" spans="1:21" ht="12.75" customHeight="1" x14ac:dyDescent="0.15">
      <c r="A568" s="68"/>
      <c r="B568" s="69"/>
      <c r="C568" s="69"/>
      <c r="D568" s="69"/>
      <c r="E568" s="69"/>
      <c r="F568" s="69"/>
      <c r="G568" s="69"/>
      <c r="H568" s="69"/>
      <c r="I568" s="69"/>
      <c r="J568" s="69"/>
      <c r="K568" s="69"/>
      <c r="L568" s="69"/>
      <c r="M568" s="69"/>
      <c r="N568" s="69"/>
      <c r="O568" s="65"/>
      <c r="P568" s="70" t="s">
        <v>4769</v>
      </c>
      <c r="Q568" s="65"/>
      <c r="R568" s="70" t="s">
        <v>4770</v>
      </c>
      <c r="S568" s="65"/>
      <c r="T568" s="70" t="s">
        <v>4771</v>
      </c>
      <c r="U568" s="65"/>
    </row>
    <row r="569" spans="1:21" ht="12.75" customHeight="1" x14ac:dyDescent="0.15">
      <c r="A569" s="68"/>
      <c r="B569" s="69"/>
      <c r="C569" s="69"/>
      <c r="D569" s="69"/>
      <c r="E569" s="69"/>
      <c r="F569" s="69"/>
      <c r="G569" s="69"/>
      <c r="H569" s="69"/>
      <c r="I569" s="69"/>
      <c r="J569" s="69"/>
      <c r="K569" s="69"/>
      <c r="L569" s="69"/>
      <c r="M569" s="69"/>
      <c r="N569" s="69"/>
      <c r="O569" s="65"/>
      <c r="P569" s="70" t="s">
        <v>4772</v>
      </c>
      <c r="Q569" s="65"/>
      <c r="R569" s="71">
        <v>35517</v>
      </c>
      <c r="S569" s="65"/>
      <c r="T569" s="70" t="s">
        <v>4773</v>
      </c>
      <c r="U569" s="65"/>
    </row>
    <row r="570" spans="1:21" ht="13.5" customHeight="1" x14ac:dyDescent="0.15">
      <c r="A570" s="68"/>
      <c r="B570" s="69"/>
      <c r="C570" s="69"/>
      <c r="D570" s="69"/>
      <c r="E570" s="69"/>
      <c r="F570" s="69"/>
      <c r="G570" s="69"/>
      <c r="H570" s="69"/>
      <c r="I570" s="69"/>
      <c r="J570" s="69"/>
      <c r="K570" s="69"/>
      <c r="L570" s="69"/>
      <c r="M570" s="69"/>
      <c r="N570" s="69"/>
      <c r="O570" s="65"/>
      <c r="P570" s="70" t="s">
        <v>4774</v>
      </c>
      <c r="Q570" s="65"/>
      <c r="R570" s="71">
        <v>41163</v>
      </c>
      <c r="S570" s="65"/>
      <c r="T570" s="70" t="s">
        <v>4775</v>
      </c>
      <c r="U570" s="65"/>
    </row>
    <row r="571" spans="1:21" ht="12.75" customHeight="1" x14ac:dyDescent="0.15">
      <c r="A571" s="61">
        <v>1126</v>
      </c>
      <c r="B571" s="70" t="s">
        <v>4776</v>
      </c>
      <c r="C571" s="65"/>
      <c r="D571" s="76">
        <v>10055</v>
      </c>
      <c r="E571" s="69"/>
      <c r="F571" s="65"/>
      <c r="G571" s="70" t="s">
        <v>4777</v>
      </c>
      <c r="H571" s="65"/>
      <c r="I571" s="70" t="s">
        <v>4778</v>
      </c>
      <c r="J571" s="65"/>
      <c r="K571" s="56" t="s">
        <v>4779</v>
      </c>
      <c r="L571" s="70" t="s">
        <v>4780</v>
      </c>
      <c r="M571" s="65"/>
      <c r="N571" s="70" t="s">
        <v>4781</v>
      </c>
      <c r="O571" s="65"/>
      <c r="P571" s="70" t="s">
        <v>4782</v>
      </c>
      <c r="Q571" s="65"/>
      <c r="R571" s="70" t="s">
        <v>4783</v>
      </c>
      <c r="S571" s="65"/>
      <c r="T571" s="70" t="s">
        <v>4784</v>
      </c>
      <c r="U571" s="65"/>
    </row>
    <row r="572" spans="1:21" ht="12.75" customHeight="1" x14ac:dyDescent="0.15">
      <c r="A572" s="68"/>
      <c r="B572" s="69"/>
      <c r="C572" s="69"/>
      <c r="D572" s="69"/>
      <c r="E572" s="69"/>
      <c r="F572" s="69"/>
      <c r="G572" s="69"/>
      <c r="H572" s="69"/>
      <c r="I572" s="69"/>
      <c r="J572" s="69"/>
      <c r="K572" s="69"/>
      <c r="L572" s="69"/>
      <c r="M572" s="69"/>
      <c r="N572" s="69"/>
      <c r="O572" s="65"/>
      <c r="P572" s="70" t="s">
        <v>4785</v>
      </c>
      <c r="Q572" s="65"/>
      <c r="R572" s="70" t="s">
        <v>4786</v>
      </c>
      <c r="S572" s="65"/>
      <c r="T572" s="70" t="s">
        <v>4787</v>
      </c>
      <c r="U572" s="65"/>
    </row>
    <row r="573" spans="1:21" ht="12.75" customHeight="1" x14ac:dyDescent="0.15">
      <c r="A573" s="68"/>
      <c r="B573" s="69"/>
      <c r="C573" s="69"/>
      <c r="D573" s="69"/>
      <c r="E573" s="69"/>
      <c r="F573" s="69"/>
      <c r="G573" s="69"/>
      <c r="H573" s="69"/>
      <c r="I573" s="69"/>
      <c r="J573" s="69"/>
      <c r="K573" s="69"/>
      <c r="L573" s="69"/>
      <c r="M573" s="69"/>
      <c r="N573" s="69"/>
      <c r="O573" s="65"/>
      <c r="P573" s="70" t="s">
        <v>4788</v>
      </c>
      <c r="Q573" s="65"/>
      <c r="R573" s="70" t="s">
        <v>4789</v>
      </c>
      <c r="S573" s="65"/>
      <c r="T573" s="70" t="s">
        <v>4790</v>
      </c>
      <c r="U573" s="65"/>
    </row>
    <row r="574" spans="1:21" ht="13.5" customHeight="1" x14ac:dyDescent="0.15">
      <c r="A574" s="68"/>
      <c r="B574" s="69"/>
      <c r="C574" s="69"/>
      <c r="D574" s="69"/>
      <c r="E574" s="69"/>
      <c r="F574" s="69"/>
      <c r="G574" s="69"/>
      <c r="H574" s="69"/>
      <c r="I574" s="69"/>
      <c r="J574" s="69"/>
      <c r="K574" s="69"/>
      <c r="L574" s="69"/>
      <c r="M574" s="69"/>
      <c r="N574" s="69"/>
      <c r="O574" s="65"/>
      <c r="P574" s="70" t="s">
        <v>4791</v>
      </c>
      <c r="Q574" s="65"/>
      <c r="R574" s="71">
        <v>35630</v>
      </c>
      <c r="S574" s="65"/>
      <c r="T574" s="70" t="s">
        <v>4792</v>
      </c>
      <c r="U574" s="65"/>
    </row>
    <row r="575" spans="1:21" ht="12.75" customHeight="1" x14ac:dyDescent="0.15">
      <c r="A575" s="68"/>
      <c r="B575" s="69"/>
      <c r="C575" s="69"/>
      <c r="D575" s="69"/>
      <c r="E575" s="69"/>
      <c r="F575" s="69"/>
      <c r="G575" s="69"/>
      <c r="H575" s="69"/>
      <c r="I575" s="69"/>
      <c r="J575" s="69"/>
      <c r="K575" s="69"/>
      <c r="L575" s="69"/>
      <c r="M575" s="69"/>
      <c r="N575" s="69"/>
      <c r="O575" s="65"/>
      <c r="P575" s="70" t="s">
        <v>4793</v>
      </c>
      <c r="Q575" s="65"/>
      <c r="R575" s="71">
        <v>36789</v>
      </c>
      <c r="S575" s="65"/>
      <c r="T575" s="70" t="s">
        <v>4794</v>
      </c>
      <c r="U575" s="65"/>
    </row>
    <row r="576" spans="1:21" ht="12.75" customHeight="1" x14ac:dyDescent="0.15">
      <c r="A576" s="68"/>
      <c r="B576" s="69"/>
      <c r="C576" s="69"/>
      <c r="D576" s="69"/>
      <c r="E576" s="69"/>
      <c r="F576" s="69"/>
      <c r="G576" s="69"/>
      <c r="H576" s="69"/>
      <c r="I576" s="69"/>
      <c r="J576" s="69"/>
      <c r="K576" s="69"/>
      <c r="L576" s="69"/>
      <c r="M576" s="69"/>
      <c r="N576" s="69"/>
      <c r="O576" s="65"/>
      <c r="P576" s="70" t="s">
        <v>4795</v>
      </c>
      <c r="Q576" s="65"/>
      <c r="R576" s="71">
        <v>38302</v>
      </c>
      <c r="S576" s="65"/>
      <c r="T576" s="70" t="s">
        <v>4796</v>
      </c>
      <c r="U576" s="65"/>
    </row>
    <row r="577" spans="1:21" ht="12.75" customHeight="1" x14ac:dyDescent="0.15">
      <c r="A577" s="61">
        <v>1127</v>
      </c>
      <c r="B577" s="70" t="s">
        <v>4797</v>
      </c>
      <c r="C577" s="65"/>
      <c r="D577" s="76">
        <v>990229</v>
      </c>
      <c r="E577" s="69"/>
      <c r="F577" s="65"/>
      <c r="G577" s="70" t="s">
        <v>4798</v>
      </c>
      <c r="H577" s="65"/>
      <c r="I577" s="70" t="s">
        <v>4799</v>
      </c>
      <c r="J577" s="65"/>
      <c r="K577" s="56" t="s">
        <v>4800</v>
      </c>
      <c r="L577" s="70" t="s">
        <v>4801</v>
      </c>
      <c r="M577" s="65"/>
      <c r="N577" s="70" t="s">
        <v>4802</v>
      </c>
      <c r="O577" s="65"/>
      <c r="P577" s="70" t="s">
        <v>4803</v>
      </c>
      <c r="Q577" s="65"/>
      <c r="R577" s="70" t="s">
        <v>4804</v>
      </c>
      <c r="S577" s="65"/>
      <c r="T577" s="70" t="s">
        <v>4805</v>
      </c>
      <c r="U577" s="65"/>
    </row>
    <row r="578" spans="1:21" ht="13.5" customHeight="1" x14ac:dyDescent="0.15">
      <c r="A578" s="68"/>
      <c r="B578" s="69"/>
      <c r="C578" s="69"/>
      <c r="D578" s="69"/>
      <c r="E578" s="69"/>
      <c r="F578" s="69"/>
      <c r="G578" s="69"/>
      <c r="H578" s="69"/>
      <c r="I578" s="69"/>
      <c r="J578" s="69"/>
      <c r="K578" s="69"/>
      <c r="L578" s="69"/>
      <c r="M578" s="69"/>
      <c r="N578" s="69"/>
      <c r="O578" s="65"/>
      <c r="P578" s="70" t="s">
        <v>4806</v>
      </c>
      <c r="Q578" s="65"/>
      <c r="R578" s="70" t="s">
        <v>4807</v>
      </c>
      <c r="S578" s="65"/>
      <c r="T578" s="70" t="s">
        <v>4808</v>
      </c>
      <c r="U578" s="65"/>
    </row>
    <row r="579" spans="1:21" ht="12.75" customHeight="1" x14ac:dyDescent="0.15">
      <c r="A579" s="68"/>
      <c r="B579" s="69"/>
      <c r="C579" s="69"/>
      <c r="D579" s="69"/>
      <c r="E579" s="69"/>
      <c r="F579" s="69"/>
      <c r="G579" s="69"/>
      <c r="H579" s="69"/>
      <c r="I579" s="69"/>
      <c r="J579" s="69"/>
      <c r="K579" s="69"/>
      <c r="L579" s="69"/>
      <c r="M579" s="69"/>
      <c r="N579" s="69"/>
      <c r="O579" s="65"/>
      <c r="P579" s="70" t="s">
        <v>4809</v>
      </c>
      <c r="Q579" s="65"/>
      <c r="R579" s="70" t="s">
        <v>4810</v>
      </c>
      <c r="S579" s="65"/>
      <c r="T579" s="70" t="s">
        <v>4811</v>
      </c>
      <c r="U579" s="65"/>
    </row>
    <row r="580" spans="1:21" ht="21" customHeight="1" x14ac:dyDescent="0.15">
      <c r="A580" s="60" t="s">
        <v>4812</v>
      </c>
      <c r="B580" s="72" t="s">
        <v>4813</v>
      </c>
      <c r="C580" s="65"/>
      <c r="D580" s="72" t="s">
        <v>4814</v>
      </c>
      <c r="E580" s="69"/>
      <c r="F580" s="65"/>
      <c r="G580" s="72" t="s">
        <v>4815</v>
      </c>
      <c r="H580" s="65"/>
      <c r="I580" s="72" t="s">
        <v>4816</v>
      </c>
      <c r="J580" s="65"/>
      <c r="K580" s="60" t="s">
        <v>4817</v>
      </c>
      <c r="L580" s="72" t="s">
        <v>4818</v>
      </c>
      <c r="M580" s="65"/>
      <c r="N580" s="72" t="s">
        <v>4819</v>
      </c>
      <c r="O580" s="65"/>
      <c r="P580" s="72" t="s">
        <v>4820</v>
      </c>
      <c r="Q580" s="65"/>
      <c r="R580" s="72" t="s">
        <v>4821</v>
      </c>
      <c r="S580" s="65"/>
      <c r="T580" s="72" t="s">
        <v>4822</v>
      </c>
      <c r="U580" s="65"/>
    </row>
    <row r="581" spans="1:21" ht="13.5" customHeight="1" x14ac:dyDescent="0.15">
      <c r="A581" s="68"/>
      <c r="B581" s="69"/>
      <c r="C581" s="69"/>
      <c r="D581" s="69"/>
      <c r="E581" s="69"/>
      <c r="F581" s="69"/>
      <c r="G581" s="69"/>
      <c r="H581" s="69"/>
      <c r="I581" s="69"/>
      <c r="J581" s="69"/>
      <c r="K581" s="69"/>
      <c r="L581" s="69"/>
      <c r="M581" s="69"/>
      <c r="N581" s="69"/>
      <c r="O581" s="65"/>
      <c r="P581" s="70" t="s">
        <v>4823</v>
      </c>
      <c r="Q581" s="65"/>
      <c r="R581" s="71">
        <v>35630</v>
      </c>
      <c r="S581" s="65"/>
      <c r="T581" s="70" t="s">
        <v>4824</v>
      </c>
      <c r="U581" s="65"/>
    </row>
    <row r="582" spans="1:21" ht="12.75" customHeight="1" x14ac:dyDescent="0.15">
      <c r="A582" s="68"/>
      <c r="B582" s="69"/>
      <c r="C582" s="69"/>
      <c r="D582" s="69"/>
      <c r="E582" s="69"/>
      <c r="F582" s="69"/>
      <c r="G582" s="69"/>
      <c r="H582" s="69"/>
      <c r="I582" s="69"/>
      <c r="J582" s="69"/>
      <c r="K582" s="69"/>
      <c r="L582" s="69"/>
      <c r="M582" s="69"/>
      <c r="N582" s="69"/>
      <c r="O582" s="65"/>
      <c r="P582" s="70" t="s">
        <v>4825</v>
      </c>
      <c r="Q582" s="65"/>
      <c r="R582" s="71">
        <v>36447</v>
      </c>
      <c r="S582" s="65"/>
      <c r="T582" s="70" t="s">
        <v>4826</v>
      </c>
      <c r="U582" s="65"/>
    </row>
    <row r="583" spans="1:21" ht="12.75" customHeight="1" x14ac:dyDescent="0.15">
      <c r="A583" s="68"/>
      <c r="B583" s="69"/>
      <c r="C583" s="69"/>
      <c r="D583" s="69"/>
      <c r="E583" s="69"/>
      <c r="F583" s="69"/>
      <c r="G583" s="69"/>
      <c r="H583" s="69"/>
      <c r="I583" s="69"/>
      <c r="J583" s="69"/>
      <c r="K583" s="69"/>
      <c r="L583" s="69"/>
      <c r="M583" s="69"/>
      <c r="N583" s="69"/>
      <c r="O583" s="65"/>
      <c r="P583" s="70" t="s">
        <v>4827</v>
      </c>
      <c r="Q583" s="65"/>
      <c r="R583" s="71">
        <v>39735</v>
      </c>
      <c r="S583" s="65"/>
      <c r="T583" s="70" t="s">
        <v>4828</v>
      </c>
      <c r="U583" s="65"/>
    </row>
    <row r="584" spans="1:21" ht="25.5" customHeight="1" x14ac:dyDescent="0.15">
      <c r="A584" s="61">
        <v>1128</v>
      </c>
      <c r="B584" s="67" t="s">
        <v>4829</v>
      </c>
      <c r="C584" s="65"/>
      <c r="D584" s="66">
        <v>5577</v>
      </c>
      <c r="E584" s="69"/>
      <c r="F584" s="65"/>
      <c r="G584" s="67" t="s">
        <v>4830</v>
      </c>
      <c r="H584" s="65"/>
      <c r="I584" s="64">
        <v>35440</v>
      </c>
      <c r="J584" s="65"/>
      <c r="K584" s="54">
        <v>1051</v>
      </c>
      <c r="L584" s="66">
        <v>1054</v>
      </c>
      <c r="M584" s="65"/>
      <c r="N584" s="70" t="s">
        <v>4831</v>
      </c>
      <c r="O584" s="65"/>
      <c r="P584" s="67" t="s">
        <v>4832</v>
      </c>
      <c r="Q584" s="65"/>
      <c r="R584" s="64">
        <v>35440</v>
      </c>
      <c r="S584" s="65"/>
      <c r="T584" s="67" t="s">
        <v>4833</v>
      </c>
      <c r="U584" s="65"/>
    </row>
    <row r="585" spans="1:21" ht="13.5" customHeight="1" x14ac:dyDescent="0.15">
      <c r="A585" s="68"/>
      <c r="B585" s="69"/>
      <c r="C585" s="69"/>
      <c r="D585" s="69"/>
      <c r="E585" s="69"/>
      <c r="F585" s="69"/>
      <c r="G585" s="69"/>
      <c r="H585" s="69"/>
      <c r="I585" s="69"/>
      <c r="J585" s="69"/>
      <c r="K585" s="69"/>
      <c r="L585" s="69"/>
      <c r="M585" s="69"/>
      <c r="N585" s="69"/>
      <c r="O585" s="65"/>
      <c r="P585" s="70" t="s">
        <v>4834</v>
      </c>
      <c r="Q585" s="65"/>
      <c r="R585" s="71">
        <v>36144</v>
      </c>
      <c r="S585" s="65"/>
      <c r="T585" s="70" t="s">
        <v>4835</v>
      </c>
      <c r="U585" s="65"/>
    </row>
    <row r="586" spans="1:21" ht="12.75" customHeight="1" x14ac:dyDescent="0.15">
      <c r="A586" s="68"/>
      <c r="B586" s="69"/>
      <c r="C586" s="69"/>
      <c r="D586" s="69"/>
      <c r="E586" s="69"/>
      <c r="F586" s="69"/>
      <c r="G586" s="69"/>
      <c r="H586" s="69"/>
      <c r="I586" s="69"/>
      <c r="J586" s="69"/>
      <c r="K586" s="69"/>
      <c r="L586" s="69"/>
      <c r="M586" s="69"/>
      <c r="N586" s="69"/>
      <c r="O586" s="65"/>
      <c r="P586" s="70" t="s">
        <v>4836</v>
      </c>
      <c r="Q586" s="65"/>
      <c r="R586" s="71">
        <v>41677</v>
      </c>
      <c r="S586" s="65"/>
      <c r="T586" s="70" t="s">
        <v>4837</v>
      </c>
      <c r="U586" s="65"/>
    </row>
    <row r="587" spans="1:21" ht="24.75" customHeight="1" x14ac:dyDescent="0.15">
      <c r="A587" s="61">
        <v>1129</v>
      </c>
      <c r="B587" s="67" t="s">
        <v>4838</v>
      </c>
      <c r="C587" s="65"/>
      <c r="D587" s="67" t="s">
        <v>4839</v>
      </c>
      <c r="E587" s="69"/>
      <c r="F587" s="65"/>
      <c r="G587" s="67" t="s">
        <v>4840</v>
      </c>
      <c r="H587" s="65"/>
      <c r="I587" s="64">
        <v>35440</v>
      </c>
      <c r="J587" s="65"/>
      <c r="K587" s="54">
        <v>1051</v>
      </c>
      <c r="L587" s="66">
        <v>1054</v>
      </c>
      <c r="M587" s="65"/>
      <c r="N587" s="70" t="s">
        <v>4841</v>
      </c>
      <c r="O587" s="65"/>
      <c r="P587" s="67" t="s">
        <v>4842</v>
      </c>
      <c r="Q587" s="65"/>
      <c r="R587" s="64">
        <v>35440</v>
      </c>
      <c r="S587" s="65"/>
      <c r="T587" s="67" t="s">
        <v>4843</v>
      </c>
      <c r="U587" s="65"/>
    </row>
    <row r="588" spans="1:21" ht="12.75" customHeight="1" x14ac:dyDescent="0.15">
      <c r="A588" s="68"/>
      <c r="B588" s="69"/>
      <c r="C588" s="69"/>
      <c r="D588" s="69"/>
      <c r="E588" s="69"/>
      <c r="F588" s="69"/>
      <c r="G588" s="69"/>
      <c r="H588" s="69"/>
      <c r="I588" s="69"/>
      <c r="J588" s="69"/>
      <c r="K588" s="69"/>
      <c r="L588" s="69"/>
      <c r="M588" s="69"/>
      <c r="N588" s="69"/>
      <c r="O588" s="65"/>
      <c r="P588" s="70" t="s">
        <v>4844</v>
      </c>
      <c r="Q588" s="65"/>
      <c r="R588" s="71">
        <v>39485</v>
      </c>
      <c r="S588" s="65"/>
      <c r="T588" s="70" t="s">
        <v>4845</v>
      </c>
      <c r="U588" s="65"/>
    </row>
    <row r="589" spans="1:21" ht="25.5" customHeight="1" x14ac:dyDescent="0.15">
      <c r="A589" s="61">
        <v>1130</v>
      </c>
      <c r="B589" s="67" t="s">
        <v>4846</v>
      </c>
      <c r="C589" s="65"/>
      <c r="D589" s="66">
        <v>103364</v>
      </c>
      <c r="E589" s="69"/>
      <c r="F589" s="65"/>
      <c r="G589" s="67" t="s">
        <v>4847</v>
      </c>
      <c r="H589" s="65"/>
      <c r="I589" s="64">
        <v>35446</v>
      </c>
      <c r="J589" s="65"/>
      <c r="K589" s="54">
        <v>1041</v>
      </c>
      <c r="L589" s="66">
        <v>1040</v>
      </c>
      <c r="M589" s="65"/>
      <c r="N589" s="70" t="s">
        <v>4848</v>
      </c>
      <c r="O589" s="65"/>
      <c r="P589" s="67" t="s">
        <v>4849</v>
      </c>
      <c r="Q589" s="65"/>
      <c r="R589" s="64">
        <v>35446</v>
      </c>
      <c r="S589" s="65"/>
      <c r="T589" s="67" t="s">
        <v>4850</v>
      </c>
      <c r="U589" s="65"/>
    </row>
    <row r="590" spans="1:21" ht="12.75" customHeight="1" x14ac:dyDescent="0.15">
      <c r="A590" s="68"/>
      <c r="B590" s="69"/>
      <c r="C590" s="69"/>
      <c r="D590" s="69"/>
      <c r="E590" s="69"/>
      <c r="F590" s="69"/>
      <c r="G590" s="69"/>
      <c r="H590" s="69"/>
      <c r="I590" s="69"/>
      <c r="J590" s="69"/>
      <c r="K590" s="69"/>
      <c r="L590" s="69"/>
      <c r="M590" s="69"/>
      <c r="N590" s="69"/>
      <c r="O590" s="65"/>
      <c r="P590" s="70" t="s">
        <v>4851</v>
      </c>
      <c r="Q590" s="65"/>
      <c r="R590" s="71">
        <v>41438</v>
      </c>
      <c r="S590" s="65"/>
      <c r="T590" s="70" t="s">
        <v>4852</v>
      </c>
      <c r="U590" s="65"/>
    </row>
    <row r="591" spans="1:21" ht="24.75" customHeight="1" x14ac:dyDescent="0.15">
      <c r="A591" s="61">
        <v>1131</v>
      </c>
      <c r="B591" s="67" t="s">
        <v>4853</v>
      </c>
      <c r="C591" s="65"/>
      <c r="D591" s="67" t="s">
        <v>4854</v>
      </c>
      <c r="E591" s="69"/>
      <c r="F591" s="65"/>
      <c r="G591" s="67" t="s">
        <v>4855</v>
      </c>
      <c r="H591" s="65"/>
      <c r="I591" s="64">
        <v>35466</v>
      </c>
      <c r="J591" s="65"/>
      <c r="K591" s="54">
        <v>1059</v>
      </c>
      <c r="L591" s="66">
        <v>1058</v>
      </c>
      <c r="M591" s="65"/>
      <c r="N591" s="70" t="s">
        <v>4856</v>
      </c>
      <c r="O591" s="65"/>
      <c r="P591" s="67" t="s">
        <v>4857</v>
      </c>
      <c r="Q591" s="65"/>
      <c r="R591" s="64">
        <v>35466</v>
      </c>
      <c r="S591" s="65"/>
      <c r="T591" s="67" t="s">
        <v>4858</v>
      </c>
      <c r="U591" s="65"/>
    </row>
    <row r="592" spans="1:21" ht="12.75" customHeight="1" x14ac:dyDescent="0.15">
      <c r="A592" s="68"/>
      <c r="B592" s="69"/>
      <c r="C592" s="69"/>
      <c r="D592" s="69"/>
      <c r="E592" s="69"/>
      <c r="F592" s="69"/>
      <c r="G592" s="69"/>
      <c r="H592" s="69"/>
      <c r="I592" s="69"/>
      <c r="J592" s="69"/>
      <c r="K592" s="69"/>
      <c r="L592" s="69"/>
      <c r="M592" s="69"/>
      <c r="N592" s="69"/>
      <c r="O592" s="65"/>
      <c r="P592" s="70" t="s">
        <v>4859</v>
      </c>
      <c r="Q592" s="65"/>
      <c r="R592" s="71">
        <v>38184</v>
      </c>
      <c r="S592" s="65"/>
      <c r="T592" s="70" t="s">
        <v>4860</v>
      </c>
      <c r="U592" s="65"/>
    </row>
    <row r="593" spans="1:21" ht="13.5" customHeight="1" x14ac:dyDescent="0.15">
      <c r="A593" s="68"/>
      <c r="B593" s="69"/>
      <c r="C593" s="69"/>
      <c r="D593" s="69"/>
      <c r="E593" s="69"/>
      <c r="F593" s="69"/>
      <c r="G593" s="69"/>
      <c r="H593" s="69"/>
      <c r="I593" s="69"/>
      <c r="J593" s="69"/>
      <c r="K593" s="69"/>
      <c r="L593" s="69"/>
      <c r="M593" s="69"/>
      <c r="N593" s="69"/>
      <c r="O593" s="65"/>
      <c r="P593" s="70" t="s">
        <v>4861</v>
      </c>
      <c r="Q593" s="65"/>
      <c r="R593" s="71">
        <v>41894</v>
      </c>
      <c r="S593" s="65"/>
      <c r="T593" s="70" t="s">
        <v>4862</v>
      </c>
      <c r="U593" s="65"/>
    </row>
    <row r="594" spans="1:21" ht="25.5" customHeight="1" x14ac:dyDescent="0.15">
      <c r="A594" s="61">
        <v>1132</v>
      </c>
      <c r="B594" s="67" t="s">
        <v>4863</v>
      </c>
      <c r="C594" s="65"/>
      <c r="D594" s="66">
        <v>212045</v>
      </c>
      <c r="E594" s="69"/>
      <c r="F594" s="65"/>
      <c r="G594" s="67" t="s">
        <v>4864</v>
      </c>
      <c r="H594" s="65"/>
      <c r="I594" s="64">
        <v>35466</v>
      </c>
      <c r="J594" s="65"/>
      <c r="K594" s="54">
        <v>1059</v>
      </c>
      <c r="L594" s="66">
        <v>1058</v>
      </c>
      <c r="M594" s="65"/>
      <c r="N594" s="73" t="s">
        <v>4865</v>
      </c>
      <c r="O594" s="65"/>
      <c r="P594" s="67" t="s">
        <v>4866</v>
      </c>
      <c r="Q594" s="65"/>
      <c r="R594" s="64">
        <v>35466</v>
      </c>
      <c r="S594" s="65"/>
      <c r="T594" s="67" t="s">
        <v>4867</v>
      </c>
      <c r="U594" s="65"/>
    </row>
    <row r="595" spans="1:21" ht="12.75" customHeight="1" x14ac:dyDescent="0.15">
      <c r="A595" s="68"/>
      <c r="B595" s="69"/>
      <c r="C595" s="69"/>
      <c r="D595" s="69"/>
      <c r="E595" s="69"/>
      <c r="F595" s="69"/>
      <c r="G595" s="69"/>
      <c r="H595" s="69"/>
      <c r="I595" s="69"/>
      <c r="J595" s="69"/>
      <c r="K595" s="69"/>
      <c r="L595" s="69"/>
      <c r="M595" s="69"/>
      <c r="N595" s="69"/>
      <c r="O595" s="65"/>
      <c r="P595" s="70" t="s">
        <v>4868</v>
      </c>
      <c r="Q595" s="65"/>
      <c r="R595" s="71">
        <v>38960</v>
      </c>
      <c r="S595" s="65"/>
      <c r="T595" s="70" t="s">
        <v>4869</v>
      </c>
      <c r="U595" s="65"/>
    </row>
    <row r="596" spans="1:21" ht="12.75" customHeight="1" x14ac:dyDescent="0.15">
      <c r="A596" s="68"/>
      <c r="B596" s="69"/>
      <c r="C596" s="69"/>
      <c r="D596" s="69"/>
      <c r="E596" s="69"/>
      <c r="F596" s="69"/>
      <c r="G596" s="69"/>
      <c r="H596" s="69"/>
      <c r="I596" s="69"/>
      <c r="J596" s="69"/>
      <c r="K596" s="69"/>
      <c r="L596" s="69"/>
      <c r="M596" s="69"/>
      <c r="N596" s="69"/>
      <c r="O596" s="65"/>
      <c r="P596" s="70" t="s">
        <v>4870</v>
      </c>
      <c r="Q596" s="65"/>
      <c r="R596" s="71">
        <v>41072</v>
      </c>
      <c r="S596" s="65"/>
      <c r="T596" s="70" t="s">
        <v>4871</v>
      </c>
      <c r="U596" s="65"/>
    </row>
    <row r="597" spans="1:21" ht="13.5" customHeight="1" x14ac:dyDescent="0.15">
      <c r="A597" s="68"/>
      <c r="B597" s="69"/>
      <c r="C597" s="69"/>
      <c r="D597" s="69"/>
      <c r="E597" s="69"/>
      <c r="F597" s="69"/>
      <c r="G597" s="69"/>
      <c r="H597" s="69"/>
      <c r="I597" s="69"/>
      <c r="J597" s="69"/>
      <c r="K597" s="69"/>
      <c r="L597" s="69"/>
      <c r="M597" s="69"/>
      <c r="N597" s="69"/>
      <c r="O597" s="65"/>
      <c r="P597" s="70" t="s">
        <v>4872</v>
      </c>
      <c r="Q597" s="65"/>
      <c r="R597" s="71">
        <v>42187</v>
      </c>
      <c r="S597" s="65"/>
      <c r="T597" s="70" t="s">
        <v>4873</v>
      </c>
      <c r="U597" s="65"/>
    </row>
    <row r="598" spans="1:21" ht="25.5" customHeight="1" x14ac:dyDescent="0.15">
      <c r="A598" s="61">
        <v>1133</v>
      </c>
      <c r="B598" s="67" t="s">
        <v>4874</v>
      </c>
      <c r="C598" s="65"/>
      <c r="D598" s="66">
        <v>597042</v>
      </c>
      <c r="E598" s="69"/>
      <c r="F598" s="65"/>
      <c r="G598" s="67" t="s">
        <v>4875</v>
      </c>
      <c r="H598" s="65"/>
      <c r="I598" s="64">
        <v>35472</v>
      </c>
      <c r="J598" s="65"/>
      <c r="K598" s="54">
        <v>1065</v>
      </c>
      <c r="L598" s="66">
        <v>1061</v>
      </c>
      <c r="M598" s="65"/>
      <c r="N598" s="73" t="s">
        <v>4876</v>
      </c>
      <c r="O598" s="65"/>
      <c r="P598" s="67" t="s">
        <v>4877</v>
      </c>
      <c r="Q598" s="65"/>
      <c r="R598" s="64">
        <v>35472</v>
      </c>
      <c r="S598" s="65"/>
      <c r="T598" s="67" t="s">
        <v>4878</v>
      </c>
      <c r="U598" s="65"/>
    </row>
    <row r="599" spans="1:21" ht="12.75" customHeight="1" x14ac:dyDescent="0.15">
      <c r="A599" s="68"/>
      <c r="B599" s="69"/>
      <c r="C599" s="69"/>
      <c r="D599" s="69"/>
      <c r="E599" s="69"/>
      <c r="F599" s="69"/>
      <c r="G599" s="69"/>
      <c r="H599" s="69"/>
      <c r="I599" s="69"/>
      <c r="J599" s="69"/>
      <c r="K599" s="69"/>
      <c r="L599" s="69"/>
      <c r="M599" s="69"/>
      <c r="N599" s="69"/>
      <c r="O599" s="65"/>
      <c r="P599" s="70" t="s">
        <v>4879</v>
      </c>
      <c r="Q599" s="65"/>
      <c r="R599" s="71">
        <v>35473</v>
      </c>
      <c r="S599" s="65"/>
      <c r="T599" s="70" t="s">
        <v>4880</v>
      </c>
      <c r="U599" s="65"/>
    </row>
    <row r="600" spans="1:21" ht="24.75" customHeight="1" x14ac:dyDescent="0.15">
      <c r="A600" s="61">
        <v>1134</v>
      </c>
      <c r="B600" s="67" t="s">
        <v>4881</v>
      </c>
      <c r="C600" s="65"/>
      <c r="D600" s="66">
        <v>597062</v>
      </c>
      <c r="E600" s="69"/>
      <c r="F600" s="65"/>
      <c r="G600" s="67" t="s">
        <v>4882</v>
      </c>
      <c r="H600" s="65"/>
      <c r="I600" s="64">
        <v>35481</v>
      </c>
      <c r="J600" s="65"/>
      <c r="K600" s="54">
        <v>1017</v>
      </c>
      <c r="L600" s="66">
        <v>1060</v>
      </c>
      <c r="M600" s="65"/>
      <c r="N600" s="70" t="s">
        <v>4883</v>
      </c>
      <c r="O600" s="65"/>
      <c r="P600" s="67" t="s">
        <v>4884</v>
      </c>
      <c r="Q600" s="65"/>
      <c r="R600" s="64">
        <v>35481</v>
      </c>
      <c r="S600" s="65"/>
      <c r="T600" s="67" t="s">
        <v>4885</v>
      </c>
      <c r="U600" s="65"/>
    </row>
    <row r="601" spans="1:21" ht="12.75" customHeight="1" x14ac:dyDescent="0.15">
      <c r="A601" s="68"/>
      <c r="B601" s="69"/>
      <c r="C601" s="69"/>
      <c r="D601" s="69"/>
      <c r="E601" s="69"/>
      <c r="F601" s="69"/>
      <c r="G601" s="69"/>
      <c r="H601" s="69"/>
      <c r="I601" s="69"/>
      <c r="J601" s="69"/>
      <c r="K601" s="69"/>
      <c r="L601" s="69"/>
      <c r="M601" s="69"/>
      <c r="N601" s="69"/>
      <c r="O601" s="65"/>
      <c r="P601" s="70" t="s">
        <v>4886</v>
      </c>
      <c r="Q601" s="65"/>
      <c r="R601" s="71">
        <v>35521</v>
      </c>
      <c r="S601" s="65"/>
      <c r="T601" s="70" t="s">
        <v>4887</v>
      </c>
      <c r="U601" s="65"/>
    </row>
    <row r="602" spans="1:21" ht="25.5" customHeight="1" x14ac:dyDescent="0.15">
      <c r="A602" s="61">
        <v>1135</v>
      </c>
      <c r="B602" s="67" t="s">
        <v>4888</v>
      </c>
      <c r="C602" s="65"/>
      <c r="D602" s="66">
        <v>597063</v>
      </c>
      <c r="E602" s="69"/>
      <c r="F602" s="65"/>
      <c r="G602" s="67" t="s">
        <v>4889</v>
      </c>
      <c r="H602" s="65"/>
      <c r="I602" s="64">
        <v>35481</v>
      </c>
      <c r="J602" s="65"/>
      <c r="K602" s="54">
        <v>1017</v>
      </c>
      <c r="L602" s="66">
        <v>1060</v>
      </c>
      <c r="M602" s="65"/>
      <c r="N602" s="70" t="s">
        <v>4890</v>
      </c>
      <c r="O602" s="65"/>
      <c r="P602" s="67" t="s">
        <v>4891</v>
      </c>
      <c r="Q602" s="65"/>
      <c r="R602" s="64">
        <v>35481</v>
      </c>
      <c r="S602" s="65"/>
      <c r="T602" s="67" t="s">
        <v>4892</v>
      </c>
      <c r="U602" s="65"/>
    </row>
    <row r="603" spans="1:21" ht="25.5" customHeight="1" x14ac:dyDescent="0.15">
      <c r="A603" s="75"/>
      <c r="B603" s="69"/>
      <c r="C603" s="69"/>
      <c r="D603" s="69"/>
      <c r="E603" s="69"/>
      <c r="F603" s="69"/>
      <c r="G603" s="69"/>
      <c r="H603" s="69"/>
      <c r="I603" s="69"/>
      <c r="J603" s="69"/>
      <c r="K603" s="69"/>
      <c r="L603" s="69"/>
      <c r="M603" s="69"/>
      <c r="N603" s="69"/>
      <c r="O603" s="65"/>
      <c r="P603" s="67" t="s">
        <v>4893</v>
      </c>
      <c r="Q603" s="65"/>
      <c r="R603" s="73" t="s">
        <v>4894</v>
      </c>
      <c r="S603" s="65"/>
      <c r="T603" s="67" t="s">
        <v>4895</v>
      </c>
      <c r="U603" s="65"/>
    </row>
    <row r="604" spans="1:21" ht="12.75" customHeight="1" x14ac:dyDescent="0.15">
      <c r="A604" s="68"/>
      <c r="B604" s="69"/>
      <c r="C604" s="69"/>
      <c r="D604" s="69"/>
      <c r="E604" s="69"/>
      <c r="F604" s="69"/>
      <c r="G604" s="69"/>
      <c r="H604" s="69"/>
      <c r="I604" s="69"/>
      <c r="J604" s="69"/>
      <c r="K604" s="69"/>
      <c r="L604" s="69"/>
      <c r="M604" s="69"/>
      <c r="N604" s="69"/>
      <c r="O604" s="65"/>
      <c r="P604" s="70" t="s">
        <v>4896</v>
      </c>
      <c r="Q604" s="65"/>
      <c r="R604" s="71">
        <v>37825</v>
      </c>
      <c r="S604" s="65"/>
      <c r="T604" s="70" t="s">
        <v>4897</v>
      </c>
      <c r="U604" s="65"/>
    </row>
    <row r="605" spans="1:21" ht="12.75" customHeight="1" x14ac:dyDescent="0.15">
      <c r="A605" s="68"/>
      <c r="B605" s="69"/>
      <c r="C605" s="69"/>
      <c r="D605" s="69"/>
      <c r="E605" s="69"/>
      <c r="F605" s="69"/>
      <c r="G605" s="69"/>
      <c r="H605" s="69"/>
      <c r="I605" s="69"/>
      <c r="J605" s="69"/>
      <c r="K605" s="69"/>
      <c r="L605" s="69"/>
      <c r="M605" s="69"/>
      <c r="N605" s="69"/>
      <c r="O605" s="65"/>
      <c r="P605" s="70" t="s">
        <v>4898</v>
      </c>
      <c r="Q605" s="65"/>
      <c r="R605" s="71">
        <v>39994</v>
      </c>
      <c r="S605" s="65"/>
      <c r="T605" s="70" t="s">
        <v>4899</v>
      </c>
      <c r="U605" s="65"/>
    </row>
    <row r="606" spans="1:21" ht="13.5" customHeight="1" x14ac:dyDescent="0.15">
      <c r="A606" s="68"/>
      <c r="B606" s="69"/>
      <c r="C606" s="69"/>
      <c r="D606" s="69"/>
      <c r="E606" s="69"/>
      <c r="F606" s="69"/>
      <c r="G606" s="69"/>
      <c r="H606" s="69"/>
      <c r="I606" s="69"/>
      <c r="J606" s="69"/>
      <c r="K606" s="69"/>
      <c r="L606" s="69"/>
      <c r="M606" s="69"/>
      <c r="N606" s="69"/>
      <c r="O606" s="65"/>
      <c r="P606" s="70" t="s">
        <v>4900</v>
      </c>
      <c r="Q606" s="65"/>
      <c r="R606" s="71">
        <v>40828</v>
      </c>
      <c r="S606" s="65"/>
      <c r="T606" s="70" t="s">
        <v>4901</v>
      </c>
      <c r="U606" s="65"/>
    </row>
    <row r="607" spans="1:21" ht="12.75" customHeight="1" x14ac:dyDescent="0.15">
      <c r="A607" s="68"/>
      <c r="B607" s="69"/>
      <c r="C607" s="69"/>
      <c r="D607" s="69"/>
      <c r="E607" s="69"/>
      <c r="F607" s="69"/>
      <c r="G607" s="69"/>
      <c r="H607" s="69"/>
      <c r="I607" s="69"/>
      <c r="J607" s="69"/>
      <c r="K607" s="69"/>
      <c r="L607" s="69"/>
      <c r="M607" s="69"/>
      <c r="N607" s="69"/>
      <c r="O607" s="65"/>
      <c r="P607" s="70" t="s">
        <v>4902</v>
      </c>
      <c r="Q607" s="65"/>
      <c r="R607" s="71">
        <v>41724</v>
      </c>
      <c r="S607" s="65"/>
      <c r="T607" s="70" t="s">
        <v>4903</v>
      </c>
      <c r="U607" s="65"/>
    </row>
    <row r="608" spans="1:21" ht="25.5" customHeight="1" x14ac:dyDescent="0.15">
      <c r="A608" s="61">
        <v>1136</v>
      </c>
      <c r="B608" s="67" t="s">
        <v>4904</v>
      </c>
      <c r="C608" s="65"/>
      <c r="D608" s="66">
        <v>920144</v>
      </c>
      <c r="E608" s="69"/>
      <c r="F608" s="65"/>
      <c r="G608" s="67" t="s">
        <v>4905</v>
      </c>
      <c r="H608" s="65"/>
      <c r="I608" s="64">
        <v>33693</v>
      </c>
      <c r="J608" s="65"/>
      <c r="K608" s="54">
        <v>1064</v>
      </c>
      <c r="L608" s="66">
        <v>1043</v>
      </c>
      <c r="M608" s="65"/>
      <c r="N608" s="73" t="s">
        <v>4906</v>
      </c>
      <c r="O608" s="65"/>
      <c r="P608" s="67" t="s">
        <v>4907</v>
      </c>
      <c r="Q608" s="65"/>
      <c r="R608" s="64">
        <v>33693</v>
      </c>
      <c r="S608" s="65"/>
      <c r="T608" s="67" t="s">
        <v>4908</v>
      </c>
      <c r="U608" s="65"/>
    </row>
    <row r="609" spans="1:21" ht="12.75" customHeight="1" x14ac:dyDescent="0.15">
      <c r="A609" s="68"/>
      <c r="B609" s="69"/>
      <c r="C609" s="69"/>
      <c r="D609" s="69"/>
      <c r="E609" s="69"/>
      <c r="F609" s="69"/>
      <c r="G609" s="69"/>
      <c r="H609" s="69"/>
      <c r="I609" s="69"/>
      <c r="J609" s="69"/>
      <c r="K609" s="69"/>
      <c r="L609" s="69"/>
      <c r="M609" s="69"/>
      <c r="N609" s="69"/>
      <c r="O609" s="65"/>
      <c r="P609" s="70" t="s">
        <v>4909</v>
      </c>
      <c r="Q609" s="65"/>
      <c r="R609" s="71">
        <v>33693</v>
      </c>
      <c r="S609" s="65"/>
      <c r="T609" s="70" t="s">
        <v>4910</v>
      </c>
      <c r="U609" s="65"/>
    </row>
    <row r="610" spans="1:21" ht="25.5" customHeight="1" x14ac:dyDescent="0.15">
      <c r="A610" s="61">
        <v>1137</v>
      </c>
      <c r="B610" s="67" t="s">
        <v>4911</v>
      </c>
      <c r="C610" s="65"/>
      <c r="D610" s="66">
        <v>920145</v>
      </c>
      <c r="E610" s="69"/>
      <c r="F610" s="65"/>
      <c r="G610" s="67" t="s">
        <v>4912</v>
      </c>
      <c r="H610" s="65"/>
      <c r="I610" s="64">
        <v>33693</v>
      </c>
      <c r="J610" s="65"/>
      <c r="K610" s="54">
        <v>1064</v>
      </c>
      <c r="L610" s="66">
        <v>1043</v>
      </c>
      <c r="M610" s="65"/>
      <c r="N610" s="70" t="s">
        <v>4913</v>
      </c>
      <c r="O610" s="65"/>
      <c r="P610" s="67" t="s">
        <v>4914</v>
      </c>
      <c r="Q610" s="65"/>
      <c r="R610" s="64">
        <v>33693</v>
      </c>
      <c r="S610" s="65"/>
      <c r="T610" s="67" t="s">
        <v>4915</v>
      </c>
      <c r="U610" s="65"/>
    </row>
    <row r="611" spans="1:21" ht="21" customHeight="1" x14ac:dyDescent="0.15">
      <c r="A611" s="60" t="s">
        <v>4916</v>
      </c>
      <c r="B611" s="72" t="s">
        <v>4917</v>
      </c>
      <c r="C611" s="65"/>
      <c r="D611" s="72" t="s">
        <v>4918</v>
      </c>
      <c r="E611" s="69"/>
      <c r="F611" s="65"/>
      <c r="G611" s="72" t="s">
        <v>4919</v>
      </c>
      <c r="H611" s="65"/>
      <c r="I611" s="72" t="s">
        <v>4920</v>
      </c>
      <c r="J611" s="65"/>
      <c r="K611" s="60" t="s">
        <v>4921</v>
      </c>
      <c r="L611" s="72" t="s">
        <v>4922</v>
      </c>
      <c r="M611" s="65"/>
      <c r="N611" s="72" t="s">
        <v>4923</v>
      </c>
      <c r="O611" s="65"/>
      <c r="P611" s="72" t="s">
        <v>4924</v>
      </c>
      <c r="Q611" s="65"/>
      <c r="R611" s="72" t="s">
        <v>4925</v>
      </c>
      <c r="S611" s="65"/>
      <c r="T611" s="72" t="s">
        <v>4926</v>
      </c>
      <c r="U611" s="65"/>
    </row>
    <row r="612" spans="1:21" ht="13.5" customHeight="1" x14ac:dyDescent="0.15">
      <c r="A612" s="68"/>
      <c r="B612" s="69"/>
      <c r="C612" s="69"/>
      <c r="D612" s="69"/>
      <c r="E612" s="69"/>
      <c r="F612" s="69"/>
      <c r="G612" s="69"/>
      <c r="H612" s="69"/>
      <c r="I612" s="69"/>
      <c r="J612" s="69"/>
      <c r="K612" s="69"/>
      <c r="L612" s="69"/>
      <c r="M612" s="69"/>
      <c r="N612" s="69"/>
      <c r="O612" s="65"/>
      <c r="P612" s="70" t="s">
        <v>4927</v>
      </c>
      <c r="Q612" s="65"/>
      <c r="R612" s="71">
        <v>33693</v>
      </c>
      <c r="S612" s="65"/>
      <c r="T612" s="70" t="s">
        <v>4928</v>
      </c>
      <c r="U612" s="65"/>
    </row>
    <row r="613" spans="1:21" ht="25.5" customHeight="1" x14ac:dyDescent="0.15">
      <c r="A613" s="61">
        <v>1138</v>
      </c>
      <c r="B613" s="67" t="s">
        <v>4929</v>
      </c>
      <c r="C613" s="65"/>
      <c r="D613" s="66">
        <v>980591</v>
      </c>
      <c r="E613" s="69"/>
      <c r="F613" s="65"/>
      <c r="G613" s="67" t="s">
        <v>4930</v>
      </c>
      <c r="H613" s="65"/>
      <c r="I613" s="64">
        <v>35931</v>
      </c>
      <c r="J613" s="65"/>
      <c r="K613" s="54">
        <v>1078</v>
      </c>
      <c r="L613" s="66">
        <v>1088</v>
      </c>
      <c r="M613" s="65"/>
      <c r="N613" s="73" t="s">
        <v>4931</v>
      </c>
      <c r="O613" s="65"/>
      <c r="P613" s="67" t="s">
        <v>4932</v>
      </c>
      <c r="Q613" s="65"/>
      <c r="R613" s="64">
        <v>35931</v>
      </c>
      <c r="S613" s="65"/>
      <c r="T613" s="67" t="s">
        <v>4933</v>
      </c>
      <c r="U613" s="65"/>
    </row>
    <row r="614" spans="1:21" ht="12.75" customHeight="1" x14ac:dyDescent="0.15">
      <c r="A614" s="68"/>
      <c r="B614" s="69"/>
      <c r="C614" s="69"/>
      <c r="D614" s="69"/>
      <c r="E614" s="69"/>
      <c r="F614" s="69"/>
      <c r="G614" s="69"/>
      <c r="H614" s="69"/>
      <c r="I614" s="69"/>
      <c r="J614" s="69"/>
      <c r="K614" s="69"/>
      <c r="L614" s="69"/>
      <c r="M614" s="69"/>
      <c r="N614" s="69"/>
      <c r="O614" s="65"/>
      <c r="P614" s="70" t="s">
        <v>4934</v>
      </c>
      <c r="Q614" s="65"/>
      <c r="R614" s="71">
        <v>40264</v>
      </c>
      <c r="S614" s="65"/>
      <c r="T614" s="70" t="s">
        <v>4935</v>
      </c>
      <c r="U614" s="65"/>
    </row>
    <row r="615" spans="1:21" ht="25.5" customHeight="1" x14ac:dyDescent="0.15">
      <c r="A615" s="61">
        <v>1139</v>
      </c>
      <c r="B615" s="67" t="s">
        <v>4936</v>
      </c>
      <c r="C615" s="65"/>
      <c r="D615" s="66">
        <v>980592</v>
      </c>
      <c r="E615" s="69"/>
      <c r="F615" s="65"/>
      <c r="G615" s="67" t="s">
        <v>4937</v>
      </c>
      <c r="H615" s="65"/>
      <c r="I615" s="64">
        <v>35931</v>
      </c>
      <c r="J615" s="65"/>
      <c r="K615" s="54">
        <v>1078</v>
      </c>
      <c r="L615" s="66">
        <v>1088</v>
      </c>
      <c r="M615" s="65"/>
      <c r="N615" s="70" t="s">
        <v>4938</v>
      </c>
      <c r="O615" s="65"/>
      <c r="P615" s="67" t="s">
        <v>4939</v>
      </c>
      <c r="Q615" s="65"/>
      <c r="R615" s="64">
        <v>35931</v>
      </c>
      <c r="S615" s="65"/>
      <c r="T615" s="67" t="s">
        <v>4940</v>
      </c>
      <c r="U615" s="65"/>
    </row>
    <row r="616" spans="1:21" ht="13.5" customHeight="1" x14ac:dyDescent="0.15">
      <c r="A616" s="68"/>
      <c r="B616" s="69"/>
      <c r="C616" s="69"/>
      <c r="D616" s="69"/>
      <c r="E616" s="69"/>
      <c r="F616" s="69"/>
      <c r="G616" s="69"/>
      <c r="H616" s="69"/>
      <c r="I616" s="69"/>
      <c r="J616" s="69"/>
      <c r="K616" s="69"/>
      <c r="L616" s="69"/>
      <c r="M616" s="69"/>
      <c r="N616" s="69"/>
      <c r="O616" s="65"/>
      <c r="P616" s="70" t="s">
        <v>4941</v>
      </c>
      <c r="Q616" s="65"/>
      <c r="R616" s="71">
        <v>38900</v>
      </c>
      <c r="S616" s="65"/>
      <c r="T616" s="70" t="s">
        <v>4942</v>
      </c>
      <c r="U616" s="65"/>
    </row>
    <row r="617" spans="1:21" ht="25.5" customHeight="1" x14ac:dyDescent="0.15">
      <c r="A617" s="61">
        <v>1140</v>
      </c>
      <c r="B617" s="67" t="s">
        <v>4943</v>
      </c>
      <c r="C617" s="65"/>
      <c r="D617" s="66">
        <v>980040</v>
      </c>
      <c r="E617" s="69"/>
      <c r="F617" s="65"/>
      <c r="G617" s="67" t="s">
        <v>4944</v>
      </c>
      <c r="H617" s="65"/>
      <c r="I617" s="64">
        <v>35941</v>
      </c>
      <c r="J617" s="65"/>
      <c r="K617" s="54">
        <v>1125</v>
      </c>
      <c r="L617" s="66">
        <v>1124</v>
      </c>
      <c r="M617" s="65"/>
      <c r="N617" s="73" t="s">
        <v>4945</v>
      </c>
      <c r="O617" s="65"/>
      <c r="P617" s="67" t="s">
        <v>4946</v>
      </c>
      <c r="Q617" s="65"/>
      <c r="R617" s="64">
        <v>35941</v>
      </c>
      <c r="S617" s="65"/>
      <c r="T617" s="67" t="s">
        <v>4947</v>
      </c>
      <c r="U617" s="65"/>
    </row>
    <row r="618" spans="1:21" ht="12.75" customHeight="1" x14ac:dyDescent="0.15">
      <c r="A618" s="68"/>
      <c r="B618" s="69"/>
      <c r="C618" s="69"/>
      <c r="D618" s="69"/>
      <c r="E618" s="69"/>
      <c r="F618" s="69"/>
      <c r="G618" s="69"/>
      <c r="H618" s="69"/>
      <c r="I618" s="69"/>
      <c r="J618" s="69"/>
      <c r="K618" s="69"/>
      <c r="L618" s="69"/>
      <c r="M618" s="69"/>
      <c r="N618" s="69"/>
      <c r="O618" s="65"/>
      <c r="P618" s="70" t="s">
        <v>4948</v>
      </c>
      <c r="Q618" s="65"/>
      <c r="R618" s="71">
        <v>37687</v>
      </c>
      <c r="S618" s="65"/>
      <c r="T618" s="70" t="s">
        <v>4949</v>
      </c>
      <c r="U618" s="65"/>
    </row>
    <row r="619" spans="1:21" ht="25.5" customHeight="1" x14ac:dyDescent="0.15">
      <c r="A619" s="61">
        <v>1141</v>
      </c>
      <c r="B619" s="67" t="s">
        <v>4950</v>
      </c>
      <c r="C619" s="65"/>
      <c r="D619" s="66">
        <v>599107</v>
      </c>
      <c r="E619" s="69"/>
      <c r="F619" s="65"/>
      <c r="G619" s="67" t="s">
        <v>4951</v>
      </c>
      <c r="H619" s="65"/>
      <c r="I619" s="64">
        <v>36269</v>
      </c>
      <c r="J619" s="65"/>
      <c r="K619" s="54">
        <v>1059</v>
      </c>
      <c r="L619" s="66">
        <v>1089</v>
      </c>
      <c r="M619" s="65"/>
      <c r="N619" s="70" t="s">
        <v>4952</v>
      </c>
      <c r="O619" s="65"/>
      <c r="P619" s="67" t="s">
        <v>4953</v>
      </c>
      <c r="Q619" s="65"/>
      <c r="R619" s="64">
        <v>36269</v>
      </c>
      <c r="S619" s="65"/>
      <c r="T619" s="67" t="s">
        <v>4954</v>
      </c>
      <c r="U619" s="65"/>
    </row>
    <row r="620" spans="1:21" ht="12.75" customHeight="1" x14ac:dyDescent="0.15">
      <c r="A620" s="68"/>
      <c r="B620" s="69"/>
      <c r="C620" s="69"/>
      <c r="D620" s="69"/>
      <c r="E620" s="69"/>
      <c r="F620" s="69"/>
      <c r="G620" s="69"/>
      <c r="H620" s="69"/>
      <c r="I620" s="69"/>
      <c r="J620" s="69"/>
      <c r="K620" s="69"/>
      <c r="L620" s="69"/>
      <c r="M620" s="69"/>
      <c r="N620" s="69"/>
      <c r="O620" s="65"/>
      <c r="P620" s="70" t="s">
        <v>4955</v>
      </c>
      <c r="Q620" s="65"/>
      <c r="R620" s="71">
        <v>39994</v>
      </c>
      <c r="S620" s="65"/>
      <c r="T620" s="70" t="s">
        <v>4956</v>
      </c>
      <c r="U620" s="65"/>
    </row>
    <row r="621" spans="1:21" ht="13.5" customHeight="1" x14ac:dyDescent="0.15">
      <c r="A621" s="68"/>
      <c r="B621" s="69"/>
      <c r="C621" s="69"/>
      <c r="D621" s="69"/>
      <c r="E621" s="69"/>
      <c r="F621" s="69"/>
      <c r="G621" s="69"/>
      <c r="H621" s="69"/>
      <c r="I621" s="69"/>
      <c r="J621" s="69"/>
      <c r="K621" s="69"/>
      <c r="L621" s="69"/>
      <c r="M621" s="69"/>
      <c r="N621" s="69"/>
      <c r="O621" s="65"/>
      <c r="P621" s="70" t="s">
        <v>4957</v>
      </c>
      <c r="Q621" s="65"/>
      <c r="R621" s="71">
        <v>40828</v>
      </c>
      <c r="S621" s="65"/>
      <c r="T621" s="70" t="s">
        <v>4958</v>
      </c>
      <c r="U621" s="65"/>
    </row>
    <row r="622" spans="1:21" ht="12.75" customHeight="1" x14ac:dyDescent="0.15">
      <c r="A622" s="68"/>
      <c r="B622" s="69"/>
      <c r="C622" s="69"/>
      <c r="D622" s="69"/>
      <c r="E622" s="69"/>
      <c r="F622" s="69"/>
      <c r="G622" s="69"/>
      <c r="H622" s="69"/>
      <c r="I622" s="69"/>
      <c r="J622" s="69"/>
      <c r="K622" s="69"/>
      <c r="L622" s="69"/>
      <c r="M622" s="69"/>
      <c r="N622" s="69"/>
      <c r="O622" s="65"/>
      <c r="P622" s="70" t="s">
        <v>4959</v>
      </c>
      <c r="Q622" s="65"/>
      <c r="R622" s="71">
        <v>43145</v>
      </c>
      <c r="S622" s="65"/>
      <c r="T622" s="70" t="s">
        <v>4960</v>
      </c>
      <c r="U622" s="65"/>
    </row>
    <row r="623" spans="1:21" ht="25.5" customHeight="1" x14ac:dyDescent="0.15">
      <c r="A623" s="61">
        <v>1142</v>
      </c>
      <c r="B623" s="67" t="s">
        <v>4961</v>
      </c>
      <c r="C623" s="65"/>
      <c r="D623" s="66">
        <v>21715</v>
      </c>
      <c r="E623" s="69"/>
      <c r="F623" s="65"/>
      <c r="G623" s="67" t="s">
        <v>4962</v>
      </c>
      <c r="H623" s="65"/>
      <c r="I623" s="64">
        <v>36269</v>
      </c>
      <c r="J623" s="65"/>
      <c r="K623" s="54">
        <v>1059</v>
      </c>
      <c r="L623" s="66">
        <v>1089</v>
      </c>
      <c r="M623" s="65"/>
      <c r="N623" s="70" t="s">
        <v>4963</v>
      </c>
      <c r="O623" s="65"/>
      <c r="P623" s="67" t="s">
        <v>4964</v>
      </c>
      <c r="Q623" s="65"/>
      <c r="R623" s="64">
        <v>36269</v>
      </c>
      <c r="S623" s="65"/>
      <c r="T623" s="67" t="s">
        <v>4965</v>
      </c>
      <c r="U623" s="65"/>
    </row>
    <row r="624" spans="1:21" ht="12.75" customHeight="1" x14ac:dyDescent="0.15">
      <c r="A624" s="68"/>
      <c r="B624" s="69"/>
      <c r="C624" s="69"/>
      <c r="D624" s="69"/>
      <c r="E624" s="69"/>
      <c r="F624" s="69"/>
      <c r="G624" s="69"/>
      <c r="H624" s="69"/>
      <c r="I624" s="69"/>
      <c r="J624" s="69"/>
      <c r="K624" s="69"/>
      <c r="L624" s="69"/>
      <c r="M624" s="69"/>
      <c r="N624" s="69"/>
      <c r="O624" s="65"/>
      <c r="P624" s="70" t="s">
        <v>4966</v>
      </c>
      <c r="Q624" s="65"/>
      <c r="R624" s="71">
        <v>38818</v>
      </c>
      <c r="S624" s="65"/>
      <c r="T624" s="70" t="s">
        <v>4967</v>
      </c>
      <c r="U624" s="65"/>
    </row>
    <row r="625" spans="1:21" ht="13.5" customHeight="1" x14ac:dyDescent="0.15">
      <c r="A625" s="68"/>
      <c r="B625" s="69"/>
      <c r="C625" s="69"/>
      <c r="D625" s="69"/>
      <c r="E625" s="69"/>
      <c r="F625" s="69"/>
      <c r="G625" s="69"/>
      <c r="H625" s="69"/>
      <c r="I625" s="69"/>
      <c r="J625" s="69"/>
      <c r="K625" s="69"/>
      <c r="L625" s="69"/>
      <c r="M625" s="69"/>
      <c r="N625" s="69"/>
      <c r="O625" s="65"/>
      <c r="P625" s="70" t="s">
        <v>4968</v>
      </c>
      <c r="Q625" s="65"/>
      <c r="R625" s="71">
        <v>42058</v>
      </c>
      <c r="S625" s="65"/>
      <c r="T625" s="70" t="s">
        <v>4969</v>
      </c>
      <c r="U625" s="65"/>
    </row>
    <row r="626" spans="1:21" ht="25.5" customHeight="1" x14ac:dyDescent="0.15">
      <c r="A626" s="61">
        <v>1143</v>
      </c>
      <c r="B626" s="67" t="s">
        <v>4970</v>
      </c>
      <c r="C626" s="65"/>
      <c r="D626" s="66">
        <v>11132</v>
      </c>
      <c r="E626" s="69"/>
      <c r="F626" s="65"/>
      <c r="G626" s="67" t="s">
        <v>4971</v>
      </c>
      <c r="H626" s="65"/>
      <c r="I626" s="64">
        <v>36331</v>
      </c>
      <c r="J626" s="65"/>
      <c r="K626" s="54">
        <v>1104</v>
      </c>
      <c r="L626" s="66">
        <v>1115</v>
      </c>
      <c r="M626" s="65"/>
      <c r="N626" s="73" t="s">
        <v>4972</v>
      </c>
      <c r="O626" s="65"/>
      <c r="P626" s="67" t="s">
        <v>4973</v>
      </c>
      <c r="Q626" s="65"/>
      <c r="R626" s="64">
        <v>36331</v>
      </c>
      <c r="S626" s="65"/>
      <c r="T626" s="67" t="s">
        <v>4974</v>
      </c>
      <c r="U626" s="65"/>
    </row>
    <row r="627" spans="1:21" ht="12.75" customHeight="1" x14ac:dyDescent="0.15">
      <c r="A627" s="68"/>
      <c r="B627" s="69"/>
      <c r="C627" s="69"/>
      <c r="D627" s="69"/>
      <c r="E627" s="69"/>
      <c r="F627" s="69"/>
      <c r="G627" s="69"/>
      <c r="H627" s="69"/>
      <c r="I627" s="69"/>
      <c r="J627" s="69"/>
      <c r="K627" s="69"/>
      <c r="L627" s="69"/>
      <c r="M627" s="69"/>
      <c r="N627" s="69"/>
      <c r="O627" s="65"/>
      <c r="P627" s="70" t="s">
        <v>4975</v>
      </c>
      <c r="Q627" s="65"/>
      <c r="R627" s="71">
        <v>39837</v>
      </c>
      <c r="S627" s="65"/>
      <c r="T627" s="70" t="s">
        <v>4976</v>
      </c>
      <c r="U627" s="65"/>
    </row>
    <row r="628" spans="1:21" ht="25.5" customHeight="1" x14ac:dyDescent="0.15">
      <c r="A628" s="61">
        <v>1144</v>
      </c>
      <c r="B628" s="67" t="s">
        <v>4977</v>
      </c>
      <c r="C628" s="65"/>
      <c r="D628" s="66">
        <v>11133</v>
      </c>
      <c r="E628" s="69"/>
      <c r="F628" s="65"/>
      <c r="G628" s="67" t="s">
        <v>4978</v>
      </c>
      <c r="H628" s="65"/>
      <c r="I628" s="64">
        <v>36331</v>
      </c>
      <c r="J628" s="65"/>
      <c r="K628" s="54">
        <v>1104</v>
      </c>
      <c r="L628" s="66">
        <v>1115</v>
      </c>
      <c r="M628" s="65"/>
      <c r="N628" s="70" t="s">
        <v>4979</v>
      </c>
      <c r="O628" s="65"/>
      <c r="P628" s="67" t="s">
        <v>4980</v>
      </c>
      <c r="Q628" s="65"/>
      <c r="R628" s="64">
        <v>36331</v>
      </c>
      <c r="S628" s="65"/>
      <c r="T628" s="67" t="s">
        <v>4981</v>
      </c>
      <c r="U628" s="65"/>
    </row>
    <row r="629" spans="1:21" ht="13.5" customHeight="1" x14ac:dyDescent="0.15">
      <c r="A629" s="68"/>
      <c r="B629" s="69"/>
      <c r="C629" s="69"/>
      <c r="D629" s="69"/>
      <c r="E629" s="69"/>
      <c r="F629" s="69"/>
      <c r="G629" s="69"/>
      <c r="H629" s="69"/>
      <c r="I629" s="69"/>
      <c r="J629" s="69"/>
      <c r="K629" s="69"/>
      <c r="L629" s="69"/>
      <c r="M629" s="69"/>
      <c r="N629" s="69"/>
      <c r="O629" s="65"/>
      <c r="P629" s="70" t="s">
        <v>4982</v>
      </c>
      <c r="Q629" s="65"/>
      <c r="R629" s="71">
        <v>41627</v>
      </c>
      <c r="S629" s="65"/>
      <c r="T629" s="70" t="s">
        <v>4983</v>
      </c>
      <c r="U629" s="65"/>
    </row>
    <row r="630" spans="1:21" ht="25.5" customHeight="1" x14ac:dyDescent="0.15">
      <c r="A630" s="61">
        <v>1145</v>
      </c>
      <c r="B630" s="67" t="s">
        <v>4984</v>
      </c>
      <c r="C630" s="65"/>
      <c r="D630" s="66">
        <v>3220</v>
      </c>
      <c r="E630" s="69"/>
      <c r="F630" s="65"/>
      <c r="G630" s="67" t="s">
        <v>4985</v>
      </c>
      <c r="H630" s="65"/>
      <c r="I630" s="64">
        <v>36643</v>
      </c>
      <c r="J630" s="65"/>
      <c r="K630" s="54">
        <v>1113</v>
      </c>
      <c r="L630" s="66">
        <v>1089</v>
      </c>
      <c r="M630" s="65"/>
      <c r="N630" s="73" t="s">
        <v>4986</v>
      </c>
      <c r="O630" s="65"/>
      <c r="P630" s="67" t="s">
        <v>4987</v>
      </c>
      <c r="Q630" s="65"/>
      <c r="R630" s="64">
        <v>36643</v>
      </c>
      <c r="S630" s="65"/>
      <c r="T630" s="67" t="s">
        <v>4988</v>
      </c>
      <c r="U630" s="65"/>
    </row>
    <row r="631" spans="1:21" ht="12.75" customHeight="1" x14ac:dyDescent="0.15">
      <c r="A631" s="68"/>
      <c r="B631" s="69"/>
      <c r="C631" s="69"/>
      <c r="D631" s="69"/>
      <c r="E631" s="69"/>
      <c r="F631" s="69"/>
      <c r="G631" s="69"/>
      <c r="H631" s="69"/>
      <c r="I631" s="69"/>
      <c r="J631" s="69"/>
      <c r="K631" s="69"/>
      <c r="L631" s="69"/>
      <c r="M631" s="69"/>
      <c r="N631" s="69"/>
      <c r="O631" s="65"/>
      <c r="P631" s="70" t="s">
        <v>4989</v>
      </c>
      <c r="Q631" s="65"/>
      <c r="R631" s="71">
        <v>37440</v>
      </c>
      <c r="S631" s="65"/>
      <c r="T631" s="70" t="s">
        <v>4990</v>
      </c>
      <c r="U631" s="65"/>
    </row>
    <row r="632" spans="1:21" ht="12.75" customHeight="1" x14ac:dyDescent="0.15">
      <c r="A632" s="68"/>
      <c r="B632" s="69"/>
      <c r="C632" s="69"/>
      <c r="D632" s="69"/>
      <c r="E632" s="69"/>
      <c r="F632" s="69"/>
      <c r="G632" s="69"/>
      <c r="H632" s="69"/>
      <c r="I632" s="69"/>
      <c r="J632" s="69"/>
      <c r="K632" s="69"/>
      <c r="L632" s="69"/>
      <c r="M632" s="69"/>
      <c r="N632" s="69"/>
      <c r="O632" s="65"/>
      <c r="P632" s="70" t="s">
        <v>4991</v>
      </c>
      <c r="Q632" s="65"/>
      <c r="R632" s="71">
        <v>38267</v>
      </c>
      <c r="S632" s="65"/>
      <c r="T632" s="70" t="s">
        <v>4992</v>
      </c>
      <c r="U632" s="65"/>
    </row>
    <row r="633" spans="1:21" ht="13.5" customHeight="1" x14ac:dyDescent="0.15">
      <c r="A633" s="68"/>
      <c r="B633" s="69"/>
      <c r="C633" s="69"/>
      <c r="D633" s="69"/>
      <c r="E633" s="69"/>
      <c r="F633" s="69"/>
      <c r="G633" s="69"/>
      <c r="H633" s="69"/>
      <c r="I633" s="69"/>
      <c r="J633" s="69"/>
      <c r="K633" s="69"/>
      <c r="L633" s="69"/>
      <c r="M633" s="69"/>
      <c r="N633" s="69"/>
      <c r="O633" s="65"/>
      <c r="P633" s="70" t="s">
        <v>4993</v>
      </c>
      <c r="Q633" s="65"/>
      <c r="R633" s="71">
        <v>39708</v>
      </c>
      <c r="S633" s="65"/>
      <c r="T633" s="70" t="s">
        <v>4994</v>
      </c>
      <c r="U633" s="65"/>
    </row>
    <row r="634" spans="1:21" ht="12.75" customHeight="1" x14ac:dyDescent="0.15">
      <c r="A634" s="68"/>
      <c r="B634" s="69"/>
      <c r="C634" s="69"/>
      <c r="D634" s="69"/>
      <c r="E634" s="69"/>
      <c r="F634" s="69"/>
      <c r="G634" s="69"/>
      <c r="H634" s="69"/>
      <c r="I634" s="69"/>
      <c r="J634" s="69"/>
      <c r="K634" s="69"/>
      <c r="L634" s="69"/>
      <c r="M634" s="69"/>
      <c r="N634" s="69"/>
      <c r="O634" s="65"/>
      <c r="P634" s="70" t="s">
        <v>4995</v>
      </c>
      <c r="Q634" s="65"/>
      <c r="R634" s="71">
        <v>39833</v>
      </c>
      <c r="S634" s="65"/>
      <c r="T634" s="70" t="s">
        <v>4996</v>
      </c>
      <c r="U634" s="65"/>
    </row>
    <row r="635" spans="1:21" ht="12.75" customHeight="1" x14ac:dyDescent="0.15">
      <c r="A635" s="68"/>
      <c r="B635" s="69"/>
      <c r="C635" s="69"/>
      <c r="D635" s="69"/>
      <c r="E635" s="69"/>
      <c r="F635" s="69"/>
      <c r="G635" s="69"/>
      <c r="H635" s="69"/>
      <c r="I635" s="69"/>
      <c r="J635" s="69"/>
      <c r="K635" s="69"/>
      <c r="L635" s="69"/>
      <c r="M635" s="69"/>
      <c r="N635" s="69"/>
      <c r="O635" s="65"/>
      <c r="P635" s="70" t="s">
        <v>4997</v>
      </c>
      <c r="Q635" s="65"/>
      <c r="R635" s="71">
        <v>41186</v>
      </c>
      <c r="S635" s="65"/>
      <c r="T635" s="70" t="s">
        <v>4998</v>
      </c>
      <c r="U635" s="65"/>
    </row>
    <row r="636" spans="1:21" ht="25.5" customHeight="1" x14ac:dyDescent="0.15">
      <c r="A636" s="61">
        <v>1146</v>
      </c>
      <c r="B636" s="67" t="s">
        <v>4999</v>
      </c>
      <c r="C636" s="65"/>
      <c r="D636" s="66">
        <v>500111</v>
      </c>
      <c r="E636" s="69"/>
      <c r="F636" s="65"/>
      <c r="G636" s="67" t="s">
        <v>5000</v>
      </c>
      <c r="H636" s="65"/>
      <c r="I636" s="64">
        <v>36643</v>
      </c>
      <c r="J636" s="65"/>
      <c r="K636" s="54">
        <v>1113</v>
      </c>
      <c r="L636" s="66">
        <v>1089</v>
      </c>
      <c r="M636" s="65"/>
      <c r="N636" s="70" t="s">
        <v>5001</v>
      </c>
      <c r="O636" s="65"/>
      <c r="P636" s="67" t="s">
        <v>5002</v>
      </c>
      <c r="Q636" s="65"/>
      <c r="R636" s="64">
        <v>36643</v>
      </c>
      <c r="S636" s="65"/>
      <c r="T636" s="67" t="s">
        <v>5003</v>
      </c>
      <c r="U636" s="65"/>
    </row>
    <row r="637" spans="1:21" ht="13.5" customHeight="1" x14ac:dyDescent="0.15">
      <c r="A637" s="68"/>
      <c r="B637" s="69"/>
      <c r="C637" s="69"/>
      <c r="D637" s="69"/>
      <c r="E637" s="69"/>
      <c r="F637" s="69"/>
      <c r="G637" s="69"/>
      <c r="H637" s="69"/>
      <c r="I637" s="69"/>
      <c r="J637" s="69"/>
      <c r="K637" s="69"/>
      <c r="L637" s="69"/>
      <c r="M637" s="69"/>
      <c r="N637" s="69"/>
      <c r="O637" s="65"/>
      <c r="P637" s="70" t="s">
        <v>5004</v>
      </c>
      <c r="Q637" s="65"/>
      <c r="R637" s="71">
        <v>43224</v>
      </c>
      <c r="S637" s="65"/>
      <c r="T637" s="70" t="s">
        <v>5005</v>
      </c>
      <c r="U637" s="65"/>
    </row>
    <row r="638" spans="1:21" ht="25.5" customHeight="1" x14ac:dyDescent="0.15">
      <c r="A638" s="61">
        <v>1147</v>
      </c>
      <c r="B638" s="67" t="s">
        <v>5006</v>
      </c>
      <c r="C638" s="65"/>
      <c r="D638" s="66">
        <v>319</v>
      </c>
      <c r="E638" s="69"/>
      <c r="F638" s="65"/>
      <c r="G638" s="67" t="s">
        <v>5007</v>
      </c>
      <c r="H638" s="65"/>
      <c r="I638" s="64">
        <v>36809</v>
      </c>
      <c r="J638" s="65"/>
      <c r="K638" s="54">
        <v>1116</v>
      </c>
      <c r="L638" s="66">
        <v>1054</v>
      </c>
      <c r="M638" s="65"/>
      <c r="N638" s="73" t="s">
        <v>5008</v>
      </c>
      <c r="O638" s="65"/>
      <c r="P638" s="67" t="s">
        <v>5009</v>
      </c>
      <c r="Q638" s="65"/>
      <c r="R638" s="64">
        <v>36809</v>
      </c>
      <c r="S638" s="65"/>
      <c r="T638" s="67" t="s">
        <v>5010</v>
      </c>
      <c r="U638" s="65"/>
    </row>
    <row r="639" spans="1:21" ht="12.75" customHeight="1" x14ac:dyDescent="0.15">
      <c r="A639" s="68"/>
      <c r="B639" s="69"/>
      <c r="C639" s="69"/>
      <c r="D639" s="69"/>
      <c r="E639" s="69"/>
      <c r="F639" s="69"/>
      <c r="G639" s="69"/>
      <c r="H639" s="69"/>
      <c r="I639" s="69"/>
      <c r="J639" s="69"/>
      <c r="K639" s="69"/>
      <c r="L639" s="69"/>
      <c r="M639" s="69"/>
      <c r="N639" s="69"/>
      <c r="O639" s="65"/>
      <c r="P639" s="70" t="s">
        <v>5011</v>
      </c>
      <c r="Q639" s="65"/>
      <c r="R639" s="71">
        <v>36811</v>
      </c>
      <c r="S639" s="65"/>
      <c r="T639" s="70" t="s">
        <v>5012</v>
      </c>
      <c r="U639" s="65"/>
    </row>
    <row r="640" spans="1:21" ht="24.75" customHeight="1" x14ac:dyDescent="0.15">
      <c r="A640" s="61">
        <v>1148</v>
      </c>
      <c r="B640" s="67" t="s">
        <v>5013</v>
      </c>
      <c r="C640" s="65"/>
      <c r="D640" s="66">
        <v>320</v>
      </c>
      <c r="E640" s="69"/>
      <c r="F640" s="65"/>
      <c r="G640" s="67" t="s">
        <v>5014</v>
      </c>
      <c r="H640" s="65"/>
      <c r="I640" s="64">
        <v>36809</v>
      </c>
      <c r="J640" s="65"/>
      <c r="K640" s="54">
        <v>1116</v>
      </c>
      <c r="L640" s="66">
        <v>1054</v>
      </c>
      <c r="M640" s="65"/>
      <c r="N640" s="70" t="s">
        <v>5015</v>
      </c>
      <c r="O640" s="65"/>
      <c r="P640" s="67" t="s">
        <v>5016</v>
      </c>
      <c r="Q640" s="65"/>
      <c r="R640" s="64">
        <v>36809</v>
      </c>
      <c r="S640" s="65"/>
      <c r="T640" s="67" t="s">
        <v>5017</v>
      </c>
      <c r="U640" s="65"/>
    </row>
    <row r="641" spans="1:21" ht="13.5" customHeight="1" x14ac:dyDescent="0.15">
      <c r="A641" s="68"/>
      <c r="B641" s="69"/>
      <c r="C641" s="69"/>
      <c r="D641" s="69"/>
      <c r="E641" s="69"/>
      <c r="F641" s="69"/>
      <c r="G641" s="69"/>
      <c r="H641" s="69"/>
      <c r="I641" s="69"/>
      <c r="J641" s="69"/>
      <c r="K641" s="69"/>
      <c r="L641" s="69"/>
      <c r="M641" s="69"/>
      <c r="N641" s="69"/>
      <c r="O641" s="65"/>
      <c r="P641" s="70" t="s">
        <v>5018</v>
      </c>
      <c r="Q641" s="65"/>
      <c r="R641" s="71">
        <v>36811</v>
      </c>
      <c r="S641" s="65"/>
      <c r="T641" s="70" t="s">
        <v>5019</v>
      </c>
      <c r="U641" s="65"/>
    </row>
    <row r="642" spans="1:21" ht="21" customHeight="1" x14ac:dyDescent="0.15">
      <c r="A642" s="60" t="s">
        <v>5020</v>
      </c>
      <c r="B642" s="72" t="s">
        <v>5021</v>
      </c>
      <c r="C642" s="65"/>
      <c r="D642" s="72" t="s">
        <v>5022</v>
      </c>
      <c r="E642" s="69"/>
      <c r="F642" s="65"/>
      <c r="G642" s="72" t="s">
        <v>5023</v>
      </c>
      <c r="H642" s="65"/>
      <c r="I642" s="72" t="s">
        <v>5024</v>
      </c>
      <c r="J642" s="65"/>
      <c r="K642" s="60" t="s">
        <v>5025</v>
      </c>
      <c r="L642" s="72" t="s">
        <v>5026</v>
      </c>
      <c r="M642" s="65"/>
      <c r="N642" s="72" t="s">
        <v>5027</v>
      </c>
      <c r="O642" s="65"/>
      <c r="P642" s="72" t="s">
        <v>5028</v>
      </c>
      <c r="Q642" s="65"/>
      <c r="R642" s="72" t="s">
        <v>5029</v>
      </c>
      <c r="S642" s="65"/>
      <c r="T642" s="72" t="s">
        <v>5030</v>
      </c>
      <c r="U642" s="65"/>
    </row>
    <row r="643" spans="1:21" ht="25.5" customHeight="1" x14ac:dyDescent="0.15">
      <c r="A643" s="61">
        <v>1149</v>
      </c>
      <c r="B643" s="67" t="s">
        <v>5031</v>
      </c>
      <c r="C643" s="65"/>
      <c r="D643" s="66">
        <v>2917</v>
      </c>
      <c r="E643" s="69"/>
      <c r="F643" s="65"/>
      <c r="G643" s="67" t="s">
        <v>5032</v>
      </c>
      <c r="H643" s="65"/>
      <c r="I643" s="64">
        <v>36772</v>
      </c>
      <c r="J643" s="65"/>
      <c r="K643" s="54">
        <v>1103</v>
      </c>
      <c r="L643" s="66">
        <v>1097</v>
      </c>
      <c r="M643" s="65"/>
      <c r="N643" s="70" t="s">
        <v>5033</v>
      </c>
      <c r="O643" s="65"/>
      <c r="P643" s="67" t="s">
        <v>5034</v>
      </c>
      <c r="Q643" s="65"/>
      <c r="R643" s="64">
        <v>36772</v>
      </c>
      <c r="S643" s="65"/>
      <c r="T643" s="67" t="s">
        <v>5035</v>
      </c>
      <c r="U643" s="65"/>
    </row>
    <row r="644" spans="1:21" ht="12.75" customHeight="1" x14ac:dyDescent="0.15">
      <c r="A644" s="68"/>
      <c r="B644" s="69"/>
      <c r="C644" s="69"/>
      <c r="D644" s="69"/>
      <c r="E644" s="69"/>
      <c r="F644" s="69"/>
      <c r="G644" s="69"/>
      <c r="H644" s="69"/>
      <c r="I644" s="69"/>
      <c r="J644" s="69"/>
      <c r="K644" s="69"/>
      <c r="L644" s="69"/>
      <c r="M644" s="69"/>
      <c r="N644" s="69"/>
      <c r="O644" s="65"/>
      <c r="P644" s="70" t="s">
        <v>5036</v>
      </c>
      <c r="Q644" s="65"/>
      <c r="R644" s="71">
        <v>36772</v>
      </c>
      <c r="S644" s="65"/>
      <c r="T644" s="70" t="s">
        <v>5037</v>
      </c>
      <c r="U644" s="65"/>
    </row>
    <row r="645" spans="1:21" ht="24.75" customHeight="1" x14ac:dyDescent="0.15">
      <c r="A645" s="61">
        <v>1150</v>
      </c>
      <c r="B645" s="67" t="s">
        <v>5038</v>
      </c>
      <c r="C645" s="65"/>
      <c r="D645" s="66">
        <v>200008</v>
      </c>
      <c r="E645" s="69"/>
      <c r="F645" s="65"/>
      <c r="G645" s="67" t="s">
        <v>5039</v>
      </c>
      <c r="H645" s="65"/>
      <c r="I645" s="64">
        <v>36593</v>
      </c>
      <c r="J645" s="65"/>
      <c r="K645" s="54">
        <v>1125</v>
      </c>
      <c r="L645" s="66">
        <v>1124</v>
      </c>
      <c r="M645" s="65"/>
      <c r="N645" s="70" t="s">
        <v>5040</v>
      </c>
      <c r="O645" s="65"/>
      <c r="P645" s="67" t="s">
        <v>5041</v>
      </c>
      <c r="Q645" s="65"/>
      <c r="R645" s="64">
        <v>36593</v>
      </c>
      <c r="S645" s="65"/>
      <c r="T645" s="67" t="s">
        <v>5042</v>
      </c>
      <c r="U645" s="65"/>
    </row>
    <row r="646" spans="1:21" ht="12.75" customHeight="1" x14ac:dyDescent="0.15">
      <c r="A646" s="68"/>
      <c r="B646" s="69"/>
      <c r="C646" s="69"/>
      <c r="D646" s="69"/>
      <c r="E646" s="69"/>
      <c r="F646" s="69"/>
      <c r="G646" s="69"/>
      <c r="H646" s="69"/>
      <c r="I646" s="69"/>
      <c r="J646" s="69"/>
      <c r="K646" s="69"/>
      <c r="L646" s="69"/>
      <c r="M646" s="69"/>
      <c r="N646" s="69"/>
      <c r="O646" s="65"/>
      <c r="P646" s="70" t="s">
        <v>5043</v>
      </c>
      <c r="Q646" s="65"/>
      <c r="R646" s="71">
        <v>37263</v>
      </c>
      <c r="S646" s="65"/>
      <c r="T646" s="70" t="s">
        <v>5044</v>
      </c>
      <c r="U646" s="65"/>
    </row>
    <row r="647" spans="1:21" ht="25.5" customHeight="1" x14ac:dyDescent="0.15">
      <c r="A647" s="61">
        <v>1151</v>
      </c>
      <c r="B647" s="67" t="s">
        <v>5045</v>
      </c>
      <c r="C647" s="65"/>
      <c r="D647" s="67" t="s">
        <v>5046</v>
      </c>
      <c r="E647" s="69"/>
      <c r="F647" s="65"/>
      <c r="G647" s="67" t="s">
        <v>5047</v>
      </c>
      <c r="H647" s="65"/>
      <c r="I647" s="64">
        <v>36593</v>
      </c>
      <c r="J647" s="65"/>
      <c r="K647" s="54">
        <v>1125</v>
      </c>
      <c r="L647" s="66">
        <v>1124</v>
      </c>
      <c r="M647" s="65"/>
      <c r="N647" s="70" t="s">
        <v>5048</v>
      </c>
      <c r="O647" s="65"/>
      <c r="P647" s="67" t="s">
        <v>5049</v>
      </c>
      <c r="Q647" s="65"/>
      <c r="R647" s="64">
        <v>36593</v>
      </c>
      <c r="S647" s="65"/>
      <c r="T647" s="67" t="s">
        <v>5050</v>
      </c>
      <c r="U647" s="65"/>
    </row>
    <row r="648" spans="1:21" ht="13.5" customHeight="1" x14ac:dyDescent="0.15">
      <c r="A648" s="68"/>
      <c r="B648" s="69"/>
      <c r="C648" s="69"/>
      <c r="D648" s="69"/>
      <c r="E648" s="69"/>
      <c r="F648" s="69"/>
      <c r="G648" s="69"/>
      <c r="H648" s="69"/>
      <c r="I648" s="69"/>
      <c r="J648" s="69"/>
      <c r="K648" s="69"/>
      <c r="L648" s="69"/>
      <c r="M648" s="69"/>
      <c r="N648" s="69"/>
      <c r="O648" s="65"/>
      <c r="P648" s="70" t="s">
        <v>5051</v>
      </c>
      <c r="Q648" s="65"/>
      <c r="R648" s="71">
        <v>38162</v>
      </c>
      <c r="S648" s="65"/>
      <c r="T648" s="70" t="s">
        <v>5052</v>
      </c>
      <c r="U648" s="65"/>
    </row>
    <row r="649" spans="1:21" ht="12.75" customHeight="1" x14ac:dyDescent="0.15">
      <c r="A649" s="68"/>
      <c r="B649" s="69"/>
      <c r="C649" s="69"/>
      <c r="D649" s="69"/>
      <c r="E649" s="69"/>
      <c r="F649" s="69"/>
      <c r="G649" s="69"/>
      <c r="H649" s="69"/>
      <c r="I649" s="69"/>
      <c r="J649" s="69"/>
      <c r="K649" s="69"/>
      <c r="L649" s="69"/>
      <c r="M649" s="69"/>
      <c r="N649" s="69"/>
      <c r="O649" s="65"/>
      <c r="P649" s="70" t="s">
        <v>5053</v>
      </c>
      <c r="Q649" s="65"/>
      <c r="R649" s="71">
        <v>40230</v>
      </c>
      <c r="S649" s="65"/>
      <c r="T649" s="70" t="s">
        <v>5054</v>
      </c>
      <c r="U649" s="65"/>
    </row>
    <row r="650" spans="1:21" ht="12.75" customHeight="1" x14ac:dyDescent="0.15">
      <c r="A650" s="61">
        <v>2006</v>
      </c>
      <c r="B650" s="70" t="s">
        <v>5055</v>
      </c>
      <c r="C650" s="65"/>
      <c r="D650" s="68"/>
      <c r="E650" s="69"/>
      <c r="F650" s="65"/>
      <c r="G650" s="70" t="s">
        <v>5056</v>
      </c>
      <c r="H650" s="65"/>
      <c r="I650" s="70" t="s">
        <v>5057</v>
      </c>
      <c r="J650" s="65"/>
      <c r="K650" s="56" t="s">
        <v>5058</v>
      </c>
      <c r="L650" s="70" t="s">
        <v>5059</v>
      </c>
      <c r="M650" s="65"/>
      <c r="N650" s="70" t="s">
        <v>5060</v>
      </c>
      <c r="O650" s="65"/>
      <c r="P650" s="70" t="s">
        <v>5061</v>
      </c>
      <c r="Q650" s="65"/>
      <c r="R650" s="70" t="s">
        <v>5062</v>
      </c>
      <c r="S650" s="65"/>
      <c r="T650" s="70" t="s">
        <v>5063</v>
      </c>
      <c r="U650" s="65"/>
    </row>
    <row r="651" spans="1:21" ht="13.5" customHeight="1" x14ac:dyDescent="0.15">
      <c r="A651" s="68"/>
      <c r="B651" s="69"/>
      <c r="C651" s="69"/>
      <c r="D651" s="69"/>
      <c r="E651" s="69"/>
      <c r="F651" s="69"/>
      <c r="G651" s="69"/>
      <c r="H651" s="69"/>
      <c r="I651" s="69"/>
      <c r="J651" s="69"/>
      <c r="K651" s="69"/>
      <c r="L651" s="69"/>
      <c r="M651" s="69"/>
      <c r="N651" s="69"/>
      <c r="O651" s="65"/>
      <c r="P651" s="70" t="s">
        <v>5064</v>
      </c>
      <c r="Q651" s="65"/>
      <c r="R651" s="70" t="s">
        <v>5065</v>
      </c>
      <c r="S651" s="65"/>
      <c r="T651" s="70" t="s">
        <v>5066</v>
      </c>
      <c r="U651" s="65"/>
    </row>
    <row r="652" spans="1:21" ht="12.75" customHeight="1" x14ac:dyDescent="0.15">
      <c r="A652" s="68"/>
      <c r="B652" s="69"/>
      <c r="C652" s="69"/>
      <c r="D652" s="69"/>
      <c r="E652" s="69"/>
      <c r="F652" s="69"/>
      <c r="G652" s="69"/>
      <c r="H652" s="69"/>
      <c r="I652" s="69"/>
      <c r="J652" s="69"/>
      <c r="K652" s="69"/>
      <c r="L652" s="69"/>
      <c r="M652" s="69"/>
      <c r="N652" s="69"/>
      <c r="O652" s="65"/>
      <c r="P652" s="70" t="s">
        <v>5067</v>
      </c>
      <c r="Q652" s="65"/>
      <c r="R652" s="70" t="s">
        <v>5068</v>
      </c>
      <c r="S652" s="65"/>
      <c r="T652" s="70" t="s">
        <v>5069</v>
      </c>
      <c r="U652" s="65"/>
    </row>
    <row r="653" spans="1:21" ht="12.75" customHeight="1" x14ac:dyDescent="0.15">
      <c r="A653" s="68"/>
      <c r="B653" s="69"/>
      <c r="C653" s="69"/>
      <c r="D653" s="69"/>
      <c r="E653" s="69"/>
      <c r="F653" s="69"/>
      <c r="G653" s="69"/>
      <c r="H653" s="69"/>
      <c r="I653" s="69"/>
      <c r="J653" s="69"/>
      <c r="K653" s="69"/>
      <c r="L653" s="69"/>
      <c r="M653" s="69"/>
      <c r="N653" s="69"/>
      <c r="O653" s="65"/>
      <c r="P653" s="70" t="s">
        <v>5070</v>
      </c>
      <c r="Q653" s="65"/>
      <c r="R653" s="71">
        <v>31708</v>
      </c>
      <c r="S653" s="65"/>
      <c r="T653" s="70" t="s">
        <v>5071</v>
      </c>
      <c r="U653" s="65"/>
    </row>
    <row r="654" spans="1:21" ht="12.75" customHeight="1" x14ac:dyDescent="0.15">
      <c r="A654" s="68"/>
      <c r="B654" s="69"/>
      <c r="C654" s="69"/>
      <c r="D654" s="69"/>
      <c r="E654" s="69"/>
      <c r="F654" s="69"/>
      <c r="G654" s="69"/>
      <c r="H654" s="69"/>
      <c r="I654" s="69"/>
      <c r="J654" s="69"/>
      <c r="K654" s="69"/>
      <c r="L654" s="69"/>
      <c r="M654" s="69"/>
      <c r="N654" s="69"/>
      <c r="O654" s="65"/>
      <c r="P654" s="70" t="s">
        <v>5072</v>
      </c>
      <c r="Q654" s="65"/>
      <c r="R654" s="71">
        <v>33013</v>
      </c>
      <c r="S654" s="65"/>
      <c r="T654" s="70" t="s">
        <v>5073</v>
      </c>
      <c r="U654" s="65"/>
    </row>
    <row r="655" spans="1:21" ht="13.5" customHeight="1" x14ac:dyDescent="0.15">
      <c r="A655" s="68"/>
      <c r="B655" s="69"/>
      <c r="C655" s="69"/>
      <c r="D655" s="69"/>
      <c r="E655" s="69"/>
      <c r="F655" s="69"/>
      <c r="G655" s="69"/>
      <c r="H655" s="69"/>
      <c r="I655" s="69"/>
      <c r="J655" s="69"/>
      <c r="K655" s="69"/>
      <c r="L655" s="69"/>
      <c r="M655" s="69"/>
      <c r="N655" s="69"/>
      <c r="O655" s="65"/>
      <c r="P655" s="70" t="s">
        <v>5074</v>
      </c>
      <c r="Q655" s="65"/>
      <c r="R655" s="71">
        <v>33201</v>
      </c>
      <c r="S655" s="65"/>
      <c r="T655" s="70" t="s">
        <v>5075</v>
      </c>
      <c r="U655" s="65"/>
    </row>
    <row r="656" spans="1:21" ht="12.75" customHeight="1" x14ac:dyDescent="0.15">
      <c r="A656" s="61">
        <v>2097</v>
      </c>
      <c r="B656" s="70" t="s">
        <v>5076</v>
      </c>
      <c r="C656" s="65"/>
      <c r="D656" s="76">
        <v>33037</v>
      </c>
      <c r="E656" s="69"/>
      <c r="F656" s="65"/>
      <c r="G656" s="70" t="s">
        <v>5077</v>
      </c>
      <c r="H656" s="65"/>
      <c r="I656" s="70" t="s">
        <v>5078</v>
      </c>
      <c r="J656" s="65"/>
      <c r="K656" s="56" t="s">
        <v>5079</v>
      </c>
      <c r="L656" s="70" t="s">
        <v>5080</v>
      </c>
      <c r="M656" s="65"/>
      <c r="N656" s="70" t="s">
        <v>5081</v>
      </c>
      <c r="O656" s="65"/>
      <c r="P656" s="70" t="s">
        <v>5082</v>
      </c>
      <c r="Q656" s="65"/>
      <c r="R656" s="70" t="s">
        <v>5083</v>
      </c>
      <c r="S656" s="65"/>
      <c r="T656" s="70" t="s">
        <v>5084</v>
      </c>
      <c r="U656" s="65"/>
    </row>
    <row r="657" spans="1:21" ht="12.75" customHeight="1" x14ac:dyDescent="0.15">
      <c r="A657" s="68"/>
      <c r="B657" s="69"/>
      <c r="C657" s="69"/>
      <c r="D657" s="69"/>
      <c r="E657" s="69"/>
      <c r="F657" s="69"/>
      <c r="G657" s="69"/>
      <c r="H657" s="69"/>
      <c r="I657" s="69"/>
      <c r="J657" s="69"/>
      <c r="K657" s="69"/>
      <c r="L657" s="69"/>
      <c r="M657" s="69"/>
      <c r="N657" s="69"/>
      <c r="O657" s="65"/>
      <c r="P657" s="70" t="s">
        <v>5085</v>
      </c>
      <c r="Q657" s="65"/>
      <c r="R657" s="70" t="s">
        <v>5086</v>
      </c>
      <c r="S657" s="65"/>
      <c r="T657" s="70" t="s">
        <v>5087</v>
      </c>
      <c r="U657" s="65"/>
    </row>
    <row r="658" spans="1:21" ht="12.75" customHeight="1" x14ac:dyDescent="0.15">
      <c r="A658" s="68"/>
      <c r="B658" s="69"/>
      <c r="C658" s="69"/>
      <c r="D658" s="69"/>
      <c r="E658" s="69"/>
      <c r="F658" s="69"/>
      <c r="G658" s="69"/>
      <c r="H658" s="69"/>
      <c r="I658" s="69"/>
      <c r="J658" s="69"/>
      <c r="K658" s="69"/>
      <c r="L658" s="69"/>
      <c r="M658" s="69"/>
      <c r="N658" s="69"/>
      <c r="O658" s="65"/>
      <c r="P658" s="70" t="s">
        <v>5088</v>
      </c>
      <c r="Q658" s="65"/>
      <c r="R658" s="70" t="s">
        <v>5089</v>
      </c>
      <c r="S658" s="65"/>
      <c r="T658" s="70" t="s">
        <v>5090</v>
      </c>
      <c r="U658" s="65"/>
    </row>
    <row r="659" spans="1:21" ht="13.5" customHeight="1" x14ac:dyDescent="0.15">
      <c r="A659" s="68"/>
      <c r="B659" s="69"/>
      <c r="C659" s="69"/>
      <c r="D659" s="69"/>
      <c r="E659" s="69"/>
      <c r="F659" s="69"/>
      <c r="G659" s="69"/>
      <c r="H659" s="69"/>
      <c r="I659" s="69"/>
      <c r="J659" s="69"/>
      <c r="K659" s="69"/>
      <c r="L659" s="69"/>
      <c r="M659" s="69"/>
      <c r="N659" s="69"/>
      <c r="O659" s="65"/>
      <c r="P659" s="70" t="s">
        <v>5091</v>
      </c>
      <c r="Q659" s="65"/>
      <c r="R659" s="71">
        <v>32982</v>
      </c>
      <c r="S659" s="65"/>
      <c r="T659" s="70" t="s">
        <v>5092</v>
      </c>
      <c r="U659" s="65"/>
    </row>
    <row r="660" spans="1:21" ht="12.75" customHeight="1" x14ac:dyDescent="0.15">
      <c r="A660" s="68"/>
      <c r="B660" s="69"/>
      <c r="C660" s="69"/>
      <c r="D660" s="69"/>
      <c r="E660" s="69"/>
      <c r="F660" s="69"/>
      <c r="G660" s="69"/>
      <c r="H660" s="69"/>
      <c r="I660" s="69"/>
      <c r="J660" s="69"/>
      <c r="K660" s="69"/>
      <c r="L660" s="69"/>
      <c r="M660" s="69"/>
      <c r="N660" s="69"/>
      <c r="O660" s="65"/>
      <c r="P660" s="70" t="s">
        <v>5093</v>
      </c>
      <c r="Q660" s="65"/>
      <c r="R660" s="71">
        <v>35085</v>
      </c>
      <c r="S660" s="65"/>
      <c r="T660" s="70" t="s">
        <v>5094</v>
      </c>
      <c r="U660" s="65"/>
    </row>
    <row r="661" spans="1:21" ht="24.75" customHeight="1" x14ac:dyDescent="0.15">
      <c r="A661" s="61">
        <v>2098</v>
      </c>
      <c r="B661" s="67" t="s">
        <v>5095</v>
      </c>
      <c r="C661" s="65"/>
      <c r="D661" s="66">
        <v>33036</v>
      </c>
      <c r="E661" s="69"/>
      <c r="F661" s="65"/>
      <c r="G661" s="67" t="s">
        <v>5096</v>
      </c>
      <c r="H661" s="65"/>
      <c r="I661" s="70" t="s">
        <v>5097</v>
      </c>
      <c r="J661" s="65"/>
      <c r="K661" s="55" t="s">
        <v>5098</v>
      </c>
      <c r="L661" s="67" t="s">
        <v>5099</v>
      </c>
      <c r="M661" s="65"/>
      <c r="N661" s="67" t="s">
        <v>5100</v>
      </c>
      <c r="O661" s="65"/>
      <c r="P661" s="67" t="s">
        <v>5101</v>
      </c>
      <c r="Q661" s="65"/>
      <c r="R661" s="70" t="s">
        <v>5102</v>
      </c>
      <c r="S661" s="65"/>
      <c r="T661" s="67" t="s">
        <v>5103</v>
      </c>
      <c r="U661" s="65"/>
    </row>
    <row r="662" spans="1:21" ht="12.75" customHeight="1" x14ac:dyDescent="0.15">
      <c r="A662" s="68"/>
      <c r="B662" s="69"/>
      <c r="C662" s="69"/>
      <c r="D662" s="69"/>
      <c r="E662" s="69"/>
      <c r="F662" s="69"/>
      <c r="G662" s="69"/>
      <c r="H662" s="69"/>
      <c r="I662" s="69"/>
      <c r="J662" s="69"/>
      <c r="K662" s="69"/>
      <c r="L662" s="69"/>
      <c r="M662" s="69"/>
      <c r="N662" s="69"/>
      <c r="O662" s="65"/>
      <c r="P662" s="70" t="s">
        <v>5104</v>
      </c>
      <c r="Q662" s="65"/>
      <c r="R662" s="70" t="s">
        <v>5105</v>
      </c>
      <c r="S662" s="65"/>
      <c r="T662" s="70" t="s">
        <v>5106</v>
      </c>
      <c r="U662" s="65"/>
    </row>
    <row r="663" spans="1:21" ht="38.25" customHeight="1" x14ac:dyDescent="0.15">
      <c r="A663" s="75"/>
      <c r="B663" s="69"/>
      <c r="C663" s="69"/>
      <c r="D663" s="69"/>
      <c r="E663" s="69"/>
      <c r="F663" s="69"/>
      <c r="G663" s="69"/>
      <c r="H663" s="69"/>
      <c r="I663" s="69"/>
      <c r="J663" s="69"/>
      <c r="K663" s="69"/>
      <c r="L663" s="69"/>
      <c r="M663" s="69"/>
      <c r="N663" s="69"/>
      <c r="O663" s="65"/>
      <c r="P663" s="77" t="s">
        <v>5107</v>
      </c>
      <c r="Q663" s="65"/>
      <c r="R663" s="77" t="s">
        <v>5108</v>
      </c>
      <c r="S663" s="65"/>
      <c r="T663" s="73" t="s">
        <v>5109</v>
      </c>
      <c r="U663" s="65"/>
    </row>
    <row r="664" spans="1:21" ht="12.75" customHeight="1" x14ac:dyDescent="0.15">
      <c r="A664" s="68"/>
      <c r="B664" s="69"/>
      <c r="C664" s="69"/>
      <c r="D664" s="69"/>
      <c r="E664" s="69"/>
      <c r="F664" s="69"/>
      <c r="G664" s="69"/>
      <c r="H664" s="69"/>
      <c r="I664" s="69"/>
      <c r="J664" s="69"/>
      <c r="K664" s="69"/>
      <c r="L664" s="69"/>
      <c r="M664" s="69"/>
      <c r="N664" s="69"/>
      <c r="O664" s="65"/>
      <c r="P664" s="70" t="s">
        <v>5110</v>
      </c>
      <c r="Q664" s="65"/>
      <c r="R664" s="71">
        <v>32982</v>
      </c>
      <c r="S664" s="65"/>
      <c r="T664" s="70" t="s">
        <v>5111</v>
      </c>
      <c r="U664" s="65"/>
    </row>
    <row r="665" spans="1:21" ht="12.75" customHeight="1" x14ac:dyDescent="0.15">
      <c r="A665" s="68"/>
      <c r="B665" s="69"/>
      <c r="C665" s="69"/>
      <c r="D665" s="69"/>
      <c r="E665" s="69"/>
      <c r="F665" s="69"/>
      <c r="G665" s="69"/>
      <c r="H665" s="69"/>
      <c r="I665" s="69"/>
      <c r="J665" s="69"/>
      <c r="K665" s="69"/>
      <c r="L665" s="69"/>
      <c r="M665" s="69"/>
      <c r="N665" s="69"/>
      <c r="O665" s="65"/>
      <c r="P665" s="70" t="s">
        <v>5112</v>
      </c>
      <c r="Q665" s="65"/>
      <c r="R665" s="71">
        <v>36745</v>
      </c>
      <c r="S665" s="65"/>
      <c r="T665" s="70" t="s">
        <v>5113</v>
      </c>
      <c r="U665" s="65"/>
    </row>
    <row r="666" spans="1:21" ht="25.5" customHeight="1" x14ac:dyDescent="0.15">
      <c r="A666" s="61">
        <v>2108</v>
      </c>
      <c r="B666" s="67" t="s">
        <v>5114</v>
      </c>
      <c r="C666" s="65"/>
      <c r="D666" s="66">
        <v>3036</v>
      </c>
      <c r="E666" s="69"/>
      <c r="F666" s="65"/>
      <c r="G666" s="67" t="s">
        <v>5115</v>
      </c>
      <c r="H666" s="65"/>
      <c r="I666" s="64">
        <v>32608</v>
      </c>
      <c r="J666" s="65"/>
      <c r="K666" s="55" t="s">
        <v>5116</v>
      </c>
      <c r="L666" s="66">
        <v>2097</v>
      </c>
      <c r="M666" s="65"/>
      <c r="N666" s="70" t="s">
        <v>5117</v>
      </c>
      <c r="O666" s="65"/>
      <c r="P666" s="67" t="s">
        <v>5118</v>
      </c>
      <c r="Q666" s="65"/>
      <c r="R666" s="64">
        <v>32608</v>
      </c>
      <c r="S666" s="65"/>
      <c r="T666" s="67" t="s">
        <v>5119</v>
      </c>
      <c r="U666" s="65"/>
    </row>
    <row r="667" spans="1:21" ht="12.75" customHeight="1" x14ac:dyDescent="0.15">
      <c r="A667" s="68"/>
      <c r="B667" s="69"/>
      <c r="C667" s="69"/>
      <c r="D667" s="69"/>
      <c r="E667" s="69"/>
      <c r="F667" s="69"/>
      <c r="G667" s="69"/>
      <c r="H667" s="69"/>
      <c r="I667" s="69"/>
      <c r="J667" s="69"/>
      <c r="K667" s="69"/>
      <c r="L667" s="69"/>
      <c r="M667" s="69"/>
      <c r="N667" s="69"/>
      <c r="O667" s="65"/>
      <c r="P667" s="70" t="s">
        <v>5120</v>
      </c>
      <c r="Q667" s="65"/>
      <c r="R667" s="71">
        <v>32982</v>
      </c>
      <c r="S667" s="65"/>
      <c r="T667" s="70" t="s">
        <v>5121</v>
      </c>
      <c r="U667" s="65"/>
    </row>
    <row r="668" spans="1:21" ht="12.75" customHeight="1" x14ac:dyDescent="0.15">
      <c r="A668" s="68"/>
      <c r="B668" s="69"/>
      <c r="C668" s="69"/>
      <c r="D668" s="69"/>
      <c r="E668" s="69"/>
      <c r="F668" s="69"/>
      <c r="G668" s="69"/>
      <c r="H668" s="69"/>
      <c r="I668" s="69"/>
      <c r="J668" s="69"/>
      <c r="K668" s="69"/>
      <c r="L668" s="69"/>
      <c r="M668" s="69"/>
      <c r="N668" s="69"/>
      <c r="O668" s="65"/>
      <c r="P668" s="70" t="s">
        <v>5122</v>
      </c>
      <c r="Q668" s="65"/>
      <c r="R668" s="71">
        <v>37586</v>
      </c>
      <c r="S668" s="65"/>
      <c r="T668" s="70" t="s">
        <v>5123</v>
      </c>
      <c r="U668" s="65"/>
    </row>
    <row r="669" spans="1:21" ht="12.75" customHeight="1" x14ac:dyDescent="0.15">
      <c r="A669" s="68"/>
      <c r="B669" s="69"/>
      <c r="C669" s="69"/>
      <c r="D669" s="69"/>
      <c r="E669" s="69"/>
      <c r="F669" s="69"/>
      <c r="G669" s="69"/>
      <c r="H669" s="69"/>
      <c r="I669" s="69"/>
      <c r="J669" s="69"/>
      <c r="K669" s="69"/>
      <c r="L669" s="69"/>
      <c r="M669" s="69"/>
      <c r="N669" s="69"/>
      <c r="O669" s="65"/>
      <c r="P669" s="70" t="s">
        <v>5124</v>
      </c>
      <c r="Q669" s="65"/>
      <c r="R669" s="71">
        <v>37940</v>
      </c>
      <c r="S669" s="65"/>
      <c r="T669" s="70" t="s">
        <v>5125</v>
      </c>
      <c r="U669" s="65"/>
    </row>
    <row r="670" spans="1:21" ht="13.5" customHeight="1" x14ac:dyDescent="0.15">
      <c r="A670" s="61">
        <v>2129</v>
      </c>
      <c r="B670" s="70" t="s">
        <v>5126</v>
      </c>
      <c r="C670" s="65"/>
      <c r="D670" s="76">
        <v>3037</v>
      </c>
      <c r="E670" s="69"/>
      <c r="F670" s="65"/>
      <c r="G670" s="70" t="s">
        <v>5127</v>
      </c>
      <c r="H670" s="65"/>
      <c r="I670" s="70" t="s">
        <v>5128</v>
      </c>
      <c r="J670" s="65"/>
      <c r="K670" s="56" t="s">
        <v>5129</v>
      </c>
      <c r="L670" s="70" t="s">
        <v>5130</v>
      </c>
      <c r="M670" s="65"/>
      <c r="N670" s="70" t="s">
        <v>5131</v>
      </c>
      <c r="O670" s="65"/>
      <c r="P670" s="70" t="s">
        <v>5132</v>
      </c>
      <c r="Q670" s="65"/>
      <c r="R670" s="70" t="s">
        <v>5133</v>
      </c>
      <c r="S670" s="65"/>
      <c r="T670" s="70" t="s">
        <v>5134</v>
      </c>
      <c r="U670" s="65"/>
    </row>
    <row r="671" spans="1:21" ht="12.75" customHeight="1" x14ac:dyDescent="0.15">
      <c r="A671" s="68"/>
      <c r="B671" s="69"/>
      <c r="C671" s="69"/>
      <c r="D671" s="69"/>
      <c r="E671" s="69"/>
      <c r="F671" s="69"/>
      <c r="G671" s="69"/>
      <c r="H671" s="69"/>
      <c r="I671" s="69"/>
      <c r="J671" s="69"/>
      <c r="K671" s="69"/>
      <c r="L671" s="69"/>
      <c r="M671" s="69"/>
      <c r="N671" s="69"/>
      <c r="O671" s="65"/>
      <c r="P671" s="70" t="s">
        <v>5135</v>
      </c>
      <c r="Q671" s="65"/>
      <c r="R671" s="70" t="s">
        <v>5136</v>
      </c>
      <c r="S671" s="65"/>
      <c r="T671" s="70" t="s">
        <v>5137</v>
      </c>
      <c r="U671" s="65"/>
    </row>
    <row r="672" spans="1:21" ht="12.75" customHeight="1" x14ac:dyDescent="0.15">
      <c r="A672" s="68"/>
      <c r="B672" s="69"/>
      <c r="C672" s="69"/>
      <c r="D672" s="69"/>
      <c r="E672" s="69"/>
      <c r="F672" s="69"/>
      <c r="G672" s="69"/>
      <c r="H672" s="69"/>
      <c r="I672" s="69"/>
      <c r="J672" s="69"/>
      <c r="K672" s="69"/>
      <c r="L672" s="69"/>
      <c r="M672" s="69"/>
      <c r="N672" s="69"/>
      <c r="O672" s="65"/>
      <c r="P672" s="70" t="s">
        <v>5138</v>
      </c>
      <c r="Q672" s="65"/>
      <c r="R672" s="70" t="s">
        <v>5139</v>
      </c>
      <c r="S672" s="65"/>
      <c r="T672" s="70" t="s">
        <v>5140</v>
      </c>
      <c r="U672" s="65"/>
    </row>
    <row r="673" spans="1:21" ht="12.75" customHeight="1" x14ac:dyDescent="0.15">
      <c r="A673" s="68"/>
      <c r="B673" s="69"/>
      <c r="C673" s="69"/>
      <c r="D673" s="69"/>
      <c r="E673" s="69"/>
      <c r="F673" s="69"/>
      <c r="G673" s="69"/>
      <c r="H673" s="69"/>
      <c r="I673" s="69"/>
      <c r="J673" s="69"/>
      <c r="K673" s="69"/>
      <c r="L673" s="69"/>
      <c r="M673" s="69"/>
      <c r="N673" s="69"/>
      <c r="O673" s="65"/>
      <c r="P673" s="70" t="s">
        <v>5141</v>
      </c>
      <c r="Q673" s="65"/>
      <c r="R673" s="71">
        <v>33523</v>
      </c>
      <c r="S673" s="65"/>
      <c r="T673" s="70" t="s">
        <v>5142</v>
      </c>
      <c r="U673" s="65"/>
    </row>
    <row r="674" spans="1:21" ht="13.5" customHeight="1" x14ac:dyDescent="0.15">
      <c r="A674" s="68"/>
      <c r="B674" s="69"/>
      <c r="C674" s="69"/>
      <c r="D674" s="69"/>
      <c r="E674" s="69"/>
      <c r="F674" s="69"/>
      <c r="G674" s="69"/>
      <c r="H674" s="69"/>
      <c r="I674" s="69"/>
      <c r="J674" s="69"/>
      <c r="K674" s="69"/>
      <c r="L674" s="69"/>
      <c r="M674" s="69"/>
      <c r="N674" s="69"/>
      <c r="O674" s="65"/>
      <c r="P674" s="70" t="s">
        <v>5143</v>
      </c>
      <c r="Q674" s="65"/>
      <c r="R674" s="71">
        <v>33724</v>
      </c>
      <c r="S674" s="65"/>
      <c r="T674" s="70" t="s">
        <v>5144</v>
      </c>
      <c r="U674" s="65"/>
    </row>
    <row r="675" spans="1:21" ht="21" customHeight="1" x14ac:dyDescent="0.15">
      <c r="A675" s="60" t="s">
        <v>5145</v>
      </c>
      <c r="B675" s="72" t="s">
        <v>5146</v>
      </c>
      <c r="C675" s="65"/>
      <c r="D675" s="72" t="s">
        <v>5147</v>
      </c>
      <c r="E675" s="69"/>
      <c r="F675" s="65"/>
      <c r="G675" s="72" t="s">
        <v>5148</v>
      </c>
      <c r="H675" s="65"/>
      <c r="I675" s="72" t="s">
        <v>5149</v>
      </c>
      <c r="J675" s="65"/>
      <c r="K675" s="60" t="s">
        <v>5150</v>
      </c>
      <c r="L675" s="72" t="s">
        <v>5151</v>
      </c>
      <c r="M675" s="65"/>
      <c r="N675" s="72" t="s">
        <v>5152</v>
      </c>
      <c r="O675" s="65"/>
      <c r="P675" s="72" t="s">
        <v>5153</v>
      </c>
      <c r="Q675" s="65"/>
      <c r="R675" s="72" t="s">
        <v>5154</v>
      </c>
      <c r="S675" s="65"/>
      <c r="T675" s="72" t="s">
        <v>5155</v>
      </c>
      <c r="U675" s="65"/>
    </row>
    <row r="676" spans="1:21" ht="13.5" customHeight="1" x14ac:dyDescent="0.15">
      <c r="A676" s="68"/>
      <c r="B676" s="69"/>
      <c r="C676" s="69"/>
      <c r="D676" s="69"/>
      <c r="E676" s="69"/>
      <c r="F676" s="69"/>
      <c r="G676" s="69"/>
      <c r="H676" s="69"/>
      <c r="I676" s="69"/>
      <c r="J676" s="69"/>
      <c r="K676" s="69"/>
      <c r="L676" s="69"/>
      <c r="M676" s="69"/>
      <c r="N676" s="69"/>
      <c r="O676" s="65"/>
      <c r="P676" s="70" t="s">
        <v>5156</v>
      </c>
      <c r="Q676" s="65"/>
      <c r="R676" s="71">
        <v>37586</v>
      </c>
      <c r="S676" s="65"/>
      <c r="T676" s="70" t="s">
        <v>5157</v>
      </c>
      <c r="U676" s="65"/>
    </row>
    <row r="677" spans="1:21" ht="12.75" customHeight="1" x14ac:dyDescent="0.15">
      <c r="A677" s="68"/>
      <c r="B677" s="69"/>
      <c r="C677" s="69"/>
      <c r="D677" s="69"/>
      <c r="E677" s="69"/>
      <c r="F677" s="69"/>
      <c r="G677" s="69"/>
      <c r="H677" s="69"/>
      <c r="I677" s="69"/>
      <c r="J677" s="69"/>
      <c r="K677" s="69"/>
      <c r="L677" s="69"/>
      <c r="M677" s="69"/>
      <c r="N677" s="69"/>
      <c r="O677" s="65"/>
      <c r="P677" s="70" t="s">
        <v>5158</v>
      </c>
      <c r="Q677" s="65"/>
      <c r="R677" s="71">
        <v>38692</v>
      </c>
      <c r="S677" s="65"/>
      <c r="T677" s="70" t="s">
        <v>5159</v>
      </c>
      <c r="U677" s="65"/>
    </row>
    <row r="678" spans="1:21" ht="24.75" customHeight="1" x14ac:dyDescent="0.15">
      <c r="A678" s="61">
        <v>2208</v>
      </c>
      <c r="B678" s="67" t="s">
        <v>5160</v>
      </c>
      <c r="C678" s="65"/>
      <c r="D678" s="66">
        <v>9422</v>
      </c>
      <c r="E678" s="69"/>
      <c r="F678" s="65"/>
      <c r="G678" s="67" t="s">
        <v>5161</v>
      </c>
      <c r="H678" s="65"/>
      <c r="I678" s="64">
        <v>34451</v>
      </c>
      <c r="J678" s="65"/>
      <c r="K678" s="54">
        <v>2108</v>
      </c>
      <c r="L678" s="66">
        <v>2129</v>
      </c>
      <c r="M678" s="65"/>
      <c r="N678" s="70" t="s">
        <v>5162</v>
      </c>
      <c r="O678" s="65"/>
      <c r="P678" s="67" t="s">
        <v>5163</v>
      </c>
      <c r="Q678" s="65"/>
      <c r="R678" s="64">
        <v>34451</v>
      </c>
      <c r="S678" s="65"/>
      <c r="T678" s="67" t="s">
        <v>5164</v>
      </c>
      <c r="U678" s="65"/>
    </row>
    <row r="679" spans="1:21" ht="12.75" customHeight="1" x14ac:dyDescent="0.15">
      <c r="A679" s="68"/>
      <c r="B679" s="69"/>
      <c r="C679" s="69"/>
      <c r="D679" s="69"/>
      <c r="E679" s="69"/>
      <c r="F679" s="69"/>
      <c r="G679" s="69"/>
      <c r="H679" s="69"/>
      <c r="I679" s="69"/>
      <c r="J679" s="69"/>
      <c r="K679" s="69"/>
      <c r="L679" s="69"/>
      <c r="M679" s="69"/>
      <c r="N679" s="69"/>
      <c r="O679" s="65"/>
      <c r="P679" s="70" t="s">
        <v>5165</v>
      </c>
      <c r="Q679" s="65"/>
      <c r="R679" s="71">
        <v>35970</v>
      </c>
      <c r="S679" s="65"/>
      <c r="T679" s="70" t="s">
        <v>5166</v>
      </c>
      <c r="U679" s="65"/>
    </row>
    <row r="680" spans="1:21" ht="13.5" customHeight="1" x14ac:dyDescent="0.15">
      <c r="A680" s="68"/>
      <c r="B680" s="69"/>
      <c r="C680" s="69"/>
      <c r="D680" s="69"/>
      <c r="E680" s="69"/>
      <c r="F680" s="69"/>
      <c r="G680" s="69"/>
      <c r="H680" s="69"/>
      <c r="I680" s="69"/>
      <c r="J680" s="69"/>
      <c r="K680" s="69"/>
      <c r="L680" s="69"/>
      <c r="M680" s="69"/>
      <c r="N680" s="69"/>
      <c r="O680" s="65"/>
      <c r="P680" s="70" t="s">
        <v>5167</v>
      </c>
      <c r="Q680" s="65"/>
      <c r="R680" s="71">
        <v>36081</v>
      </c>
      <c r="S680" s="65"/>
      <c r="T680" s="70" t="s">
        <v>5168</v>
      </c>
      <c r="U680" s="65"/>
    </row>
    <row r="681" spans="1:21" ht="12.75" customHeight="1" x14ac:dyDescent="0.15">
      <c r="A681" s="68"/>
      <c r="B681" s="69"/>
      <c r="C681" s="69"/>
      <c r="D681" s="69"/>
      <c r="E681" s="69"/>
      <c r="F681" s="69"/>
      <c r="G681" s="69"/>
      <c r="H681" s="69"/>
      <c r="I681" s="69"/>
      <c r="J681" s="69"/>
      <c r="K681" s="69"/>
      <c r="L681" s="69"/>
      <c r="M681" s="69"/>
      <c r="N681" s="69"/>
      <c r="O681" s="65"/>
      <c r="P681" s="70" t="s">
        <v>5169</v>
      </c>
      <c r="Q681" s="65"/>
      <c r="R681" s="71">
        <v>40480</v>
      </c>
      <c r="S681" s="65"/>
      <c r="T681" s="70" t="s">
        <v>5170</v>
      </c>
      <c r="U681" s="65"/>
    </row>
    <row r="682" spans="1:21" ht="24.75" customHeight="1" x14ac:dyDescent="0.15">
      <c r="A682" s="61">
        <v>2233</v>
      </c>
      <c r="B682" s="67" t="s">
        <v>5171</v>
      </c>
      <c r="C682" s="65"/>
      <c r="D682" s="66">
        <v>982064</v>
      </c>
      <c r="E682" s="69"/>
      <c r="F682" s="65"/>
      <c r="G682" s="67" t="s">
        <v>5172</v>
      </c>
      <c r="H682" s="65"/>
      <c r="I682" s="64">
        <v>35276</v>
      </c>
      <c r="J682" s="65"/>
      <c r="K682" s="54">
        <v>2108</v>
      </c>
      <c r="L682" s="66">
        <v>2129</v>
      </c>
      <c r="M682" s="65"/>
      <c r="N682" s="70" t="s">
        <v>5173</v>
      </c>
      <c r="O682" s="65"/>
      <c r="P682" s="67" t="s">
        <v>5174</v>
      </c>
      <c r="Q682" s="65"/>
      <c r="R682" s="64">
        <v>35276</v>
      </c>
      <c r="S682" s="65"/>
      <c r="T682" s="67" t="s">
        <v>5175</v>
      </c>
      <c r="U682" s="65"/>
    </row>
    <row r="683" spans="1:21" ht="12.75" customHeight="1" x14ac:dyDescent="0.15">
      <c r="A683" s="68"/>
      <c r="B683" s="69"/>
      <c r="C683" s="69"/>
      <c r="D683" s="69"/>
      <c r="E683" s="69"/>
      <c r="F683" s="69"/>
      <c r="G683" s="69"/>
      <c r="H683" s="69"/>
      <c r="I683" s="69"/>
      <c r="J683" s="69"/>
      <c r="K683" s="69"/>
      <c r="L683" s="69"/>
      <c r="M683" s="69"/>
      <c r="N683" s="69"/>
      <c r="O683" s="65"/>
      <c r="P683" s="70" t="s">
        <v>5176</v>
      </c>
      <c r="Q683" s="65"/>
      <c r="R683" s="71">
        <v>35970</v>
      </c>
      <c r="S683" s="65"/>
      <c r="T683" s="70" t="s">
        <v>5177</v>
      </c>
      <c r="U683" s="65"/>
    </row>
    <row r="684" spans="1:21" ht="13.5" customHeight="1" x14ac:dyDescent="0.15">
      <c r="A684" s="68"/>
      <c r="B684" s="69"/>
      <c r="C684" s="69"/>
      <c r="D684" s="69"/>
      <c r="E684" s="69"/>
      <c r="F684" s="69"/>
      <c r="G684" s="69"/>
      <c r="H684" s="69"/>
      <c r="I684" s="69"/>
      <c r="J684" s="69"/>
      <c r="K684" s="69"/>
      <c r="L684" s="69"/>
      <c r="M684" s="69"/>
      <c r="N684" s="69"/>
      <c r="O684" s="65"/>
      <c r="P684" s="70" t="s">
        <v>5178</v>
      </c>
      <c r="Q684" s="65"/>
      <c r="R684" s="71">
        <v>36038</v>
      </c>
      <c r="S684" s="65"/>
      <c r="T684" s="70" t="s">
        <v>5179</v>
      </c>
      <c r="U684" s="65"/>
    </row>
    <row r="685" spans="1:21" ht="25.5" customHeight="1" x14ac:dyDescent="0.15">
      <c r="A685" s="61">
        <v>2329</v>
      </c>
      <c r="B685" s="67" t="s">
        <v>5180</v>
      </c>
      <c r="C685" s="65"/>
      <c r="D685" s="67" t="s">
        <v>5181</v>
      </c>
      <c r="E685" s="69"/>
      <c r="F685" s="65"/>
      <c r="G685" s="67" t="s">
        <v>5182</v>
      </c>
      <c r="H685" s="65"/>
      <c r="I685" s="64">
        <v>36929</v>
      </c>
      <c r="J685" s="65"/>
      <c r="K685" s="54">
        <v>1125</v>
      </c>
      <c r="L685" s="66">
        <v>1124</v>
      </c>
      <c r="M685" s="65"/>
      <c r="N685" s="73" t="s">
        <v>5183</v>
      </c>
      <c r="O685" s="65"/>
      <c r="P685" s="67" t="s">
        <v>5184</v>
      </c>
      <c r="Q685" s="65"/>
      <c r="R685" s="64">
        <v>36929</v>
      </c>
      <c r="S685" s="65"/>
      <c r="T685" s="67" t="s">
        <v>5185</v>
      </c>
      <c r="U685" s="65"/>
    </row>
    <row r="686" spans="1:21" ht="12.75" customHeight="1" x14ac:dyDescent="0.15">
      <c r="A686" s="68"/>
      <c r="B686" s="69"/>
      <c r="C686" s="69"/>
      <c r="D686" s="69"/>
      <c r="E686" s="69"/>
      <c r="F686" s="69"/>
      <c r="G686" s="69"/>
      <c r="H686" s="69"/>
      <c r="I686" s="69"/>
      <c r="J686" s="69"/>
      <c r="K686" s="69"/>
      <c r="L686" s="69"/>
      <c r="M686" s="69"/>
      <c r="N686" s="69"/>
      <c r="O686" s="65"/>
      <c r="P686" s="70" t="s">
        <v>5186</v>
      </c>
      <c r="Q686" s="65"/>
      <c r="R686" s="71">
        <v>36929</v>
      </c>
      <c r="S686" s="65"/>
      <c r="T686" s="70" t="s">
        <v>5187</v>
      </c>
      <c r="U686" s="65"/>
    </row>
    <row r="687" spans="1:21" ht="25.5" customHeight="1" x14ac:dyDescent="0.15">
      <c r="A687" s="61">
        <v>2330</v>
      </c>
      <c r="B687" s="67" t="s">
        <v>5188</v>
      </c>
      <c r="C687" s="65"/>
      <c r="D687" s="67" t="s">
        <v>5189</v>
      </c>
      <c r="E687" s="69"/>
      <c r="F687" s="65"/>
      <c r="G687" s="67" t="s">
        <v>5190</v>
      </c>
      <c r="H687" s="65"/>
      <c r="I687" s="64">
        <v>36929</v>
      </c>
      <c r="J687" s="65"/>
      <c r="K687" s="54">
        <v>1125</v>
      </c>
      <c r="L687" s="66">
        <v>1124</v>
      </c>
      <c r="M687" s="65"/>
      <c r="N687" s="70" t="s">
        <v>5191</v>
      </c>
      <c r="O687" s="65"/>
      <c r="P687" s="67" t="s">
        <v>5192</v>
      </c>
      <c r="Q687" s="65"/>
      <c r="R687" s="64">
        <v>36929</v>
      </c>
      <c r="S687" s="65"/>
      <c r="T687" s="67" t="s">
        <v>5193</v>
      </c>
      <c r="U687" s="65"/>
    </row>
    <row r="688" spans="1:21" ht="13.5" customHeight="1" x14ac:dyDescent="0.15">
      <c r="A688" s="68"/>
      <c r="B688" s="69"/>
      <c r="C688" s="69"/>
      <c r="D688" s="69"/>
      <c r="E688" s="69"/>
      <c r="F688" s="69"/>
      <c r="G688" s="69"/>
      <c r="H688" s="69"/>
      <c r="I688" s="69"/>
      <c r="J688" s="69"/>
      <c r="K688" s="69"/>
      <c r="L688" s="69"/>
      <c r="M688" s="69"/>
      <c r="N688" s="69"/>
      <c r="O688" s="65"/>
      <c r="P688" s="70" t="s">
        <v>5194</v>
      </c>
      <c r="Q688" s="65"/>
      <c r="R688" s="71">
        <v>36933</v>
      </c>
      <c r="S688" s="65"/>
      <c r="T688" s="70" t="s">
        <v>5195</v>
      </c>
      <c r="U688" s="65"/>
    </row>
    <row r="689" spans="1:21" ht="25.5" customHeight="1" x14ac:dyDescent="0.15">
      <c r="A689" s="61">
        <v>2333</v>
      </c>
      <c r="B689" s="67" t="s">
        <v>5196</v>
      </c>
      <c r="C689" s="65"/>
      <c r="D689" s="66">
        <v>2918</v>
      </c>
      <c r="E689" s="69"/>
      <c r="F689" s="65"/>
      <c r="G689" s="67" t="s">
        <v>5197</v>
      </c>
      <c r="H689" s="65"/>
      <c r="I689" s="64">
        <v>37025</v>
      </c>
      <c r="J689" s="65"/>
      <c r="K689" s="54">
        <v>1103</v>
      </c>
      <c r="L689" s="66">
        <v>1097</v>
      </c>
      <c r="M689" s="65"/>
      <c r="N689" s="73" t="s">
        <v>5198</v>
      </c>
      <c r="O689" s="65"/>
      <c r="P689" s="67" t="s">
        <v>5199</v>
      </c>
      <c r="Q689" s="65"/>
      <c r="R689" s="64">
        <v>37025</v>
      </c>
      <c r="S689" s="65"/>
      <c r="T689" s="67" t="s">
        <v>5200</v>
      </c>
      <c r="U689" s="65"/>
    </row>
    <row r="690" spans="1:21" ht="12.75" customHeight="1" x14ac:dyDescent="0.15">
      <c r="A690" s="68"/>
      <c r="B690" s="69"/>
      <c r="C690" s="69"/>
      <c r="D690" s="69"/>
      <c r="E690" s="69"/>
      <c r="F690" s="69"/>
      <c r="G690" s="69"/>
      <c r="H690" s="69"/>
      <c r="I690" s="69"/>
      <c r="J690" s="69"/>
      <c r="K690" s="69"/>
      <c r="L690" s="69"/>
      <c r="M690" s="69"/>
      <c r="N690" s="69"/>
      <c r="O690" s="65"/>
      <c r="P690" s="70" t="s">
        <v>5201</v>
      </c>
      <c r="Q690" s="65"/>
      <c r="R690" s="71">
        <v>37025</v>
      </c>
      <c r="S690" s="65"/>
      <c r="T690" s="70" t="s">
        <v>5202</v>
      </c>
      <c r="U690" s="65"/>
    </row>
    <row r="691" spans="1:21" ht="24.75" customHeight="1" x14ac:dyDescent="0.15">
      <c r="A691" s="61">
        <v>2334</v>
      </c>
      <c r="B691" s="67" t="s">
        <v>5203</v>
      </c>
      <c r="C691" s="65"/>
      <c r="D691" s="66">
        <v>2919</v>
      </c>
      <c r="E691" s="69"/>
      <c r="F691" s="65"/>
      <c r="G691" s="67" t="s">
        <v>5204</v>
      </c>
      <c r="H691" s="65"/>
      <c r="I691" s="64">
        <v>37025</v>
      </c>
      <c r="J691" s="65"/>
      <c r="K691" s="54">
        <v>1103</v>
      </c>
      <c r="L691" s="66">
        <v>1097</v>
      </c>
      <c r="M691" s="65"/>
      <c r="N691" s="70" t="s">
        <v>5205</v>
      </c>
      <c r="O691" s="65"/>
      <c r="P691" s="67" t="s">
        <v>5206</v>
      </c>
      <c r="Q691" s="65"/>
      <c r="R691" s="64">
        <v>37025</v>
      </c>
      <c r="S691" s="65"/>
      <c r="T691" s="67" t="s">
        <v>5207</v>
      </c>
      <c r="U691" s="65"/>
    </row>
    <row r="692" spans="1:21" ht="12.75" customHeight="1" x14ac:dyDescent="0.15">
      <c r="A692" s="68"/>
      <c r="B692" s="69"/>
      <c r="C692" s="69"/>
      <c r="D692" s="69"/>
      <c r="E692" s="69"/>
      <c r="F692" s="69"/>
      <c r="G692" s="69"/>
      <c r="H692" s="69"/>
      <c r="I692" s="69"/>
      <c r="J692" s="69"/>
      <c r="K692" s="69"/>
      <c r="L692" s="69"/>
      <c r="M692" s="69"/>
      <c r="N692" s="69"/>
      <c r="O692" s="65"/>
      <c r="P692" s="70" t="s">
        <v>5208</v>
      </c>
      <c r="Q692" s="65"/>
      <c r="R692" s="71">
        <v>37025</v>
      </c>
      <c r="S692" s="65"/>
      <c r="T692" s="70" t="s">
        <v>5209</v>
      </c>
      <c r="U692" s="65"/>
    </row>
    <row r="693" spans="1:21" ht="25.5" customHeight="1" x14ac:dyDescent="0.15">
      <c r="A693" s="61">
        <v>2335</v>
      </c>
      <c r="B693" s="67" t="s">
        <v>5210</v>
      </c>
      <c r="C693" s="65"/>
      <c r="D693" s="66">
        <v>2920</v>
      </c>
      <c r="E693" s="69"/>
      <c r="F693" s="65"/>
      <c r="G693" s="67" t="s">
        <v>5211</v>
      </c>
      <c r="H693" s="65"/>
      <c r="I693" s="64">
        <v>37025</v>
      </c>
      <c r="J693" s="65"/>
      <c r="K693" s="54">
        <v>1103</v>
      </c>
      <c r="L693" s="66">
        <v>1097</v>
      </c>
      <c r="M693" s="65"/>
      <c r="N693" s="70" t="s">
        <v>5212</v>
      </c>
      <c r="O693" s="65"/>
      <c r="P693" s="67" t="s">
        <v>5213</v>
      </c>
      <c r="Q693" s="65"/>
      <c r="R693" s="64">
        <v>37025</v>
      </c>
      <c r="S693" s="65"/>
      <c r="T693" s="67" t="s">
        <v>5214</v>
      </c>
      <c r="U693" s="65"/>
    </row>
    <row r="694" spans="1:21" ht="12.75" customHeight="1" x14ac:dyDescent="0.15">
      <c r="A694" s="68"/>
      <c r="B694" s="69"/>
      <c r="C694" s="69"/>
      <c r="D694" s="69"/>
      <c r="E694" s="69"/>
      <c r="F694" s="69"/>
      <c r="G694" s="69"/>
      <c r="H694" s="69"/>
      <c r="I694" s="69"/>
      <c r="J694" s="69"/>
      <c r="K694" s="69"/>
      <c r="L694" s="69"/>
      <c r="M694" s="69"/>
      <c r="N694" s="69"/>
      <c r="O694" s="65"/>
      <c r="P694" s="70" t="s">
        <v>5215</v>
      </c>
      <c r="Q694" s="65"/>
      <c r="R694" s="71">
        <v>37034</v>
      </c>
      <c r="S694" s="65"/>
      <c r="T694" s="70" t="s">
        <v>5216</v>
      </c>
      <c r="U694" s="65"/>
    </row>
    <row r="695" spans="1:21" ht="12.75" customHeight="1" x14ac:dyDescent="0.15">
      <c r="A695" s="61">
        <v>2336</v>
      </c>
      <c r="B695" s="70" t="s">
        <v>5217</v>
      </c>
      <c r="C695" s="65"/>
      <c r="D695" s="70" t="s">
        <v>5218</v>
      </c>
      <c r="E695" s="69"/>
      <c r="F695" s="65"/>
      <c r="G695" s="70" t="s">
        <v>5219</v>
      </c>
      <c r="H695" s="65"/>
      <c r="I695" s="70" t="s">
        <v>5220</v>
      </c>
      <c r="J695" s="65"/>
      <c r="K695" s="56" t="s">
        <v>5221</v>
      </c>
      <c r="L695" s="70" t="s">
        <v>5222</v>
      </c>
      <c r="M695" s="65"/>
      <c r="N695" s="70" t="s">
        <v>5223</v>
      </c>
      <c r="O695" s="65"/>
      <c r="P695" s="70" t="s">
        <v>5224</v>
      </c>
      <c r="Q695" s="65"/>
      <c r="R695" s="70" t="s">
        <v>5225</v>
      </c>
      <c r="S695" s="65"/>
      <c r="T695" s="70" t="s">
        <v>5226</v>
      </c>
      <c r="U695" s="65"/>
    </row>
    <row r="696" spans="1:21" ht="12.75" customHeight="1" x14ac:dyDescent="0.15">
      <c r="A696" s="68"/>
      <c r="B696" s="69"/>
      <c r="C696" s="69"/>
      <c r="D696" s="69"/>
      <c r="E696" s="69"/>
      <c r="F696" s="69"/>
      <c r="G696" s="69"/>
      <c r="H696" s="69"/>
      <c r="I696" s="69"/>
      <c r="J696" s="69"/>
      <c r="K696" s="69"/>
      <c r="L696" s="69"/>
      <c r="M696" s="69"/>
      <c r="N696" s="69"/>
      <c r="O696" s="65"/>
      <c r="P696" s="70" t="s">
        <v>5227</v>
      </c>
      <c r="Q696" s="65"/>
      <c r="R696" s="70" t="s">
        <v>5228</v>
      </c>
      <c r="S696" s="65"/>
      <c r="T696" s="70" t="s">
        <v>5229</v>
      </c>
      <c r="U696" s="65"/>
    </row>
    <row r="697" spans="1:21" ht="13.5" customHeight="1" x14ac:dyDescent="0.15">
      <c r="A697" s="68"/>
      <c r="B697" s="69"/>
      <c r="C697" s="69"/>
      <c r="D697" s="69"/>
      <c r="E697" s="69"/>
      <c r="F697" s="69"/>
      <c r="G697" s="69"/>
      <c r="H697" s="69"/>
      <c r="I697" s="69"/>
      <c r="J697" s="69"/>
      <c r="K697" s="69"/>
      <c r="L697" s="69"/>
      <c r="M697" s="69"/>
      <c r="N697" s="69"/>
      <c r="O697" s="65"/>
      <c r="P697" s="70" t="s">
        <v>5230</v>
      </c>
      <c r="Q697" s="65"/>
      <c r="R697" s="71">
        <v>37105</v>
      </c>
      <c r="S697" s="65"/>
      <c r="T697" s="70" t="s">
        <v>5231</v>
      </c>
      <c r="U697" s="65"/>
    </row>
    <row r="698" spans="1:21" ht="12.75" customHeight="1" x14ac:dyDescent="0.15">
      <c r="A698" s="68"/>
      <c r="B698" s="69"/>
      <c r="C698" s="69"/>
      <c r="D698" s="69"/>
      <c r="E698" s="69"/>
      <c r="F698" s="69"/>
      <c r="G698" s="69"/>
      <c r="H698" s="69"/>
      <c r="I698" s="69"/>
      <c r="J698" s="69"/>
      <c r="K698" s="69"/>
      <c r="L698" s="69"/>
      <c r="M698" s="69"/>
      <c r="N698" s="69"/>
      <c r="O698" s="65"/>
      <c r="P698" s="70" t="s">
        <v>5232</v>
      </c>
      <c r="Q698" s="65"/>
      <c r="R698" s="71">
        <v>37217</v>
      </c>
      <c r="S698" s="65"/>
      <c r="T698" s="70" t="s">
        <v>5233</v>
      </c>
      <c r="U698" s="65"/>
    </row>
    <row r="699" spans="1:21" ht="12.75" customHeight="1" x14ac:dyDescent="0.15">
      <c r="A699" s="68"/>
      <c r="B699" s="69"/>
      <c r="C699" s="69"/>
      <c r="D699" s="69"/>
      <c r="E699" s="69"/>
      <c r="F699" s="69"/>
      <c r="G699" s="69"/>
      <c r="H699" s="69"/>
      <c r="I699" s="69"/>
      <c r="J699" s="69"/>
      <c r="K699" s="69"/>
      <c r="L699" s="69"/>
      <c r="M699" s="69"/>
      <c r="N699" s="69"/>
      <c r="O699" s="65"/>
      <c r="P699" s="70" t="s">
        <v>5234</v>
      </c>
      <c r="Q699" s="65"/>
      <c r="R699" s="71">
        <v>38275</v>
      </c>
      <c r="S699" s="65"/>
      <c r="T699" s="70" t="s">
        <v>5235</v>
      </c>
      <c r="U699" s="65"/>
    </row>
    <row r="700" spans="1:21" ht="12.75" customHeight="1" x14ac:dyDescent="0.15">
      <c r="A700" s="68"/>
      <c r="B700" s="69"/>
      <c r="C700" s="69"/>
      <c r="D700" s="69"/>
      <c r="E700" s="69"/>
      <c r="F700" s="69"/>
      <c r="G700" s="69"/>
      <c r="H700" s="69"/>
      <c r="I700" s="69"/>
      <c r="J700" s="69"/>
      <c r="K700" s="69"/>
      <c r="L700" s="69"/>
      <c r="M700" s="69"/>
      <c r="N700" s="69"/>
      <c r="O700" s="65"/>
      <c r="P700" s="70" t="s">
        <v>5236</v>
      </c>
      <c r="Q700" s="65"/>
      <c r="R700" s="71">
        <v>39966</v>
      </c>
      <c r="S700" s="65"/>
      <c r="T700" s="70" t="s">
        <v>5237</v>
      </c>
      <c r="U700" s="65"/>
    </row>
    <row r="701" spans="1:21" ht="13.5" customHeight="1" x14ac:dyDescent="0.15">
      <c r="A701" s="68"/>
      <c r="B701" s="69"/>
      <c r="C701" s="69"/>
      <c r="D701" s="69"/>
      <c r="E701" s="69"/>
      <c r="F701" s="69"/>
      <c r="G701" s="69"/>
      <c r="H701" s="69"/>
      <c r="I701" s="69"/>
      <c r="J701" s="69"/>
      <c r="K701" s="69"/>
      <c r="L701" s="69"/>
      <c r="M701" s="69"/>
      <c r="N701" s="69"/>
      <c r="O701" s="65"/>
      <c r="P701" s="70" t="s">
        <v>5238</v>
      </c>
      <c r="Q701" s="65"/>
      <c r="R701" s="71">
        <v>41141</v>
      </c>
      <c r="S701" s="65"/>
      <c r="T701" s="70" t="s">
        <v>5239</v>
      </c>
      <c r="U701" s="65"/>
    </row>
    <row r="702" spans="1:21" ht="12.75" customHeight="1" x14ac:dyDescent="0.15">
      <c r="A702" s="68"/>
      <c r="B702" s="69"/>
      <c r="C702" s="69"/>
      <c r="D702" s="69"/>
      <c r="E702" s="69"/>
      <c r="F702" s="69"/>
      <c r="G702" s="69"/>
      <c r="H702" s="69"/>
      <c r="I702" s="69"/>
      <c r="J702" s="69"/>
      <c r="K702" s="69"/>
      <c r="L702" s="69"/>
      <c r="M702" s="69"/>
      <c r="N702" s="69"/>
      <c r="O702" s="65"/>
      <c r="P702" s="70" t="s">
        <v>5240</v>
      </c>
      <c r="Q702" s="65"/>
      <c r="R702" s="71">
        <v>41343</v>
      </c>
      <c r="S702" s="65"/>
      <c r="T702" s="70" t="s">
        <v>5241</v>
      </c>
      <c r="U702" s="65"/>
    </row>
    <row r="703" spans="1:21" ht="12.75" customHeight="1" x14ac:dyDescent="0.15">
      <c r="A703" s="61">
        <v>2337</v>
      </c>
      <c r="B703" s="70" t="s">
        <v>5242</v>
      </c>
      <c r="C703" s="65"/>
      <c r="D703" s="70" t="s">
        <v>5243</v>
      </c>
      <c r="E703" s="69"/>
      <c r="F703" s="65"/>
      <c r="G703" s="70" t="s">
        <v>5244</v>
      </c>
      <c r="H703" s="65"/>
      <c r="I703" s="70" t="s">
        <v>5245</v>
      </c>
      <c r="J703" s="65"/>
      <c r="K703" s="56" t="s">
        <v>5246</v>
      </c>
      <c r="L703" s="70" t="s">
        <v>5247</v>
      </c>
      <c r="M703" s="65"/>
      <c r="N703" s="70" t="s">
        <v>5248</v>
      </c>
      <c r="O703" s="65"/>
      <c r="P703" s="70" t="s">
        <v>5249</v>
      </c>
      <c r="Q703" s="65"/>
      <c r="R703" s="70" t="s">
        <v>5250</v>
      </c>
      <c r="S703" s="65"/>
      <c r="T703" s="70" t="s">
        <v>5251</v>
      </c>
      <c r="U703" s="65"/>
    </row>
    <row r="704" spans="1:21" ht="12.75" customHeight="1" x14ac:dyDescent="0.15">
      <c r="A704" s="68"/>
      <c r="B704" s="69"/>
      <c r="C704" s="69"/>
      <c r="D704" s="69"/>
      <c r="E704" s="69"/>
      <c r="F704" s="69"/>
      <c r="G704" s="69"/>
      <c r="H704" s="69"/>
      <c r="I704" s="69"/>
      <c r="J704" s="69"/>
      <c r="K704" s="69"/>
      <c r="L704" s="69"/>
      <c r="M704" s="69"/>
      <c r="N704" s="69"/>
      <c r="O704" s="65"/>
      <c r="P704" s="70" t="s">
        <v>5252</v>
      </c>
      <c r="Q704" s="65"/>
      <c r="R704" s="70" t="s">
        <v>5253</v>
      </c>
      <c r="S704" s="65"/>
      <c r="T704" s="70" t="s">
        <v>5254</v>
      </c>
      <c r="U704" s="65"/>
    </row>
    <row r="705" spans="1:21" ht="13.5" customHeight="1" x14ac:dyDescent="0.15">
      <c r="A705" s="68"/>
      <c r="B705" s="69"/>
      <c r="C705" s="69"/>
      <c r="D705" s="69"/>
      <c r="E705" s="69"/>
      <c r="F705" s="69"/>
      <c r="G705" s="69"/>
      <c r="H705" s="69"/>
      <c r="I705" s="69"/>
      <c r="J705" s="69"/>
      <c r="K705" s="69"/>
      <c r="L705" s="69"/>
      <c r="M705" s="69"/>
      <c r="N705" s="69"/>
      <c r="O705" s="65"/>
      <c r="P705" s="70" t="s">
        <v>5255</v>
      </c>
      <c r="Q705" s="65"/>
      <c r="R705" s="71">
        <v>37105</v>
      </c>
      <c r="S705" s="65"/>
      <c r="T705" s="70" t="s">
        <v>5256</v>
      </c>
      <c r="U705" s="65"/>
    </row>
    <row r="706" spans="1:21" ht="12.75" customHeight="1" x14ac:dyDescent="0.15">
      <c r="A706" s="68"/>
      <c r="B706" s="69"/>
      <c r="C706" s="69"/>
      <c r="D706" s="69"/>
      <c r="E706" s="69"/>
      <c r="F706" s="69"/>
      <c r="G706" s="69"/>
      <c r="H706" s="69"/>
      <c r="I706" s="69"/>
      <c r="J706" s="69"/>
      <c r="K706" s="69"/>
      <c r="L706" s="69"/>
      <c r="M706" s="69"/>
      <c r="N706" s="69"/>
      <c r="O706" s="65"/>
      <c r="P706" s="70" t="s">
        <v>5257</v>
      </c>
      <c r="Q706" s="65"/>
      <c r="R706" s="71">
        <v>37216</v>
      </c>
      <c r="S706" s="65"/>
      <c r="T706" s="70" t="s">
        <v>5258</v>
      </c>
      <c r="U706" s="65"/>
    </row>
    <row r="707" spans="1:21" ht="12.75" customHeight="1" x14ac:dyDescent="0.15">
      <c r="A707" s="68"/>
      <c r="B707" s="69"/>
      <c r="C707" s="69"/>
      <c r="D707" s="69"/>
      <c r="E707" s="69"/>
      <c r="F707" s="69"/>
      <c r="G707" s="69"/>
      <c r="H707" s="69"/>
      <c r="I707" s="69"/>
      <c r="J707" s="69"/>
      <c r="K707" s="69"/>
      <c r="L707" s="69"/>
      <c r="M707" s="69"/>
      <c r="N707" s="69"/>
      <c r="O707" s="65"/>
      <c r="P707" s="70" t="s">
        <v>5259</v>
      </c>
      <c r="Q707" s="65"/>
      <c r="R707" s="71">
        <v>39602</v>
      </c>
      <c r="S707" s="65"/>
      <c r="T707" s="70" t="s">
        <v>5260</v>
      </c>
      <c r="U707" s="65"/>
    </row>
    <row r="708" spans="1:21" ht="21" customHeight="1" x14ac:dyDescent="0.15">
      <c r="A708" s="60" t="s">
        <v>5261</v>
      </c>
      <c r="B708" s="72" t="s">
        <v>5262</v>
      </c>
      <c r="C708" s="65"/>
      <c r="D708" s="72" t="s">
        <v>5263</v>
      </c>
      <c r="E708" s="69"/>
      <c r="F708" s="65"/>
      <c r="G708" s="72" t="s">
        <v>5264</v>
      </c>
      <c r="H708" s="65"/>
      <c r="I708" s="72" t="s">
        <v>5265</v>
      </c>
      <c r="J708" s="65"/>
      <c r="K708" s="60" t="s">
        <v>5266</v>
      </c>
      <c r="L708" s="72" t="s">
        <v>5267</v>
      </c>
      <c r="M708" s="65"/>
      <c r="N708" s="72" t="s">
        <v>5268</v>
      </c>
      <c r="O708" s="65"/>
      <c r="P708" s="72" t="s">
        <v>5269</v>
      </c>
      <c r="Q708" s="65"/>
      <c r="R708" s="72" t="s">
        <v>5270</v>
      </c>
      <c r="S708" s="65"/>
      <c r="T708" s="72" t="s">
        <v>5271</v>
      </c>
      <c r="U708" s="65"/>
    </row>
    <row r="709" spans="1:21" ht="13.5" customHeight="1" x14ac:dyDescent="0.15">
      <c r="A709" s="68"/>
      <c r="B709" s="69"/>
      <c r="C709" s="69"/>
      <c r="D709" s="69"/>
      <c r="E709" s="69"/>
      <c r="F709" s="69"/>
      <c r="G709" s="69"/>
      <c r="H709" s="69"/>
      <c r="I709" s="69"/>
      <c r="J709" s="69"/>
      <c r="K709" s="69"/>
      <c r="L709" s="69"/>
      <c r="M709" s="69"/>
      <c r="N709" s="69"/>
      <c r="O709" s="65"/>
      <c r="P709" s="70" t="s">
        <v>5272</v>
      </c>
      <c r="Q709" s="65"/>
      <c r="R709" s="71">
        <v>40484</v>
      </c>
      <c r="S709" s="65"/>
      <c r="T709" s="70" t="s">
        <v>5273</v>
      </c>
      <c r="U709" s="65"/>
    </row>
    <row r="710" spans="1:21" ht="25.5" customHeight="1" x14ac:dyDescent="0.15">
      <c r="A710" s="61">
        <v>2338</v>
      </c>
      <c r="B710" s="67" t="s">
        <v>5274</v>
      </c>
      <c r="C710" s="65"/>
      <c r="D710" s="66">
        <v>105713</v>
      </c>
      <c r="E710" s="69"/>
      <c r="F710" s="65"/>
      <c r="G710" s="67" t="s">
        <v>5275</v>
      </c>
      <c r="H710" s="65"/>
      <c r="I710" s="73" t="s">
        <v>5276</v>
      </c>
      <c r="J710" s="65"/>
      <c r="K710" s="55" t="s">
        <v>5277</v>
      </c>
      <c r="L710" s="67" t="s">
        <v>5278</v>
      </c>
      <c r="M710" s="65"/>
      <c r="N710" s="67" t="s">
        <v>5279</v>
      </c>
      <c r="O710" s="65"/>
      <c r="P710" s="67" t="s">
        <v>5280</v>
      </c>
      <c r="Q710" s="65"/>
      <c r="R710" s="73" t="s">
        <v>5281</v>
      </c>
      <c r="S710" s="65"/>
      <c r="T710" s="67" t="s">
        <v>5282</v>
      </c>
      <c r="U710" s="65"/>
    </row>
    <row r="711" spans="1:21" ht="12.75" customHeight="1" x14ac:dyDescent="0.15">
      <c r="A711" s="68"/>
      <c r="B711" s="69"/>
      <c r="C711" s="69"/>
      <c r="D711" s="69"/>
      <c r="E711" s="69"/>
      <c r="F711" s="69"/>
      <c r="G711" s="69"/>
      <c r="H711" s="69"/>
      <c r="I711" s="69"/>
      <c r="J711" s="69"/>
      <c r="K711" s="69"/>
      <c r="L711" s="69"/>
      <c r="M711" s="69"/>
      <c r="N711" s="69"/>
      <c r="O711" s="65"/>
      <c r="P711" s="70" t="s">
        <v>5283</v>
      </c>
      <c r="Q711" s="65"/>
      <c r="R711" s="70" t="s">
        <v>5284</v>
      </c>
      <c r="S711" s="65"/>
      <c r="T711" s="70" t="s">
        <v>5285</v>
      </c>
      <c r="U711" s="65"/>
    </row>
    <row r="712" spans="1:21" ht="12.75" customHeight="1" x14ac:dyDescent="0.15">
      <c r="A712" s="68"/>
      <c r="B712" s="69"/>
      <c r="C712" s="69"/>
      <c r="D712" s="69"/>
      <c r="E712" s="69"/>
      <c r="F712" s="69"/>
      <c r="G712" s="69"/>
      <c r="H712" s="69"/>
      <c r="I712" s="69"/>
      <c r="J712" s="69"/>
      <c r="K712" s="69"/>
      <c r="L712" s="69"/>
      <c r="M712" s="69"/>
      <c r="N712" s="69"/>
      <c r="O712" s="65"/>
      <c r="P712" s="70" t="s">
        <v>5286</v>
      </c>
      <c r="Q712" s="65"/>
      <c r="R712" s="71">
        <v>37105</v>
      </c>
      <c r="S712" s="65"/>
      <c r="T712" s="70" t="s">
        <v>5287</v>
      </c>
      <c r="U712" s="65"/>
    </row>
    <row r="713" spans="1:21" ht="13.5" customHeight="1" x14ac:dyDescent="0.15">
      <c r="A713" s="68"/>
      <c r="B713" s="69"/>
      <c r="C713" s="69"/>
      <c r="D713" s="69"/>
      <c r="E713" s="69"/>
      <c r="F713" s="69"/>
      <c r="G713" s="69"/>
      <c r="H713" s="69"/>
      <c r="I713" s="69"/>
      <c r="J713" s="69"/>
      <c r="K713" s="69"/>
      <c r="L713" s="69"/>
      <c r="M713" s="69"/>
      <c r="N713" s="69"/>
      <c r="O713" s="65"/>
      <c r="P713" s="70" t="s">
        <v>5288</v>
      </c>
      <c r="Q713" s="65"/>
      <c r="R713" s="71">
        <v>40952</v>
      </c>
      <c r="S713" s="65"/>
      <c r="T713" s="70" t="s">
        <v>5289</v>
      </c>
      <c r="U713" s="65"/>
    </row>
    <row r="714" spans="1:21" ht="12.75" customHeight="1" x14ac:dyDescent="0.15">
      <c r="A714" s="61">
        <v>2339</v>
      </c>
      <c r="B714" s="70" t="s">
        <v>5290</v>
      </c>
      <c r="C714" s="65"/>
      <c r="D714" s="76">
        <v>105714</v>
      </c>
      <c r="E714" s="69"/>
      <c r="F714" s="65"/>
      <c r="G714" s="70" t="s">
        <v>5291</v>
      </c>
      <c r="H714" s="65"/>
      <c r="I714" s="70" t="s">
        <v>5292</v>
      </c>
      <c r="J714" s="65"/>
      <c r="K714" s="56" t="s">
        <v>5293</v>
      </c>
      <c r="L714" s="70" t="s">
        <v>5294</v>
      </c>
      <c r="M714" s="65"/>
      <c r="N714" s="70" t="s">
        <v>5295</v>
      </c>
      <c r="O714" s="65"/>
      <c r="P714" s="70" t="s">
        <v>5296</v>
      </c>
      <c r="Q714" s="65"/>
      <c r="R714" s="70" t="s">
        <v>5297</v>
      </c>
      <c r="S714" s="65"/>
      <c r="T714" s="70" t="s">
        <v>5298</v>
      </c>
      <c r="U714" s="65"/>
    </row>
    <row r="715" spans="1:21" ht="12.75" customHeight="1" x14ac:dyDescent="0.15">
      <c r="A715" s="68"/>
      <c r="B715" s="69"/>
      <c r="C715" s="69"/>
      <c r="D715" s="69"/>
      <c r="E715" s="69"/>
      <c r="F715" s="69"/>
      <c r="G715" s="69"/>
      <c r="H715" s="69"/>
      <c r="I715" s="69"/>
      <c r="J715" s="69"/>
      <c r="K715" s="69"/>
      <c r="L715" s="69"/>
      <c r="M715" s="69"/>
      <c r="N715" s="69"/>
      <c r="O715" s="65"/>
      <c r="P715" s="70" t="s">
        <v>5299</v>
      </c>
      <c r="Q715" s="65"/>
      <c r="R715" s="70" t="s">
        <v>5300</v>
      </c>
      <c r="S715" s="65"/>
      <c r="T715" s="70" t="s">
        <v>5301</v>
      </c>
      <c r="U715" s="65"/>
    </row>
    <row r="716" spans="1:21" ht="12.75" customHeight="1" x14ac:dyDescent="0.15">
      <c r="A716" s="68"/>
      <c r="B716" s="69"/>
      <c r="C716" s="69"/>
      <c r="D716" s="69"/>
      <c r="E716" s="69"/>
      <c r="F716" s="69"/>
      <c r="G716" s="69"/>
      <c r="H716" s="69"/>
      <c r="I716" s="69"/>
      <c r="J716" s="69"/>
      <c r="K716" s="69"/>
      <c r="L716" s="69"/>
      <c r="M716" s="69"/>
      <c r="N716" s="69"/>
      <c r="O716" s="65"/>
      <c r="P716" s="70" t="s">
        <v>5302</v>
      </c>
      <c r="Q716" s="65"/>
      <c r="R716" s="71">
        <v>37105</v>
      </c>
      <c r="S716" s="65"/>
      <c r="T716" s="70" t="s">
        <v>5303</v>
      </c>
      <c r="U716" s="65"/>
    </row>
    <row r="717" spans="1:21" ht="13.5" customHeight="1" x14ac:dyDescent="0.15">
      <c r="A717" s="68"/>
      <c r="B717" s="69"/>
      <c r="C717" s="69"/>
      <c r="D717" s="69"/>
      <c r="E717" s="69"/>
      <c r="F717" s="69"/>
      <c r="G717" s="69"/>
      <c r="H717" s="69"/>
      <c r="I717" s="69"/>
      <c r="J717" s="69"/>
      <c r="K717" s="69"/>
      <c r="L717" s="69"/>
      <c r="M717" s="69"/>
      <c r="N717" s="69"/>
      <c r="O717" s="65"/>
      <c r="P717" s="70" t="s">
        <v>5304</v>
      </c>
      <c r="Q717" s="65"/>
      <c r="R717" s="71">
        <v>37151</v>
      </c>
      <c r="S717" s="65"/>
      <c r="T717" s="70" t="s">
        <v>5305</v>
      </c>
      <c r="U717" s="65"/>
    </row>
    <row r="718" spans="1:21" ht="12.75" customHeight="1" x14ac:dyDescent="0.15">
      <c r="A718" s="61">
        <v>2340</v>
      </c>
      <c r="B718" s="70" t="s">
        <v>5306</v>
      </c>
      <c r="C718" s="65"/>
      <c r="D718" s="76">
        <v>105715</v>
      </c>
      <c r="E718" s="69"/>
      <c r="F718" s="65"/>
      <c r="G718" s="70" t="s">
        <v>5307</v>
      </c>
      <c r="H718" s="65"/>
      <c r="I718" s="70" t="s">
        <v>5308</v>
      </c>
      <c r="J718" s="65"/>
      <c r="K718" s="56" t="s">
        <v>5309</v>
      </c>
      <c r="L718" s="70" t="s">
        <v>5310</v>
      </c>
      <c r="M718" s="65"/>
      <c r="N718" s="70" t="s">
        <v>5311</v>
      </c>
      <c r="O718" s="65"/>
      <c r="P718" s="70" t="s">
        <v>5312</v>
      </c>
      <c r="Q718" s="65"/>
      <c r="R718" s="70" t="s">
        <v>5313</v>
      </c>
      <c r="S718" s="65"/>
      <c r="T718" s="70" t="s">
        <v>5314</v>
      </c>
      <c r="U718" s="65"/>
    </row>
    <row r="719" spans="1:21" ht="12.75" customHeight="1" x14ac:dyDescent="0.15">
      <c r="A719" s="68"/>
      <c r="B719" s="69"/>
      <c r="C719" s="69"/>
      <c r="D719" s="69"/>
      <c r="E719" s="69"/>
      <c r="F719" s="69"/>
      <c r="G719" s="69"/>
      <c r="H719" s="69"/>
      <c r="I719" s="69"/>
      <c r="J719" s="69"/>
      <c r="K719" s="69"/>
      <c r="L719" s="69"/>
      <c r="M719" s="69"/>
      <c r="N719" s="69"/>
      <c r="O719" s="65"/>
      <c r="P719" s="70" t="s">
        <v>5315</v>
      </c>
      <c r="Q719" s="65"/>
      <c r="R719" s="70" t="s">
        <v>5316</v>
      </c>
      <c r="S719" s="65"/>
      <c r="T719" s="70" t="s">
        <v>5317</v>
      </c>
      <c r="U719" s="65"/>
    </row>
    <row r="720" spans="1:21" ht="12.75" customHeight="1" x14ac:dyDescent="0.15">
      <c r="A720" s="68"/>
      <c r="B720" s="69"/>
      <c r="C720" s="69"/>
      <c r="D720" s="69"/>
      <c r="E720" s="69"/>
      <c r="F720" s="69"/>
      <c r="G720" s="69"/>
      <c r="H720" s="69"/>
      <c r="I720" s="69"/>
      <c r="J720" s="69"/>
      <c r="K720" s="69"/>
      <c r="L720" s="69"/>
      <c r="M720" s="69"/>
      <c r="N720" s="69"/>
      <c r="O720" s="65"/>
      <c r="P720" s="70" t="s">
        <v>5318</v>
      </c>
      <c r="Q720" s="65"/>
      <c r="R720" s="71">
        <v>37105</v>
      </c>
      <c r="S720" s="65"/>
      <c r="T720" s="70" t="s">
        <v>5319</v>
      </c>
      <c r="U720" s="65"/>
    </row>
    <row r="721" spans="1:21" ht="13.5" customHeight="1" x14ac:dyDescent="0.15">
      <c r="A721" s="68"/>
      <c r="B721" s="69"/>
      <c r="C721" s="69"/>
      <c r="D721" s="69"/>
      <c r="E721" s="69"/>
      <c r="F721" s="69"/>
      <c r="G721" s="69"/>
      <c r="H721" s="69"/>
      <c r="I721" s="69"/>
      <c r="J721" s="69"/>
      <c r="K721" s="69"/>
      <c r="L721" s="69"/>
      <c r="M721" s="69"/>
      <c r="N721" s="69"/>
      <c r="O721" s="65"/>
      <c r="P721" s="70" t="s">
        <v>5320</v>
      </c>
      <c r="Q721" s="65"/>
      <c r="R721" s="71">
        <v>39234</v>
      </c>
      <c r="S721" s="65"/>
      <c r="T721" s="70" t="s">
        <v>5321</v>
      </c>
      <c r="U721" s="65"/>
    </row>
    <row r="722" spans="1:21" ht="12.75" customHeight="1" x14ac:dyDescent="0.15">
      <c r="A722" s="61">
        <v>2341</v>
      </c>
      <c r="B722" s="70" t="s">
        <v>5322</v>
      </c>
      <c r="C722" s="65"/>
      <c r="D722" s="70" t="s">
        <v>5323</v>
      </c>
      <c r="E722" s="69"/>
      <c r="F722" s="65"/>
      <c r="G722" s="70" t="s">
        <v>5324</v>
      </c>
      <c r="H722" s="65"/>
      <c r="I722" s="70" t="s">
        <v>5325</v>
      </c>
      <c r="J722" s="65"/>
      <c r="K722" s="56" t="s">
        <v>5326</v>
      </c>
      <c r="L722" s="70" t="s">
        <v>5327</v>
      </c>
      <c r="M722" s="65"/>
      <c r="N722" s="70" t="s">
        <v>5328</v>
      </c>
      <c r="O722" s="65"/>
      <c r="P722" s="70" t="s">
        <v>5329</v>
      </c>
      <c r="Q722" s="65"/>
      <c r="R722" s="70" t="s">
        <v>5330</v>
      </c>
      <c r="S722" s="65"/>
      <c r="T722" s="70" t="s">
        <v>5331</v>
      </c>
      <c r="U722" s="65"/>
    </row>
    <row r="723" spans="1:21" ht="12.75" customHeight="1" x14ac:dyDescent="0.15">
      <c r="A723" s="68"/>
      <c r="B723" s="69"/>
      <c r="C723" s="69"/>
      <c r="D723" s="69"/>
      <c r="E723" s="69"/>
      <c r="F723" s="69"/>
      <c r="G723" s="69"/>
      <c r="H723" s="69"/>
      <c r="I723" s="69"/>
      <c r="J723" s="69"/>
      <c r="K723" s="69"/>
      <c r="L723" s="69"/>
      <c r="M723" s="69"/>
      <c r="N723" s="69"/>
      <c r="O723" s="65"/>
      <c r="P723" s="70" t="s">
        <v>5332</v>
      </c>
      <c r="Q723" s="65"/>
      <c r="R723" s="70" t="s">
        <v>5333</v>
      </c>
      <c r="S723" s="65"/>
      <c r="T723" s="70" t="s">
        <v>5334</v>
      </c>
      <c r="U723" s="65"/>
    </row>
    <row r="724" spans="1:21" ht="13.5" customHeight="1" x14ac:dyDescent="0.15">
      <c r="A724" s="68"/>
      <c r="B724" s="69"/>
      <c r="C724" s="69"/>
      <c r="D724" s="69"/>
      <c r="E724" s="69"/>
      <c r="F724" s="69"/>
      <c r="G724" s="69"/>
      <c r="H724" s="69"/>
      <c r="I724" s="69"/>
      <c r="J724" s="69"/>
      <c r="K724" s="69"/>
      <c r="L724" s="69"/>
      <c r="M724" s="69"/>
      <c r="N724" s="69"/>
      <c r="O724" s="65"/>
      <c r="P724" s="70" t="s">
        <v>5335</v>
      </c>
      <c r="Q724" s="65"/>
      <c r="R724" s="71">
        <v>37105</v>
      </c>
      <c r="S724" s="65"/>
      <c r="T724" s="70" t="s">
        <v>5336</v>
      </c>
      <c r="U724" s="65"/>
    </row>
    <row r="725" spans="1:21" ht="12.75" customHeight="1" x14ac:dyDescent="0.15">
      <c r="A725" s="68"/>
      <c r="B725" s="69"/>
      <c r="C725" s="69"/>
      <c r="D725" s="69"/>
      <c r="E725" s="69"/>
      <c r="F725" s="69"/>
      <c r="G725" s="69"/>
      <c r="H725" s="69"/>
      <c r="I725" s="69"/>
      <c r="J725" s="69"/>
      <c r="K725" s="69"/>
      <c r="L725" s="69"/>
      <c r="M725" s="69"/>
      <c r="N725" s="69"/>
      <c r="O725" s="65"/>
      <c r="P725" s="70" t="s">
        <v>5337</v>
      </c>
      <c r="Q725" s="65"/>
      <c r="R725" s="71">
        <v>37216</v>
      </c>
      <c r="S725" s="65"/>
      <c r="T725" s="70" t="s">
        <v>5338</v>
      </c>
      <c r="U725" s="65"/>
    </row>
    <row r="726" spans="1:21" ht="12.75" customHeight="1" x14ac:dyDescent="0.15">
      <c r="A726" s="68"/>
      <c r="B726" s="69"/>
      <c r="C726" s="69"/>
      <c r="D726" s="69"/>
      <c r="E726" s="69"/>
      <c r="F726" s="69"/>
      <c r="G726" s="69"/>
      <c r="H726" s="69"/>
      <c r="I726" s="69"/>
      <c r="J726" s="69"/>
      <c r="K726" s="69"/>
      <c r="L726" s="69"/>
      <c r="M726" s="69"/>
      <c r="N726" s="69"/>
      <c r="O726" s="65"/>
      <c r="P726" s="70" t="s">
        <v>5339</v>
      </c>
      <c r="Q726" s="65"/>
      <c r="R726" s="71">
        <v>39602</v>
      </c>
      <c r="S726" s="65"/>
      <c r="T726" s="70" t="s">
        <v>5340</v>
      </c>
      <c r="U726" s="65"/>
    </row>
    <row r="727" spans="1:21" ht="12.75" customHeight="1" x14ac:dyDescent="0.15">
      <c r="A727" s="68"/>
      <c r="B727" s="69"/>
      <c r="C727" s="69"/>
      <c r="D727" s="69"/>
      <c r="E727" s="69"/>
      <c r="F727" s="69"/>
      <c r="G727" s="69"/>
      <c r="H727" s="69"/>
      <c r="I727" s="69"/>
      <c r="J727" s="69"/>
      <c r="K727" s="69"/>
      <c r="L727" s="69"/>
      <c r="M727" s="69"/>
      <c r="N727" s="69"/>
      <c r="O727" s="65"/>
      <c r="P727" s="70" t="s">
        <v>5341</v>
      </c>
      <c r="Q727" s="65"/>
      <c r="R727" s="71">
        <v>40484</v>
      </c>
      <c r="S727" s="65"/>
      <c r="T727" s="70" t="s">
        <v>5342</v>
      </c>
      <c r="U727" s="65"/>
    </row>
    <row r="728" spans="1:21" ht="12.75" customHeight="1" x14ac:dyDescent="0.15">
      <c r="A728" s="68"/>
      <c r="B728" s="69"/>
      <c r="C728" s="69"/>
      <c r="D728" s="69"/>
      <c r="E728" s="69"/>
      <c r="F728" s="69"/>
      <c r="G728" s="69"/>
      <c r="H728" s="69"/>
      <c r="I728" s="69"/>
      <c r="J728" s="69"/>
      <c r="K728" s="69"/>
      <c r="L728" s="69"/>
      <c r="M728" s="69"/>
      <c r="N728" s="69"/>
      <c r="O728" s="65"/>
      <c r="P728" s="70" t="s">
        <v>5343</v>
      </c>
      <c r="Q728" s="65"/>
      <c r="R728" s="71">
        <v>40953</v>
      </c>
      <c r="S728" s="65"/>
      <c r="T728" s="70" t="s">
        <v>5344</v>
      </c>
      <c r="U728" s="65"/>
    </row>
    <row r="729" spans="1:21" ht="25.5" customHeight="1" x14ac:dyDescent="0.15">
      <c r="A729" s="61">
        <v>2342</v>
      </c>
      <c r="B729" s="67" t="s">
        <v>5345</v>
      </c>
      <c r="C729" s="65"/>
      <c r="D729" s="66">
        <v>108024</v>
      </c>
      <c r="E729" s="69"/>
      <c r="F729" s="65"/>
      <c r="G729" s="67" t="s">
        <v>5346</v>
      </c>
      <c r="H729" s="65"/>
      <c r="I729" s="64">
        <v>37118</v>
      </c>
      <c r="J729" s="65"/>
      <c r="K729" s="54">
        <v>2208</v>
      </c>
      <c r="L729" s="66">
        <v>1126</v>
      </c>
      <c r="M729" s="65"/>
      <c r="N729" s="70" t="s">
        <v>5347</v>
      </c>
      <c r="O729" s="65"/>
      <c r="P729" s="67" t="s">
        <v>5348</v>
      </c>
      <c r="Q729" s="65"/>
      <c r="R729" s="64">
        <v>37118</v>
      </c>
      <c r="S729" s="65"/>
      <c r="T729" s="67" t="s">
        <v>5349</v>
      </c>
      <c r="U729" s="65"/>
    </row>
    <row r="730" spans="1:21" ht="12.75" customHeight="1" x14ac:dyDescent="0.15">
      <c r="A730" s="68"/>
      <c r="B730" s="69"/>
      <c r="C730" s="69"/>
      <c r="D730" s="69"/>
      <c r="E730" s="69"/>
      <c r="F730" s="69"/>
      <c r="G730" s="69"/>
      <c r="H730" s="69"/>
      <c r="I730" s="69"/>
      <c r="J730" s="69"/>
      <c r="K730" s="69"/>
      <c r="L730" s="69"/>
      <c r="M730" s="69"/>
      <c r="N730" s="69"/>
      <c r="O730" s="65"/>
      <c r="P730" s="70" t="s">
        <v>5350</v>
      </c>
      <c r="Q730" s="65"/>
      <c r="R730" s="71">
        <v>39736</v>
      </c>
      <c r="S730" s="65"/>
      <c r="T730" s="70" t="s">
        <v>5351</v>
      </c>
      <c r="U730" s="65"/>
    </row>
    <row r="731" spans="1:21" ht="12.75" customHeight="1" x14ac:dyDescent="0.15">
      <c r="A731" s="68"/>
      <c r="B731" s="69"/>
      <c r="C731" s="69"/>
      <c r="D731" s="69"/>
      <c r="E731" s="69"/>
      <c r="F731" s="69"/>
      <c r="G731" s="69"/>
      <c r="H731" s="69"/>
      <c r="I731" s="69"/>
      <c r="J731" s="69"/>
      <c r="K731" s="69"/>
      <c r="L731" s="69"/>
      <c r="M731" s="69"/>
      <c r="N731" s="69"/>
      <c r="O731" s="65"/>
      <c r="P731" s="70" t="s">
        <v>5352</v>
      </c>
      <c r="Q731" s="65"/>
      <c r="R731" s="71">
        <v>41624</v>
      </c>
      <c r="S731" s="65"/>
      <c r="T731" s="70" t="s">
        <v>5353</v>
      </c>
      <c r="U731" s="65"/>
    </row>
    <row r="732" spans="1:21" ht="25.5" customHeight="1" x14ac:dyDescent="0.15">
      <c r="A732" s="61">
        <v>2343</v>
      </c>
      <c r="B732" s="67" t="s">
        <v>5354</v>
      </c>
      <c r="C732" s="65"/>
      <c r="D732" s="66">
        <v>10390</v>
      </c>
      <c r="E732" s="69"/>
      <c r="F732" s="65"/>
      <c r="G732" s="67" t="s">
        <v>5355</v>
      </c>
      <c r="H732" s="65"/>
      <c r="I732" s="64">
        <v>37118</v>
      </c>
      <c r="J732" s="65"/>
      <c r="K732" s="54">
        <v>2208</v>
      </c>
      <c r="L732" s="66">
        <v>1126</v>
      </c>
      <c r="M732" s="65"/>
      <c r="N732" s="70" t="s">
        <v>5356</v>
      </c>
      <c r="O732" s="65"/>
      <c r="P732" s="67" t="s">
        <v>5357</v>
      </c>
      <c r="Q732" s="65"/>
      <c r="R732" s="64">
        <v>37118</v>
      </c>
      <c r="S732" s="65"/>
      <c r="T732" s="67" t="s">
        <v>5358</v>
      </c>
      <c r="U732" s="65"/>
    </row>
    <row r="733" spans="1:21" ht="13.5" customHeight="1" x14ac:dyDescent="0.15">
      <c r="A733" s="68"/>
      <c r="B733" s="69"/>
      <c r="C733" s="69"/>
      <c r="D733" s="69"/>
      <c r="E733" s="69"/>
      <c r="F733" s="69"/>
      <c r="G733" s="69"/>
      <c r="H733" s="69"/>
      <c r="I733" s="69"/>
      <c r="J733" s="69"/>
      <c r="K733" s="69"/>
      <c r="L733" s="69"/>
      <c r="M733" s="69"/>
      <c r="N733" s="69"/>
      <c r="O733" s="65"/>
      <c r="P733" s="70" t="s">
        <v>5359</v>
      </c>
      <c r="Q733" s="65"/>
      <c r="R733" s="71">
        <v>37119</v>
      </c>
      <c r="S733" s="65"/>
      <c r="T733" s="70" t="s">
        <v>5360</v>
      </c>
      <c r="U733" s="65"/>
    </row>
    <row r="734" spans="1:21" ht="25.5" customHeight="1" x14ac:dyDescent="0.15">
      <c r="A734" s="61">
        <v>2400</v>
      </c>
      <c r="B734" s="67" t="s">
        <v>5361</v>
      </c>
      <c r="C734" s="65"/>
      <c r="D734" s="66">
        <v>100217</v>
      </c>
      <c r="E734" s="69"/>
      <c r="F734" s="65"/>
      <c r="G734" s="67" t="s">
        <v>5362</v>
      </c>
      <c r="H734" s="65"/>
      <c r="I734" s="64">
        <v>37625</v>
      </c>
      <c r="J734" s="65"/>
      <c r="K734" s="54">
        <v>2208</v>
      </c>
      <c r="L734" s="66">
        <v>1126</v>
      </c>
      <c r="M734" s="65"/>
      <c r="N734" s="73" t="s">
        <v>5363</v>
      </c>
      <c r="O734" s="65"/>
      <c r="P734" s="67" t="s">
        <v>5364</v>
      </c>
      <c r="Q734" s="65"/>
      <c r="R734" s="64">
        <v>37625</v>
      </c>
      <c r="S734" s="65"/>
      <c r="T734" s="67" t="s">
        <v>5365</v>
      </c>
      <c r="U734" s="65"/>
    </row>
    <row r="735" spans="1:21" ht="12.75" customHeight="1" x14ac:dyDescent="0.15">
      <c r="A735" s="68"/>
      <c r="B735" s="69"/>
      <c r="C735" s="69"/>
      <c r="D735" s="69"/>
      <c r="E735" s="69"/>
      <c r="F735" s="69"/>
      <c r="G735" s="69"/>
      <c r="H735" s="69"/>
      <c r="I735" s="69"/>
      <c r="J735" s="69"/>
      <c r="K735" s="69"/>
      <c r="L735" s="69"/>
      <c r="M735" s="69"/>
      <c r="N735" s="69"/>
      <c r="O735" s="65"/>
      <c r="P735" s="70" t="s">
        <v>5366</v>
      </c>
      <c r="Q735" s="65"/>
      <c r="R735" s="71">
        <v>38484</v>
      </c>
      <c r="S735" s="65"/>
      <c r="T735" s="70" t="s">
        <v>5367</v>
      </c>
      <c r="U735" s="65"/>
    </row>
    <row r="736" spans="1:21" ht="12.75" customHeight="1" x14ac:dyDescent="0.15">
      <c r="A736" s="68"/>
      <c r="B736" s="69"/>
      <c r="C736" s="69"/>
      <c r="D736" s="69"/>
      <c r="E736" s="69"/>
      <c r="F736" s="69"/>
      <c r="G736" s="69"/>
      <c r="H736" s="69"/>
      <c r="I736" s="69"/>
      <c r="J736" s="69"/>
      <c r="K736" s="69"/>
      <c r="L736" s="69"/>
      <c r="M736" s="69"/>
      <c r="N736" s="69"/>
      <c r="O736" s="65"/>
      <c r="P736" s="70" t="s">
        <v>5368</v>
      </c>
      <c r="Q736" s="65"/>
      <c r="R736" s="71">
        <v>40177</v>
      </c>
      <c r="S736" s="65"/>
      <c r="T736" s="70" t="s">
        <v>5369</v>
      </c>
      <c r="U736" s="65"/>
    </row>
    <row r="737" spans="1:21" ht="25.5" customHeight="1" x14ac:dyDescent="0.15">
      <c r="A737" s="61">
        <v>2402</v>
      </c>
      <c r="B737" s="67" t="s">
        <v>5370</v>
      </c>
      <c r="C737" s="65"/>
      <c r="D737" s="66">
        <v>108039</v>
      </c>
      <c r="E737" s="69"/>
      <c r="F737" s="65"/>
      <c r="G737" s="67" t="s">
        <v>5371</v>
      </c>
      <c r="H737" s="65"/>
      <c r="I737" s="64">
        <v>37225</v>
      </c>
      <c r="J737" s="65"/>
      <c r="K737" s="54">
        <v>1102</v>
      </c>
      <c r="L737" s="66">
        <v>1127</v>
      </c>
      <c r="M737" s="65"/>
      <c r="N737" s="70" t="s">
        <v>5372</v>
      </c>
      <c r="O737" s="65"/>
      <c r="P737" s="67" t="s">
        <v>5373</v>
      </c>
      <c r="Q737" s="65"/>
      <c r="R737" s="64">
        <v>37225</v>
      </c>
      <c r="S737" s="65"/>
      <c r="T737" s="67" t="s">
        <v>5374</v>
      </c>
      <c r="U737" s="65"/>
    </row>
    <row r="738" spans="1:21" ht="12.75" customHeight="1" x14ac:dyDescent="0.15">
      <c r="A738" s="68"/>
      <c r="B738" s="69"/>
      <c r="C738" s="69"/>
      <c r="D738" s="69"/>
      <c r="E738" s="69"/>
      <c r="F738" s="69"/>
      <c r="G738" s="69"/>
      <c r="H738" s="69"/>
      <c r="I738" s="69"/>
      <c r="J738" s="69"/>
      <c r="K738" s="69"/>
      <c r="L738" s="69"/>
      <c r="M738" s="69"/>
      <c r="N738" s="69"/>
      <c r="O738" s="65"/>
      <c r="P738" s="70" t="s">
        <v>5375</v>
      </c>
      <c r="Q738" s="65"/>
      <c r="R738" s="71">
        <v>39198</v>
      </c>
      <c r="S738" s="65"/>
      <c r="T738" s="70" t="s">
        <v>5376</v>
      </c>
      <c r="U738" s="65"/>
    </row>
    <row r="739" spans="1:21" ht="12.75" customHeight="1" x14ac:dyDescent="0.15">
      <c r="A739" s="68"/>
      <c r="B739" s="69"/>
      <c r="C739" s="69"/>
      <c r="D739" s="69"/>
      <c r="E739" s="69"/>
      <c r="F739" s="69"/>
      <c r="G739" s="69"/>
      <c r="H739" s="69"/>
      <c r="I739" s="69"/>
      <c r="J739" s="69"/>
      <c r="K739" s="69"/>
      <c r="L739" s="69"/>
      <c r="M739" s="69"/>
      <c r="N739" s="69"/>
      <c r="O739" s="65"/>
      <c r="P739" s="70" t="s">
        <v>5377</v>
      </c>
      <c r="Q739" s="65"/>
      <c r="R739" s="71">
        <v>39693</v>
      </c>
      <c r="S739" s="65"/>
      <c r="T739" s="70" t="s">
        <v>5378</v>
      </c>
      <c r="U739" s="65"/>
    </row>
    <row r="740" spans="1:21" ht="12.75" customHeight="1" x14ac:dyDescent="0.15">
      <c r="A740" s="68"/>
      <c r="B740" s="69"/>
      <c r="C740" s="69"/>
      <c r="D740" s="69"/>
      <c r="E740" s="69"/>
      <c r="F740" s="69"/>
      <c r="G740" s="69"/>
      <c r="H740" s="69"/>
      <c r="I740" s="69"/>
      <c r="J740" s="69"/>
      <c r="K740" s="69"/>
      <c r="L740" s="69"/>
      <c r="M740" s="69"/>
      <c r="N740" s="69"/>
      <c r="O740" s="65"/>
      <c r="P740" s="70" t="s">
        <v>5379</v>
      </c>
      <c r="Q740" s="65"/>
      <c r="R740" s="71">
        <v>41702</v>
      </c>
      <c r="S740" s="65"/>
      <c r="T740" s="70" t="s">
        <v>5380</v>
      </c>
      <c r="U740" s="65"/>
    </row>
    <row r="741" spans="1:21" ht="25.5" customHeight="1" x14ac:dyDescent="0.15">
      <c r="A741" s="61">
        <v>2403</v>
      </c>
      <c r="B741" s="67" t="s">
        <v>5381</v>
      </c>
      <c r="C741" s="65"/>
      <c r="D741" s="66">
        <v>23425</v>
      </c>
      <c r="E741" s="69"/>
      <c r="F741" s="65"/>
      <c r="G741" s="67" t="s">
        <v>5382</v>
      </c>
      <c r="H741" s="65"/>
      <c r="I741" s="64">
        <v>37225</v>
      </c>
      <c r="J741" s="65"/>
      <c r="K741" s="54">
        <v>1102</v>
      </c>
      <c r="L741" s="66">
        <v>1127</v>
      </c>
      <c r="M741" s="65"/>
      <c r="N741" s="70" t="s">
        <v>5383</v>
      </c>
      <c r="O741" s="65"/>
      <c r="P741" s="67" t="s">
        <v>5384</v>
      </c>
      <c r="Q741" s="65"/>
      <c r="R741" s="64">
        <v>37225</v>
      </c>
      <c r="S741" s="65"/>
      <c r="T741" s="67" t="s">
        <v>5385</v>
      </c>
      <c r="U741" s="65"/>
    </row>
    <row r="742" spans="1:21" ht="21" customHeight="1" x14ac:dyDescent="0.15">
      <c r="A742" s="60" t="s">
        <v>5386</v>
      </c>
      <c r="B742" s="72" t="s">
        <v>5387</v>
      </c>
      <c r="C742" s="65"/>
      <c r="D742" s="72" t="s">
        <v>5388</v>
      </c>
      <c r="E742" s="69"/>
      <c r="F742" s="65"/>
      <c r="G742" s="72" t="s">
        <v>5389</v>
      </c>
      <c r="H742" s="65"/>
      <c r="I742" s="72" t="s">
        <v>5390</v>
      </c>
      <c r="J742" s="65"/>
      <c r="K742" s="60" t="s">
        <v>5391</v>
      </c>
      <c r="L742" s="72" t="s">
        <v>5392</v>
      </c>
      <c r="M742" s="65"/>
      <c r="N742" s="72" t="s">
        <v>5393</v>
      </c>
      <c r="O742" s="65"/>
      <c r="P742" s="72" t="s">
        <v>5394</v>
      </c>
      <c r="Q742" s="65"/>
      <c r="R742" s="72" t="s">
        <v>5395</v>
      </c>
      <c r="S742" s="65"/>
      <c r="T742" s="72" t="s">
        <v>5396</v>
      </c>
      <c r="U742" s="65"/>
    </row>
    <row r="743" spans="1:21" ht="13.5" customHeight="1" x14ac:dyDescent="0.15">
      <c r="A743" s="68"/>
      <c r="B743" s="69"/>
      <c r="C743" s="69"/>
      <c r="D743" s="69"/>
      <c r="E743" s="69"/>
      <c r="F743" s="69"/>
      <c r="G743" s="69"/>
      <c r="H743" s="69"/>
      <c r="I743" s="69"/>
      <c r="J743" s="69"/>
      <c r="K743" s="69"/>
      <c r="L743" s="69"/>
      <c r="M743" s="69"/>
      <c r="N743" s="69"/>
      <c r="O743" s="65"/>
      <c r="P743" s="70" t="s">
        <v>5397</v>
      </c>
      <c r="Q743" s="65"/>
      <c r="R743" s="71">
        <v>37937</v>
      </c>
      <c r="S743" s="65"/>
      <c r="T743" s="70" t="s">
        <v>5398</v>
      </c>
      <c r="U743" s="65"/>
    </row>
    <row r="744" spans="1:21" ht="12.75" customHeight="1" x14ac:dyDescent="0.15">
      <c r="A744" s="68"/>
      <c r="B744" s="69"/>
      <c r="C744" s="69"/>
      <c r="D744" s="69"/>
      <c r="E744" s="69"/>
      <c r="F744" s="69"/>
      <c r="G744" s="69"/>
      <c r="H744" s="69"/>
      <c r="I744" s="69"/>
      <c r="J744" s="69"/>
      <c r="K744" s="69"/>
      <c r="L744" s="69"/>
      <c r="M744" s="69"/>
      <c r="N744" s="69"/>
      <c r="O744" s="65"/>
      <c r="P744" s="70" t="s">
        <v>5399</v>
      </c>
      <c r="Q744" s="65"/>
      <c r="R744" s="71">
        <v>41585</v>
      </c>
      <c r="S744" s="65"/>
      <c r="T744" s="70" t="s">
        <v>5400</v>
      </c>
      <c r="U744" s="65"/>
    </row>
    <row r="745" spans="1:21" ht="12.75" customHeight="1" x14ac:dyDescent="0.15">
      <c r="A745" s="68"/>
      <c r="B745" s="69"/>
      <c r="C745" s="69"/>
      <c r="D745" s="69"/>
      <c r="E745" s="69"/>
      <c r="F745" s="69"/>
      <c r="G745" s="69"/>
      <c r="H745" s="69"/>
      <c r="I745" s="69"/>
      <c r="J745" s="69"/>
      <c r="K745" s="69"/>
      <c r="L745" s="69"/>
      <c r="M745" s="69"/>
      <c r="N745" s="69"/>
      <c r="O745" s="65"/>
      <c r="P745" s="70" t="s">
        <v>5401</v>
      </c>
      <c r="Q745" s="65"/>
      <c r="R745" s="71">
        <v>42303</v>
      </c>
      <c r="S745" s="65"/>
      <c r="T745" s="70" t="s">
        <v>5402</v>
      </c>
      <c r="U745" s="65"/>
    </row>
    <row r="746" spans="1:21" ht="12.75" customHeight="1" x14ac:dyDescent="0.15">
      <c r="A746" s="68"/>
      <c r="B746" s="69"/>
      <c r="C746" s="69"/>
      <c r="D746" s="69"/>
      <c r="E746" s="69"/>
      <c r="F746" s="69"/>
      <c r="G746" s="69"/>
      <c r="H746" s="69"/>
      <c r="I746" s="69"/>
      <c r="J746" s="69"/>
      <c r="K746" s="69"/>
      <c r="L746" s="69"/>
      <c r="M746" s="69"/>
      <c r="N746" s="69"/>
      <c r="O746" s="65"/>
      <c r="P746" s="70" t="s">
        <v>5403</v>
      </c>
      <c r="Q746" s="65"/>
      <c r="R746" s="71">
        <v>42761</v>
      </c>
      <c r="S746" s="65"/>
      <c r="T746" s="70" t="s">
        <v>5404</v>
      </c>
      <c r="U746" s="65"/>
    </row>
    <row r="747" spans="1:21" ht="25.5" customHeight="1" x14ac:dyDescent="0.15">
      <c r="A747" s="61">
        <v>2405</v>
      </c>
      <c r="B747" s="67" t="s">
        <v>5405</v>
      </c>
      <c r="C747" s="65"/>
      <c r="D747" s="67" t="s">
        <v>5406</v>
      </c>
      <c r="E747" s="69"/>
      <c r="F747" s="65"/>
      <c r="G747" s="67" t="s">
        <v>5407</v>
      </c>
      <c r="H747" s="65"/>
      <c r="I747" s="64">
        <v>37295</v>
      </c>
      <c r="J747" s="65"/>
      <c r="K747" s="54">
        <v>2338</v>
      </c>
      <c r="L747" s="66">
        <v>2340</v>
      </c>
      <c r="M747" s="65"/>
      <c r="N747" s="70" t="s">
        <v>5408</v>
      </c>
      <c r="O747" s="65"/>
      <c r="P747" s="67" t="s">
        <v>5409</v>
      </c>
      <c r="Q747" s="65"/>
      <c r="R747" s="64">
        <v>37295</v>
      </c>
      <c r="S747" s="65"/>
      <c r="T747" s="67" t="s">
        <v>5410</v>
      </c>
      <c r="U747" s="65"/>
    </row>
    <row r="748" spans="1:21" ht="12.75" customHeight="1" x14ac:dyDescent="0.15">
      <c r="A748" s="68"/>
      <c r="B748" s="69"/>
      <c r="C748" s="69"/>
      <c r="D748" s="69"/>
      <c r="E748" s="69"/>
      <c r="F748" s="69"/>
      <c r="G748" s="69"/>
      <c r="H748" s="69"/>
      <c r="I748" s="69"/>
      <c r="J748" s="69"/>
      <c r="K748" s="69"/>
      <c r="L748" s="69"/>
      <c r="M748" s="69"/>
      <c r="N748" s="69"/>
      <c r="O748" s="65"/>
      <c r="P748" s="70" t="s">
        <v>5411</v>
      </c>
      <c r="Q748" s="65"/>
      <c r="R748" s="71">
        <v>37903</v>
      </c>
      <c r="S748" s="65"/>
      <c r="T748" s="70" t="s">
        <v>5412</v>
      </c>
      <c r="U748" s="65"/>
    </row>
    <row r="749" spans="1:21" ht="12.75" customHeight="1" x14ac:dyDescent="0.15">
      <c r="A749" s="68"/>
      <c r="B749" s="69"/>
      <c r="C749" s="69"/>
      <c r="D749" s="69"/>
      <c r="E749" s="69"/>
      <c r="F749" s="69"/>
      <c r="G749" s="69"/>
      <c r="H749" s="69"/>
      <c r="I749" s="69"/>
      <c r="J749" s="69"/>
      <c r="K749" s="69"/>
      <c r="L749" s="69"/>
      <c r="M749" s="69"/>
      <c r="N749" s="69"/>
      <c r="O749" s="65"/>
      <c r="P749" s="70" t="s">
        <v>5413</v>
      </c>
      <c r="Q749" s="65"/>
      <c r="R749" s="71">
        <v>38433</v>
      </c>
      <c r="S749" s="65"/>
      <c r="T749" s="70" t="s">
        <v>5414</v>
      </c>
      <c r="U749" s="65"/>
    </row>
    <row r="750" spans="1:21" ht="12.75" customHeight="1" x14ac:dyDescent="0.15">
      <c r="A750" s="68"/>
      <c r="B750" s="69"/>
      <c r="C750" s="69"/>
      <c r="D750" s="69"/>
      <c r="E750" s="69"/>
      <c r="F750" s="69"/>
      <c r="G750" s="69"/>
      <c r="H750" s="69"/>
      <c r="I750" s="69"/>
      <c r="J750" s="69"/>
      <c r="K750" s="69"/>
      <c r="L750" s="69"/>
      <c r="M750" s="69"/>
      <c r="N750" s="69"/>
      <c r="O750" s="65"/>
      <c r="P750" s="70" t="s">
        <v>5415</v>
      </c>
      <c r="Q750" s="65"/>
      <c r="R750" s="71">
        <v>39642</v>
      </c>
      <c r="S750" s="65"/>
      <c r="T750" s="70" t="s">
        <v>5416</v>
      </c>
      <c r="U750" s="65"/>
    </row>
    <row r="751" spans="1:21" ht="13.5" customHeight="1" x14ac:dyDescent="0.15">
      <c r="A751" s="68"/>
      <c r="B751" s="69"/>
      <c r="C751" s="69"/>
      <c r="D751" s="69"/>
      <c r="E751" s="69"/>
      <c r="F751" s="69"/>
      <c r="G751" s="69"/>
      <c r="H751" s="69"/>
      <c r="I751" s="69"/>
      <c r="J751" s="69"/>
      <c r="K751" s="69"/>
      <c r="L751" s="69"/>
      <c r="M751" s="69"/>
      <c r="N751" s="69"/>
      <c r="O751" s="65"/>
      <c r="P751" s="70" t="s">
        <v>5417</v>
      </c>
      <c r="Q751" s="65"/>
      <c r="R751" s="71">
        <v>40484</v>
      </c>
      <c r="S751" s="65"/>
      <c r="T751" s="70" t="s">
        <v>5418</v>
      </c>
      <c r="U751" s="65"/>
    </row>
    <row r="752" spans="1:21" ht="12.75" customHeight="1" x14ac:dyDescent="0.15">
      <c r="A752" s="68"/>
      <c r="B752" s="69"/>
      <c r="C752" s="69"/>
      <c r="D752" s="69"/>
      <c r="E752" s="69"/>
      <c r="F752" s="69"/>
      <c r="G752" s="69"/>
      <c r="H752" s="69"/>
      <c r="I752" s="69"/>
      <c r="J752" s="69"/>
      <c r="K752" s="69"/>
      <c r="L752" s="69"/>
      <c r="M752" s="69"/>
      <c r="N752" s="69"/>
      <c r="O752" s="65"/>
      <c r="P752" s="70" t="s">
        <v>5419</v>
      </c>
      <c r="Q752" s="65"/>
      <c r="R752" s="71">
        <v>41469</v>
      </c>
      <c r="S752" s="65"/>
      <c r="T752" s="70" t="s">
        <v>5420</v>
      </c>
      <c r="U752" s="65"/>
    </row>
    <row r="753" spans="1:21" ht="24.75" customHeight="1" x14ac:dyDescent="0.15">
      <c r="A753" s="61">
        <v>2406</v>
      </c>
      <c r="B753" s="67" t="s">
        <v>5421</v>
      </c>
      <c r="C753" s="65"/>
      <c r="D753" s="66">
        <v>2921</v>
      </c>
      <c r="E753" s="69"/>
      <c r="F753" s="65"/>
      <c r="G753" s="67" t="s">
        <v>5422</v>
      </c>
      <c r="H753" s="65"/>
      <c r="I753" s="64">
        <v>37319</v>
      </c>
      <c r="J753" s="65"/>
      <c r="K753" s="54">
        <v>1103</v>
      </c>
      <c r="L753" s="66">
        <v>1097</v>
      </c>
      <c r="M753" s="65"/>
      <c r="N753" s="70" t="s">
        <v>5423</v>
      </c>
      <c r="O753" s="65"/>
      <c r="P753" s="67" t="s">
        <v>5424</v>
      </c>
      <c r="Q753" s="65"/>
      <c r="R753" s="64">
        <v>37319</v>
      </c>
      <c r="S753" s="65"/>
      <c r="T753" s="67" t="s">
        <v>5425</v>
      </c>
      <c r="U753" s="65"/>
    </row>
    <row r="754" spans="1:21" ht="12.75" customHeight="1" x14ac:dyDescent="0.15">
      <c r="A754" s="68"/>
      <c r="B754" s="69"/>
      <c r="C754" s="69"/>
      <c r="D754" s="69"/>
      <c r="E754" s="69"/>
      <c r="F754" s="69"/>
      <c r="G754" s="69"/>
      <c r="H754" s="69"/>
      <c r="I754" s="69"/>
      <c r="J754" s="69"/>
      <c r="K754" s="69"/>
      <c r="L754" s="69"/>
      <c r="M754" s="69"/>
      <c r="N754" s="69"/>
      <c r="O754" s="65"/>
      <c r="P754" s="70" t="s">
        <v>5426</v>
      </c>
      <c r="Q754" s="65"/>
      <c r="R754" s="71">
        <v>41037</v>
      </c>
      <c r="S754" s="65"/>
      <c r="T754" s="70" t="s">
        <v>5427</v>
      </c>
      <c r="U754" s="65"/>
    </row>
    <row r="755" spans="1:21" ht="25.5" customHeight="1" x14ac:dyDescent="0.15">
      <c r="A755" s="61">
        <v>2407</v>
      </c>
      <c r="B755" s="67" t="s">
        <v>5428</v>
      </c>
      <c r="C755" s="65"/>
      <c r="D755" s="66">
        <v>2922</v>
      </c>
      <c r="E755" s="69"/>
      <c r="F755" s="65"/>
      <c r="G755" s="67" t="s">
        <v>5429</v>
      </c>
      <c r="H755" s="65"/>
      <c r="I755" s="64">
        <v>37319</v>
      </c>
      <c r="J755" s="65"/>
      <c r="K755" s="54">
        <v>1103</v>
      </c>
      <c r="L755" s="66">
        <v>1097</v>
      </c>
      <c r="M755" s="65"/>
      <c r="N755" s="70" t="s">
        <v>5430</v>
      </c>
      <c r="O755" s="65"/>
      <c r="P755" s="67" t="s">
        <v>5431</v>
      </c>
      <c r="Q755" s="65"/>
      <c r="R755" s="64">
        <v>37319</v>
      </c>
      <c r="S755" s="65"/>
      <c r="T755" s="67" t="s">
        <v>5432</v>
      </c>
      <c r="U755" s="65"/>
    </row>
    <row r="756" spans="1:21" ht="12.75" customHeight="1" x14ac:dyDescent="0.15">
      <c r="A756" s="68"/>
      <c r="B756" s="69"/>
      <c r="C756" s="69"/>
      <c r="D756" s="69"/>
      <c r="E756" s="69"/>
      <c r="F756" s="69"/>
      <c r="G756" s="69"/>
      <c r="H756" s="69"/>
      <c r="I756" s="69"/>
      <c r="J756" s="69"/>
      <c r="K756" s="69"/>
      <c r="L756" s="69"/>
      <c r="M756" s="69"/>
      <c r="N756" s="69"/>
      <c r="O756" s="65"/>
      <c r="P756" s="70" t="s">
        <v>5433</v>
      </c>
      <c r="Q756" s="65"/>
      <c r="R756" s="71">
        <v>37320</v>
      </c>
      <c r="S756" s="65"/>
      <c r="T756" s="70" t="s">
        <v>5434</v>
      </c>
      <c r="U756" s="65"/>
    </row>
    <row r="757" spans="1:21" ht="25.5" customHeight="1" x14ac:dyDescent="0.15">
      <c r="A757" s="61">
        <v>2408</v>
      </c>
      <c r="B757" s="67" t="s">
        <v>5435</v>
      </c>
      <c r="C757" s="65"/>
      <c r="D757" s="66">
        <v>100363</v>
      </c>
      <c r="E757" s="69"/>
      <c r="F757" s="65"/>
      <c r="G757" s="67" t="s">
        <v>5436</v>
      </c>
      <c r="H757" s="65"/>
      <c r="I757" s="64">
        <v>37340</v>
      </c>
      <c r="J757" s="65"/>
      <c r="K757" s="54">
        <v>1113</v>
      </c>
      <c r="L757" s="66">
        <v>1089</v>
      </c>
      <c r="M757" s="65"/>
      <c r="N757" s="73" t="s">
        <v>5437</v>
      </c>
      <c r="O757" s="65"/>
      <c r="P757" s="67" t="s">
        <v>5438</v>
      </c>
      <c r="Q757" s="65"/>
      <c r="R757" s="64">
        <v>37340</v>
      </c>
      <c r="S757" s="65"/>
      <c r="T757" s="67" t="s">
        <v>5439</v>
      </c>
      <c r="U757" s="65"/>
    </row>
    <row r="758" spans="1:21" ht="12.75" customHeight="1" x14ac:dyDescent="0.15">
      <c r="A758" s="68"/>
      <c r="B758" s="69"/>
      <c r="C758" s="69"/>
      <c r="D758" s="69"/>
      <c r="E758" s="69"/>
      <c r="F758" s="69"/>
      <c r="G758" s="69"/>
      <c r="H758" s="69"/>
      <c r="I758" s="69"/>
      <c r="J758" s="69"/>
      <c r="K758" s="69"/>
      <c r="L758" s="69"/>
      <c r="M758" s="69"/>
      <c r="N758" s="69"/>
      <c r="O758" s="65"/>
      <c r="P758" s="70" t="s">
        <v>5440</v>
      </c>
      <c r="Q758" s="65"/>
      <c r="R758" s="71">
        <v>38875</v>
      </c>
      <c r="S758" s="65"/>
      <c r="T758" s="70" t="s">
        <v>5441</v>
      </c>
      <c r="U758" s="65"/>
    </row>
    <row r="759" spans="1:21" ht="13.5" customHeight="1" x14ac:dyDescent="0.15">
      <c r="A759" s="68"/>
      <c r="B759" s="69"/>
      <c r="C759" s="69"/>
      <c r="D759" s="69"/>
      <c r="E759" s="69"/>
      <c r="F759" s="69"/>
      <c r="G759" s="69"/>
      <c r="H759" s="69"/>
      <c r="I759" s="69"/>
      <c r="J759" s="69"/>
      <c r="K759" s="69"/>
      <c r="L759" s="69"/>
      <c r="M759" s="69"/>
      <c r="N759" s="69"/>
      <c r="O759" s="65"/>
      <c r="P759" s="70" t="s">
        <v>5442</v>
      </c>
      <c r="Q759" s="65"/>
      <c r="R759" s="71">
        <v>42064</v>
      </c>
      <c r="S759" s="65"/>
      <c r="T759" s="70" t="s">
        <v>5443</v>
      </c>
      <c r="U759" s="65"/>
    </row>
    <row r="760" spans="1:21" ht="25.5" customHeight="1" x14ac:dyDescent="0.15">
      <c r="A760" s="61">
        <v>2409</v>
      </c>
      <c r="B760" s="67" t="s">
        <v>5444</v>
      </c>
      <c r="C760" s="65"/>
      <c r="D760" s="66">
        <v>109501</v>
      </c>
      <c r="E760" s="69"/>
      <c r="F760" s="65"/>
      <c r="G760" s="67" t="s">
        <v>5445</v>
      </c>
      <c r="H760" s="65"/>
      <c r="I760" s="64">
        <v>37340</v>
      </c>
      <c r="J760" s="65"/>
      <c r="K760" s="54">
        <v>1113</v>
      </c>
      <c r="L760" s="66">
        <v>1089</v>
      </c>
      <c r="M760" s="65"/>
      <c r="N760" s="73" t="s">
        <v>5446</v>
      </c>
      <c r="O760" s="65"/>
      <c r="P760" s="67" t="s">
        <v>5447</v>
      </c>
      <c r="Q760" s="65"/>
      <c r="R760" s="64">
        <v>37340</v>
      </c>
      <c r="S760" s="65"/>
      <c r="T760" s="67" t="s">
        <v>5448</v>
      </c>
      <c r="U760" s="65"/>
    </row>
    <row r="761" spans="1:21" ht="12.75" customHeight="1" x14ac:dyDescent="0.15">
      <c r="A761" s="68"/>
      <c r="B761" s="69"/>
      <c r="C761" s="69"/>
      <c r="D761" s="69"/>
      <c r="E761" s="69"/>
      <c r="F761" s="69"/>
      <c r="G761" s="69"/>
      <c r="H761" s="69"/>
      <c r="I761" s="69"/>
      <c r="J761" s="69"/>
      <c r="K761" s="69"/>
      <c r="L761" s="69"/>
      <c r="M761" s="69"/>
      <c r="N761" s="69"/>
      <c r="O761" s="65"/>
      <c r="P761" s="70" t="s">
        <v>5449</v>
      </c>
      <c r="Q761" s="65"/>
      <c r="R761" s="71">
        <v>39999</v>
      </c>
      <c r="S761" s="65"/>
      <c r="T761" s="70" t="s">
        <v>5450</v>
      </c>
      <c r="U761" s="65"/>
    </row>
    <row r="762" spans="1:21" ht="12.75" customHeight="1" x14ac:dyDescent="0.15">
      <c r="A762" s="68"/>
      <c r="B762" s="69"/>
      <c r="C762" s="69"/>
      <c r="D762" s="69"/>
      <c r="E762" s="69"/>
      <c r="F762" s="69"/>
      <c r="G762" s="69"/>
      <c r="H762" s="69"/>
      <c r="I762" s="69"/>
      <c r="J762" s="69"/>
      <c r="K762" s="69"/>
      <c r="L762" s="69"/>
      <c r="M762" s="69"/>
      <c r="N762" s="69"/>
      <c r="O762" s="65"/>
      <c r="P762" s="70" t="s">
        <v>5451</v>
      </c>
      <c r="Q762" s="65"/>
      <c r="R762" s="71">
        <v>43537</v>
      </c>
      <c r="S762" s="65"/>
      <c r="T762" s="70" t="s">
        <v>5452</v>
      </c>
      <c r="U762" s="65"/>
    </row>
    <row r="763" spans="1:21" ht="25.5" customHeight="1" x14ac:dyDescent="0.15">
      <c r="A763" s="61">
        <v>2410</v>
      </c>
      <c r="B763" s="67" t="s">
        <v>5453</v>
      </c>
      <c r="C763" s="65"/>
      <c r="D763" s="67" t="s">
        <v>5454</v>
      </c>
      <c r="E763" s="69"/>
      <c r="F763" s="65"/>
      <c r="G763" s="67" t="s">
        <v>5455</v>
      </c>
      <c r="H763" s="65"/>
      <c r="I763" s="64">
        <v>37351</v>
      </c>
      <c r="J763" s="65"/>
      <c r="K763" s="54">
        <v>1125</v>
      </c>
      <c r="L763" s="66">
        <v>1124</v>
      </c>
      <c r="M763" s="65"/>
      <c r="N763" s="70" t="s">
        <v>5456</v>
      </c>
      <c r="O763" s="65"/>
      <c r="P763" s="67" t="s">
        <v>5457</v>
      </c>
      <c r="Q763" s="65"/>
      <c r="R763" s="64">
        <v>37351</v>
      </c>
      <c r="S763" s="65"/>
      <c r="T763" s="67" t="s">
        <v>5458</v>
      </c>
      <c r="U763" s="65"/>
    </row>
    <row r="764" spans="1:21" ht="25.5" customHeight="1" x14ac:dyDescent="0.15">
      <c r="A764" s="75"/>
      <c r="B764" s="69"/>
      <c r="C764" s="69"/>
      <c r="D764" s="69"/>
      <c r="E764" s="69"/>
      <c r="F764" s="69"/>
      <c r="G764" s="69"/>
      <c r="H764" s="69"/>
      <c r="I764" s="69"/>
      <c r="J764" s="69"/>
      <c r="K764" s="69"/>
      <c r="L764" s="69"/>
      <c r="M764" s="69"/>
      <c r="N764" s="69"/>
      <c r="O764" s="65"/>
      <c r="P764" s="67" t="s">
        <v>5459</v>
      </c>
      <c r="Q764" s="65"/>
      <c r="R764" s="70" t="s">
        <v>5460</v>
      </c>
      <c r="S764" s="65"/>
      <c r="T764" s="67" t="s">
        <v>5461</v>
      </c>
      <c r="U764" s="65"/>
    </row>
    <row r="765" spans="1:21" ht="25.5" customHeight="1" x14ac:dyDescent="0.15">
      <c r="A765" s="61">
        <v>2411</v>
      </c>
      <c r="B765" s="67" t="s">
        <v>5462</v>
      </c>
      <c r="C765" s="65"/>
      <c r="D765" s="66">
        <v>65831</v>
      </c>
      <c r="E765" s="69"/>
      <c r="F765" s="65"/>
      <c r="G765" s="67" t="s">
        <v>5463</v>
      </c>
      <c r="H765" s="65"/>
      <c r="I765" s="64">
        <v>37351</v>
      </c>
      <c r="J765" s="65"/>
      <c r="K765" s="54">
        <v>1125</v>
      </c>
      <c r="L765" s="66">
        <v>1124</v>
      </c>
      <c r="M765" s="65"/>
      <c r="N765" s="73" t="s">
        <v>5464</v>
      </c>
      <c r="O765" s="65"/>
      <c r="P765" s="67" t="s">
        <v>5465</v>
      </c>
      <c r="Q765" s="65"/>
      <c r="R765" s="64">
        <v>37351</v>
      </c>
      <c r="S765" s="65"/>
      <c r="T765" s="67" t="s">
        <v>5466</v>
      </c>
      <c r="U765" s="65"/>
    </row>
    <row r="766" spans="1:21" ht="12.75" customHeight="1" x14ac:dyDescent="0.15">
      <c r="A766" s="68"/>
      <c r="B766" s="69"/>
      <c r="C766" s="69"/>
      <c r="D766" s="69"/>
      <c r="E766" s="69"/>
      <c r="F766" s="69"/>
      <c r="G766" s="69"/>
      <c r="H766" s="69"/>
      <c r="I766" s="69"/>
      <c r="J766" s="69"/>
      <c r="K766" s="69"/>
      <c r="L766" s="69"/>
      <c r="M766" s="69"/>
      <c r="N766" s="69"/>
      <c r="O766" s="65"/>
      <c r="P766" s="70" t="s">
        <v>5467</v>
      </c>
      <c r="Q766" s="65"/>
      <c r="R766" s="71">
        <v>37944</v>
      </c>
      <c r="S766" s="65"/>
      <c r="T766" s="70" t="s">
        <v>5468</v>
      </c>
      <c r="U766" s="65"/>
    </row>
    <row r="767" spans="1:21" ht="12.75" customHeight="1" x14ac:dyDescent="0.15">
      <c r="A767" s="68"/>
      <c r="B767" s="69"/>
      <c r="C767" s="69"/>
      <c r="D767" s="69"/>
      <c r="E767" s="69"/>
      <c r="F767" s="69"/>
      <c r="G767" s="69"/>
      <c r="H767" s="69"/>
      <c r="I767" s="69"/>
      <c r="J767" s="69"/>
      <c r="K767" s="69"/>
      <c r="L767" s="69"/>
      <c r="M767" s="69"/>
      <c r="N767" s="69"/>
      <c r="O767" s="65"/>
      <c r="P767" s="70" t="s">
        <v>5469</v>
      </c>
      <c r="Q767" s="65"/>
      <c r="R767" s="71">
        <v>42116</v>
      </c>
      <c r="S767" s="65"/>
      <c r="T767" s="70" t="s">
        <v>5470</v>
      </c>
      <c r="U767" s="65"/>
    </row>
    <row r="768" spans="1:21" ht="13.5" customHeight="1" x14ac:dyDescent="0.15">
      <c r="A768" s="68"/>
      <c r="B768" s="69"/>
      <c r="C768" s="69"/>
      <c r="D768" s="69"/>
      <c r="E768" s="69"/>
      <c r="F768" s="69"/>
      <c r="G768" s="69"/>
      <c r="H768" s="69"/>
      <c r="I768" s="69"/>
      <c r="J768" s="69"/>
      <c r="K768" s="69"/>
      <c r="L768" s="69"/>
      <c r="M768" s="69"/>
      <c r="N768" s="69"/>
      <c r="O768" s="65"/>
      <c r="P768" s="70" t="s">
        <v>5471</v>
      </c>
      <c r="Q768" s="65"/>
      <c r="R768" s="71">
        <v>42171</v>
      </c>
      <c r="S768" s="65"/>
      <c r="T768" s="70" t="s">
        <v>5472</v>
      </c>
      <c r="U768" s="65"/>
    </row>
    <row r="769" spans="1:21" ht="25.5" customHeight="1" x14ac:dyDescent="0.15">
      <c r="A769" s="61">
        <v>2412</v>
      </c>
      <c r="B769" s="67" t="s">
        <v>5473</v>
      </c>
      <c r="C769" s="65"/>
      <c r="D769" s="66">
        <v>20926</v>
      </c>
      <c r="E769" s="69"/>
      <c r="F769" s="65"/>
      <c r="G769" s="67" t="s">
        <v>5474</v>
      </c>
      <c r="H769" s="65"/>
      <c r="I769" s="64">
        <v>37410</v>
      </c>
      <c r="J769" s="65"/>
      <c r="K769" s="54">
        <v>2208</v>
      </c>
      <c r="L769" s="66">
        <v>1126</v>
      </c>
      <c r="M769" s="65"/>
      <c r="N769" s="73" t="s">
        <v>5475</v>
      </c>
      <c r="O769" s="65"/>
      <c r="P769" s="67" t="s">
        <v>5476</v>
      </c>
      <c r="Q769" s="65"/>
      <c r="R769" s="64">
        <v>37410</v>
      </c>
      <c r="S769" s="65"/>
      <c r="T769" s="67" t="s">
        <v>5477</v>
      </c>
      <c r="U769" s="65"/>
    </row>
    <row r="770" spans="1:21" ht="12.75" customHeight="1" x14ac:dyDescent="0.15">
      <c r="A770" s="68"/>
      <c r="B770" s="69"/>
      <c r="C770" s="69"/>
      <c r="D770" s="69"/>
      <c r="E770" s="69"/>
      <c r="F770" s="69"/>
      <c r="G770" s="69"/>
      <c r="H770" s="69"/>
      <c r="I770" s="69"/>
      <c r="J770" s="69"/>
      <c r="K770" s="69"/>
      <c r="L770" s="69"/>
      <c r="M770" s="69"/>
      <c r="N770" s="69"/>
      <c r="O770" s="65"/>
      <c r="P770" s="70" t="s">
        <v>5478</v>
      </c>
      <c r="Q770" s="65"/>
      <c r="R770" s="71">
        <v>37865</v>
      </c>
      <c r="S770" s="65"/>
      <c r="T770" s="70" t="s">
        <v>5479</v>
      </c>
      <c r="U770" s="65"/>
    </row>
    <row r="771" spans="1:21" ht="12.75" customHeight="1" x14ac:dyDescent="0.15">
      <c r="A771" s="68"/>
      <c r="B771" s="69"/>
      <c r="C771" s="69"/>
      <c r="D771" s="69"/>
      <c r="E771" s="69"/>
      <c r="F771" s="69"/>
      <c r="G771" s="69"/>
      <c r="H771" s="69"/>
      <c r="I771" s="69"/>
      <c r="J771" s="69"/>
      <c r="K771" s="69"/>
      <c r="L771" s="69"/>
      <c r="M771" s="69"/>
      <c r="N771" s="69"/>
      <c r="O771" s="65"/>
      <c r="P771" s="70" t="s">
        <v>5480</v>
      </c>
      <c r="Q771" s="65"/>
      <c r="R771" s="71">
        <v>38380</v>
      </c>
      <c r="S771" s="65"/>
      <c r="T771" s="70" t="s">
        <v>5481</v>
      </c>
      <c r="U771" s="65"/>
    </row>
    <row r="772" spans="1:21" ht="25.5" customHeight="1" x14ac:dyDescent="0.15">
      <c r="A772" s="61">
        <v>2413</v>
      </c>
      <c r="B772" s="67" t="s">
        <v>5482</v>
      </c>
      <c r="C772" s="65"/>
      <c r="D772" s="67" t="s">
        <v>5483</v>
      </c>
      <c r="E772" s="69"/>
      <c r="F772" s="65"/>
      <c r="G772" s="67" t="s">
        <v>5484</v>
      </c>
      <c r="H772" s="65"/>
      <c r="I772" s="64">
        <v>37410</v>
      </c>
      <c r="J772" s="65"/>
      <c r="K772" s="54">
        <v>2208</v>
      </c>
      <c r="L772" s="66">
        <v>1126</v>
      </c>
      <c r="M772" s="65"/>
      <c r="N772" s="70" t="s">
        <v>5485</v>
      </c>
      <c r="O772" s="65"/>
      <c r="P772" s="67" t="s">
        <v>5486</v>
      </c>
      <c r="Q772" s="65"/>
      <c r="R772" s="64">
        <v>37410</v>
      </c>
      <c r="S772" s="65"/>
      <c r="T772" s="67" t="s">
        <v>5487</v>
      </c>
      <c r="U772" s="65"/>
    </row>
    <row r="773" spans="1:21" ht="12.75" customHeight="1" x14ac:dyDescent="0.15">
      <c r="A773" s="68"/>
      <c r="B773" s="69"/>
      <c r="C773" s="69"/>
      <c r="D773" s="69"/>
      <c r="E773" s="69"/>
      <c r="F773" s="69"/>
      <c r="G773" s="69"/>
      <c r="H773" s="69"/>
      <c r="I773" s="69"/>
      <c r="J773" s="69"/>
      <c r="K773" s="69"/>
      <c r="L773" s="69"/>
      <c r="M773" s="69"/>
      <c r="N773" s="69"/>
      <c r="O773" s="65"/>
      <c r="P773" s="70" t="s">
        <v>5488</v>
      </c>
      <c r="Q773" s="65"/>
      <c r="R773" s="71">
        <v>37917</v>
      </c>
      <c r="S773" s="65"/>
      <c r="T773" s="70" t="s">
        <v>5489</v>
      </c>
      <c r="U773" s="65"/>
    </row>
    <row r="774" spans="1:21" ht="21" customHeight="1" x14ac:dyDescent="0.15">
      <c r="A774" s="60" t="s">
        <v>5490</v>
      </c>
      <c r="B774" s="72" t="s">
        <v>5491</v>
      </c>
      <c r="C774" s="65"/>
      <c r="D774" s="72" t="s">
        <v>5492</v>
      </c>
      <c r="E774" s="69"/>
      <c r="F774" s="65"/>
      <c r="G774" s="72" t="s">
        <v>5493</v>
      </c>
      <c r="H774" s="65"/>
      <c r="I774" s="72" t="s">
        <v>5494</v>
      </c>
      <c r="J774" s="65"/>
      <c r="K774" s="60" t="s">
        <v>5495</v>
      </c>
      <c r="L774" s="72" t="s">
        <v>5496</v>
      </c>
      <c r="M774" s="65"/>
      <c r="N774" s="72" t="s">
        <v>5497</v>
      </c>
      <c r="O774" s="65"/>
      <c r="P774" s="72" t="s">
        <v>5498</v>
      </c>
      <c r="Q774" s="65"/>
      <c r="R774" s="72" t="s">
        <v>5499</v>
      </c>
      <c r="S774" s="65"/>
      <c r="T774" s="72" t="s">
        <v>5500</v>
      </c>
      <c r="U774" s="65"/>
    </row>
    <row r="775" spans="1:21" ht="13.5" customHeight="1" x14ac:dyDescent="0.15">
      <c r="A775" s="68"/>
      <c r="B775" s="69"/>
      <c r="C775" s="69"/>
      <c r="D775" s="69"/>
      <c r="E775" s="69"/>
      <c r="F775" s="69"/>
      <c r="G775" s="69"/>
      <c r="H775" s="69"/>
      <c r="I775" s="69"/>
      <c r="J775" s="69"/>
      <c r="K775" s="69"/>
      <c r="L775" s="69"/>
      <c r="M775" s="69"/>
      <c r="N775" s="69"/>
      <c r="O775" s="65"/>
      <c r="P775" s="70" t="s">
        <v>5501</v>
      </c>
      <c r="Q775" s="65"/>
      <c r="R775" s="71">
        <v>39295</v>
      </c>
      <c r="S775" s="65"/>
      <c r="T775" s="70" t="s">
        <v>5502</v>
      </c>
      <c r="U775" s="65"/>
    </row>
    <row r="776" spans="1:21" ht="25.5" customHeight="1" x14ac:dyDescent="0.15">
      <c r="A776" s="61">
        <v>2414</v>
      </c>
      <c r="B776" s="67" t="s">
        <v>5503</v>
      </c>
      <c r="C776" s="65"/>
      <c r="D776" s="66">
        <v>131103</v>
      </c>
      <c r="E776" s="69"/>
      <c r="F776" s="65"/>
      <c r="G776" s="67" t="s">
        <v>5504</v>
      </c>
      <c r="H776" s="65"/>
      <c r="I776" s="64">
        <v>37565</v>
      </c>
      <c r="J776" s="65"/>
      <c r="K776" s="54">
        <v>1102</v>
      </c>
      <c r="L776" s="66">
        <v>1127</v>
      </c>
      <c r="M776" s="65"/>
      <c r="N776" s="73" t="s">
        <v>5505</v>
      </c>
      <c r="O776" s="65"/>
      <c r="P776" s="67" t="s">
        <v>5506</v>
      </c>
      <c r="Q776" s="65"/>
      <c r="R776" s="64">
        <v>37565</v>
      </c>
      <c r="S776" s="65"/>
      <c r="T776" s="67" t="s">
        <v>5507</v>
      </c>
      <c r="U776" s="65"/>
    </row>
    <row r="777" spans="1:21" ht="12.75" customHeight="1" x14ac:dyDescent="0.15">
      <c r="A777" s="68"/>
      <c r="B777" s="69"/>
      <c r="C777" s="69"/>
      <c r="D777" s="69"/>
      <c r="E777" s="69"/>
      <c r="F777" s="69"/>
      <c r="G777" s="69"/>
      <c r="H777" s="69"/>
      <c r="I777" s="69"/>
      <c r="J777" s="69"/>
      <c r="K777" s="69"/>
      <c r="L777" s="69"/>
      <c r="M777" s="69"/>
      <c r="N777" s="69"/>
      <c r="O777" s="65"/>
      <c r="P777" s="70" t="s">
        <v>5508</v>
      </c>
      <c r="Q777" s="65"/>
      <c r="R777" s="71">
        <v>37937</v>
      </c>
      <c r="S777" s="65"/>
      <c r="T777" s="70" t="s">
        <v>5509</v>
      </c>
      <c r="U777" s="65"/>
    </row>
    <row r="778" spans="1:21" ht="12.75" customHeight="1" x14ac:dyDescent="0.15">
      <c r="A778" s="68"/>
      <c r="B778" s="69"/>
      <c r="C778" s="69"/>
      <c r="D778" s="69"/>
      <c r="E778" s="69"/>
      <c r="F778" s="69"/>
      <c r="G778" s="69"/>
      <c r="H778" s="69"/>
      <c r="I778" s="69"/>
      <c r="J778" s="69"/>
      <c r="K778" s="69"/>
      <c r="L778" s="69"/>
      <c r="M778" s="69"/>
      <c r="N778" s="69"/>
      <c r="O778" s="65"/>
      <c r="P778" s="70" t="s">
        <v>5510</v>
      </c>
      <c r="Q778" s="65"/>
      <c r="R778" s="71">
        <v>41585</v>
      </c>
      <c r="S778" s="65"/>
      <c r="T778" s="70" t="s">
        <v>5511</v>
      </c>
      <c r="U778" s="65"/>
    </row>
    <row r="779" spans="1:21" ht="13.5" customHeight="1" x14ac:dyDescent="0.15">
      <c r="A779" s="68"/>
      <c r="B779" s="69"/>
      <c r="C779" s="69"/>
      <c r="D779" s="69"/>
      <c r="E779" s="69"/>
      <c r="F779" s="69"/>
      <c r="G779" s="69"/>
      <c r="H779" s="69"/>
      <c r="I779" s="69"/>
      <c r="J779" s="69"/>
      <c r="K779" s="69"/>
      <c r="L779" s="69"/>
      <c r="M779" s="69"/>
      <c r="N779" s="69"/>
      <c r="O779" s="65"/>
      <c r="P779" s="70" t="s">
        <v>5512</v>
      </c>
      <c r="Q779" s="65"/>
      <c r="R779" s="71">
        <v>43945</v>
      </c>
      <c r="S779" s="65"/>
      <c r="T779" s="70" t="s">
        <v>5513</v>
      </c>
      <c r="U779" s="65"/>
    </row>
    <row r="780" spans="1:21" ht="25.5" customHeight="1" x14ac:dyDescent="0.15">
      <c r="A780" s="61">
        <v>2415</v>
      </c>
      <c r="B780" s="67" t="s">
        <v>5514</v>
      </c>
      <c r="C780" s="65"/>
      <c r="D780" s="66">
        <v>22894</v>
      </c>
      <c r="E780" s="69"/>
      <c r="F780" s="65"/>
      <c r="G780" s="67" t="s">
        <v>5515</v>
      </c>
      <c r="H780" s="65"/>
      <c r="I780" s="64">
        <v>37565</v>
      </c>
      <c r="J780" s="65"/>
      <c r="K780" s="54">
        <v>1102</v>
      </c>
      <c r="L780" s="66">
        <v>1127</v>
      </c>
      <c r="M780" s="65"/>
      <c r="N780" s="73" t="s">
        <v>5516</v>
      </c>
      <c r="O780" s="65"/>
      <c r="P780" s="67" t="s">
        <v>5517</v>
      </c>
      <c r="Q780" s="65"/>
      <c r="R780" s="64">
        <v>37565</v>
      </c>
      <c r="S780" s="65"/>
      <c r="T780" s="67" t="s">
        <v>5518</v>
      </c>
      <c r="U780" s="65"/>
    </row>
    <row r="781" spans="1:21" ht="12.75" customHeight="1" x14ac:dyDescent="0.15">
      <c r="A781" s="68"/>
      <c r="B781" s="69"/>
      <c r="C781" s="69"/>
      <c r="D781" s="69"/>
      <c r="E781" s="69"/>
      <c r="F781" s="69"/>
      <c r="G781" s="69"/>
      <c r="H781" s="69"/>
      <c r="I781" s="69"/>
      <c r="J781" s="69"/>
      <c r="K781" s="69"/>
      <c r="L781" s="69"/>
      <c r="M781" s="69"/>
      <c r="N781" s="69"/>
      <c r="O781" s="65"/>
      <c r="P781" s="70" t="s">
        <v>5519</v>
      </c>
      <c r="Q781" s="65"/>
      <c r="R781" s="71">
        <v>40129</v>
      </c>
      <c r="S781" s="65"/>
      <c r="T781" s="70" t="s">
        <v>5520</v>
      </c>
      <c r="U781" s="65"/>
    </row>
    <row r="782" spans="1:21" ht="12.75" customHeight="1" x14ac:dyDescent="0.15">
      <c r="A782" s="68"/>
      <c r="B782" s="69"/>
      <c r="C782" s="69"/>
      <c r="D782" s="69"/>
      <c r="E782" s="69"/>
      <c r="F782" s="69"/>
      <c r="G782" s="69"/>
      <c r="H782" s="69"/>
      <c r="I782" s="69"/>
      <c r="J782" s="69"/>
      <c r="K782" s="69"/>
      <c r="L782" s="69"/>
      <c r="M782" s="69"/>
      <c r="N782" s="69"/>
      <c r="O782" s="65"/>
      <c r="P782" s="70" t="s">
        <v>5521</v>
      </c>
      <c r="Q782" s="65"/>
      <c r="R782" s="71">
        <v>40310</v>
      </c>
      <c r="S782" s="65"/>
      <c r="T782" s="70" t="s">
        <v>5522</v>
      </c>
      <c r="U782" s="65"/>
    </row>
    <row r="783" spans="1:21" ht="25.5" customHeight="1" x14ac:dyDescent="0.15">
      <c r="A783" s="61">
        <v>2416</v>
      </c>
      <c r="B783" s="67" t="s">
        <v>5523</v>
      </c>
      <c r="C783" s="65"/>
      <c r="D783" s="66">
        <v>22361</v>
      </c>
      <c r="E783" s="69"/>
      <c r="F783" s="65"/>
      <c r="G783" s="67" t="s">
        <v>5524</v>
      </c>
      <c r="H783" s="65"/>
      <c r="I783" s="64">
        <v>37610</v>
      </c>
      <c r="J783" s="65"/>
      <c r="K783" s="54">
        <v>2338</v>
      </c>
      <c r="L783" s="66">
        <v>2340</v>
      </c>
      <c r="M783" s="65"/>
      <c r="N783" s="70" t="s">
        <v>5525</v>
      </c>
      <c r="O783" s="65"/>
      <c r="P783" s="67" t="s">
        <v>5526</v>
      </c>
      <c r="Q783" s="65"/>
      <c r="R783" s="64">
        <v>37610</v>
      </c>
      <c r="S783" s="65"/>
      <c r="T783" s="67" t="s">
        <v>5527</v>
      </c>
      <c r="U783" s="65"/>
    </row>
    <row r="784" spans="1:21" ht="25.5" customHeight="1" x14ac:dyDescent="0.15">
      <c r="A784" s="75"/>
      <c r="B784" s="69"/>
      <c r="C784" s="69"/>
      <c r="D784" s="69"/>
      <c r="E784" s="69"/>
      <c r="F784" s="69"/>
      <c r="G784" s="69"/>
      <c r="H784" s="69"/>
      <c r="I784" s="69"/>
      <c r="J784" s="69"/>
      <c r="K784" s="69"/>
      <c r="L784" s="69"/>
      <c r="M784" s="69"/>
      <c r="N784" s="69"/>
      <c r="O784" s="65"/>
      <c r="P784" s="67" t="s">
        <v>5528</v>
      </c>
      <c r="Q784" s="65"/>
      <c r="R784" s="73" t="s">
        <v>5529</v>
      </c>
      <c r="S784" s="65"/>
      <c r="T784" s="67" t="s">
        <v>5530</v>
      </c>
      <c r="U784" s="65"/>
    </row>
    <row r="785" spans="1:21" ht="12.75" customHeight="1" x14ac:dyDescent="0.15">
      <c r="A785" s="68"/>
      <c r="B785" s="69"/>
      <c r="C785" s="69"/>
      <c r="D785" s="69"/>
      <c r="E785" s="69"/>
      <c r="F785" s="69"/>
      <c r="G785" s="69"/>
      <c r="H785" s="69"/>
      <c r="I785" s="69"/>
      <c r="J785" s="69"/>
      <c r="K785" s="69"/>
      <c r="L785" s="69"/>
      <c r="M785" s="69"/>
      <c r="N785" s="69"/>
      <c r="O785" s="65"/>
      <c r="P785" s="70" t="s">
        <v>5531</v>
      </c>
      <c r="Q785" s="65"/>
      <c r="R785" s="71">
        <v>39381</v>
      </c>
      <c r="S785" s="65"/>
      <c r="T785" s="70" t="s">
        <v>5532</v>
      </c>
      <c r="U785" s="65"/>
    </row>
    <row r="786" spans="1:21" ht="12.75" customHeight="1" x14ac:dyDescent="0.15">
      <c r="A786" s="68"/>
      <c r="B786" s="69"/>
      <c r="C786" s="69"/>
      <c r="D786" s="69"/>
      <c r="E786" s="69"/>
      <c r="F786" s="69"/>
      <c r="G786" s="69"/>
      <c r="H786" s="69"/>
      <c r="I786" s="69"/>
      <c r="J786" s="69"/>
      <c r="K786" s="69"/>
      <c r="L786" s="69"/>
      <c r="M786" s="69"/>
      <c r="N786" s="69"/>
      <c r="O786" s="65"/>
      <c r="P786" s="70" t="s">
        <v>5533</v>
      </c>
      <c r="Q786" s="65"/>
      <c r="R786" s="71">
        <v>43241</v>
      </c>
      <c r="S786" s="65"/>
      <c r="T786" s="70" t="s">
        <v>5534</v>
      </c>
      <c r="U786" s="65"/>
    </row>
    <row r="787" spans="1:21" ht="25.5" customHeight="1" x14ac:dyDescent="0.15">
      <c r="A787" s="61">
        <v>2417</v>
      </c>
      <c r="B787" s="67" t="s">
        <v>5535</v>
      </c>
      <c r="C787" s="65"/>
      <c r="D787" s="74">
        <v>7142</v>
      </c>
      <c r="E787" s="69"/>
      <c r="F787" s="65"/>
      <c r="G787" s="67" t="s">
        <v>5536</v>
      </c>
      <c r="H787" s="65"/>
      <c r="I787" s="64">
        <v>37610</v>
      </c>
      <c r="J787" s="65"/>
      <c r="K787" s="54">
        <v>2338</v>
      </c>
      <c r="L787" s="66">
        <v>2340</v>
      </c>
      <c r="M787" s="65"/>
      <c r="N787" s="70" t="s">
        <v>5537</v>
      </c>
      <c r="O787" s="65"/>
      <c r="P787" s="67" t="s">
        <v>5538</v>
      </c>
      <c r="Q787" s="65"/>
      <c r="R787" s="64">
        <v>37610</v>
      </c>
      <c r="S787" s="65"/>
      <c r="T787" s="67" t="s">
        <v>5539</v>
      </c>
      <c r="U787" s="65"/>
    </row>
    <row r="788" spans="1:21" ht="13.5" customHeight="1" x14ac:dyDescent="0.15">
      <c r="A788" s="68"/>
      <c r="B788" s="69"/>
      <c r="C788" s="69"/>
      <c r="D788" s="69"/>
      <c r="E788" s="69"/>
      <c r="F788" s="69"/>
      <c r="G788" s="69"/>
      <c r="H788" s="69"/>
      <c r="I788" s="69"/>
      <c r="J788" s="69"/>
      <c r="K788" s="69"/>
      <c r="L788" s="69"/>
      <c r="M788" s="69"/>
      <c r="N788" s="69"/>
      <c r="O788" s="65"/>
      <c r="P788" s="70" t="s">
        <v>5540</v>
      </c>
      <c r="Q788" s="65"/>
      <c r="R788" s="71">
        <v>39332</v>
      </c>
      <c r="S788" s="65"/>
      <c r="T788" s="70" t="s">
        <v>5541</v>
      </c>
      <c r="U788" s="65"/>
    </row>
    <row r="789" spans="1:21" ht="12.75" customHeight="1" x14ac:dyDescent="0.15">
      <c r="A789" s="68"/>
      <c r="B789" s="69"/>
      <c r="C789" s="69"/>
      <c r="D789" s="69"/>
      <c r="E789" s="69"/>
      <c r="F789" s="69"/>
      <c r="G789" s="69"/>
      <c r="H789" s="69"/>
      <c r="I789" s="69"/>
      <c r="J789" s="69"/>
      <c r="K789" s="69"/>
      <c r="L789" s="69"/>
      <c r="M789" s="69"/>
      <c r="N789" s="69"/>
      <c r="O789" s="65"/>
      <c r="P789" s="70" t="s">
        <v>5542</v>
      </c>
      <c r="Q789" s="65"/>
      <c r="R789" s="71">
        <v>39371</v>
      </c>
      <c r="S789" s="65"/>
      <c r="T789" s="70" t="s">
        <v>5543</v>
      </c>
      <c r="U789" s="65"/>
    </row>
    <row r="790" spans="1:21" ht="12.75" customHeight="1" x14ac:dyDescent="0.15">
      <c r="A790" s="68"/>
      <c r="B790" s="69"/>
      <c r="C790" s="69"/>
      <c r="D790" s="69"/>
      <c r="E790" s="69"/>
      <c r="F790" s="69"/>
      <c r="G790" s="69"/>
      <c r="H790" s="69"/>
      <c r="I790" s="69"/>
      <c r="J790" s="69"/>
      <c r="K790" s="69"/>
      <c r="L790" s="69"/>
      <c r="M790" s="69"/>
      <c r="N790" s="69"/>
      <c r="O790" s="65"/>
      <c r="P790" s="70" t="s">
        <v>5544</v>
      </c>
      <c r="Q790" s="65"/>
      <c r="R790" s="71">
        <v>42423</v>
      </c>
      <c r="S790" s="65"/>
      <c r="T790" s="70" t="s">
        <v>5545</v>
      </c>
      <c r="U790" s="65"/>
    </row>
    <row r="791" spans="1:21" ht="25.5" customHeight="1" x14ac:dyDescent="0.15">
      <c r="A791" s="61">
        <v>2418</v>
      </c>
      <c r="B791" s="67" t="s">
        <v>5546</v>
      </c>
      <c r="C791" s="65"/>
      <c r="D791" s="66">
        <v>100846</v>
      </c>
      <c r="E791" s="69"/>
      <c r="F791" s="65"/>
      <c r="G791" s="67" t="s">
        <v>5547</v>
      </c>
      <c r="H791" s="65"/>
      <c r="I791" s="64">
        <v>37661</v>
      </c>
      <c r="J791" s="65"/>
      <c r="K791" s="54">
        <v>1125</v>
      </c>
      <c r="L791" s="66">
        <v>1124</v>
      </c>
      <c r="M791" s="65"/>
      <c r="N791" s="70" t="s">
        <v>5548</v>
      </c>
      <c r="O791" s="65"/>
      <c r="P791" s="67" t="s">
        <v>5549</v>
      </c>
      <c r="Q791" s="65"/>
      <c r="R791" s="64">
        <v>37661</v>
      </c>
      <c r="S791" s="65"/>
      <c r="T791" s="67" t="s">
        <v>5550</v>
      </c>
      <c r="U791" s="65"/>
    </row>
    <row r="792" spans="1:21" ht="13.5" customHeight="1" x14ac:dyDescent="0.15">
      <c r="A792" s="68"/>
      <c r="B792" s="69"/>
      <c r="C792" s="69"/>
      <c r="D792" s="69"/>
      <c r="E792" s="69"/>
      <c r="F792" s="69"/>
      <c r="G792" s="69"/>
      <c r="H792" s="69"/>
      <c r="I792" s="69"/>
      <c r="J792" s="69"/>
      <c r="K792" s="69"/>
      <c r="L792" s="69"/>
      <c r="M792" s="69"/>
      <c r="N792" s="69"/>
      <c r="O792" s="65"/>
      <c r="P792" s="70" t="s">
        <v>5551</v>
      </c>
      <c r="Q792" s="65"/>
      <c r="R792" s="71">
        <v>39029</v>
      </c>
      <c r="S792" s="65"/>
      <c r="T792" s="70" t="s">
        <v>5552</v>
      </c>
      <c r="U792" s="65"/>
    </row>
    <row r="793" spans="1:21" ht="12.75" customHeight="1" x14ac:dyDescent="0.15">
      <c r="A793" s="68"/>
      <c r="B793" s="69"/>
      <c r="C793" s="69"/>
      <c r="D793" s="69"/>
      <c r="E793" s="69"/>
      <c r="F793" s="69"/>
      <c r="G793" s="69"/>
      <c r="H793" s="69"/>
      <c r="I793" s="69"/>
      <c r="J793" s="69"/>
      <c r="K793" s="69"/>
      <c r="L793" s="69"/>
      <c r="M793" s="69"/>
      <c r="N793" s="69"/>
      <c r="O793" s="65"/>
      <c r="P793" s="70" t="s">
        <v>5553</v>
      </c>
      <c r="Q793" s="65"/>
      <c r="R793" s="71">
        <v>40667</v>
      </c>
      <c r="S793" s="65"/>
      <c r="T793" s="70" t="s">
        <v>5554</v>
      </c>
      <c r="U793" s="65"/>
    </row>
    <row r="794" spans="1:21" ht="12.75" customHeight="1" x14ac:dyDescent="0.15">
      <c r="A794" s="68"/>
      <c r="B794" s="69"/>
      <c r="C794" s="69"/>
      <c r="D794" s="69"/>
      <c r="E794" s="69"/>
      <c r="F794" s="69"/>
      <c r="G794" s="69"/>
      <c r="H794" s="69"/>
      <c r="I794" s="69"/>
      <c r="J794" s="69"/>
      <c r="K794" s="69"/>
      <c r="L794" s="69"/>
      <c r="M794" s="69"/>
      <c r="N794" s="69"/>
      <c r="O794" s="65"/>
      <c r="P794" s="70" t="s">
        <v>5555</v>
      </c>
      <c r="Q794" s="65"/>
      <c r="R794" s="71">
        <v>42400</v>
      </c>
      <c r="S794" s="65"/>
      <c r="T794" s="70" t="s">
        <v>5556</v>
      </c>
      <c r="U794" s="65"/>
    </row>
    <row r="795" spans="1:21" ht="25.5" customHeight="1" x14ac:dyDescent="0.15">
      <c r="A795" s="61">
        <v>2419</v>
      </c>
      <c r="B795" s="67" t="s">
        <v>5557</v>
      </c>
      <c r="C795" s="65"/>
      <c r="D795" s="67" t="s">
        <v>5558</v>
      </c>
      <c r="E795" s="69"/>
      <c r="F795" s="65"/>
      <c r="G795" s="67" t="s">
        <v>5559</v>
      </c>
      <c r="H795" s="65"/>
      <c r="I795" s="64">
        <v>37661</v>
      </c>
      <c r="J795" s="65"/>
      <c r="K795" s="54">
        <v>1125</v>
      </c>
      <c r="L795" s="66">
        <v>1124</v>
      </c>
      <c r="M795" s="65"/>
      <c r="N795" s="70" t="s">
        <v>5560</v>
      </c>
      <c r="O795" s="65"/>
      <c r="P795" s="67" t="s">
        <v>5561</v>
      </c>
      <c r="Q795" s="65"/>
      <c r="R795" s="64">
        <v>37661</v>
      </c>
      <c r="S795" s="65"/>
      <c r="T795" s="67" t="s">
        <v>5562</v>
      </c>
      <c r="U795" s="65"/>
    </row>
    <row r="796" spans="1:21" ht="13.5" customHeight="1" x14ac:dyDescent="0.15">
      <c r="A796" s="68"/>
      <c r="B796" s="69"/>
      <c r="C796" s="69"/>
      <c r="D796" s="69"/>
      <c r="E796" s="69"/>
      <c r="F796" s="69"/>
      <c r="G796" s="69"/>
      <c r="H796" s="69"/>
      <c r="I796" s="69"/>
      <c r="J796" s="69"/>
      <c r="K796" s="69"/>
      <c r="L796" s="69"/>
      <c r="M796" s="69"/>
      <c r="N796" s="69"/>
      <c r="O796" s="65"/>
      <c r="P796" s="70" t="s">
        <v>5563</v>
      </c>
      <c r="Q796" s="65"/>
      <c r="R796" s="71">
        <v>37665</v>
      </c>
      <c r="S796" s="65"/>
      <c r="T796" s="70" t="s">
        <v>5564</v>
      </c>
      <c r="U796" s="65"/>
    </row>
    <row r="797" spans="1:21" ht="25.5" customHeight="1" x14ac:dyDescent="0.15">
      <c r="A797" s="61">
        <v>2420</v>
      </c>
      <c r="B797" s="67" t="s">
        <v>5565</v>
      </c>
      <c r="C797" s="65"/>
      <c r="D797" s="66">
        <v>2926</v>
      </c>
      <c r="E797" s="69"/>
      <c r="F797" s="65"/>
      <c r="G797" s="67" t="s">
        <v>5566</v>
      </c>
      <c r="H797" s="65"/>
      <c r="I797" s="73" t="s">
        <v>5567</v>
      </c>
      <c r="J797" s="65"/>
      <c r="K797" s="55" t="s">
        <v>5568</v>
      </c>
      <c r="L797" s="67" t="s">
        <v>5569</v>
      </c>
      <c r="M797" s="65"/>
      <c r="N797" s="67" t="s">
        <v>5570</v>
      </c>
      <c r="O797" s="65"/>
      <c r="P797" s="67" t="s">
        <v>5571</v>
      </c>
      <c r="Q797" s="65"/>
      <c r="R797" s="73" t="s">
        <v>5572</v>
      </c>
      <c r="S797" s="65"/>
      <c r="T797" s="67" t="s">
        <v>5573</v>
      </c>
      <c r="U797" s="65"/>
    </row>
    <row r="798" spans="1:21" ht="12.75" customHeight="1" x14ac:dyDescent="0.15">
      <c r="A798" s="68"/>
      <c r="B798" s="69"/>
      <c r="C798" s="69"/>
      <c r="D798" s="69"/>
      <c r="E798" s="69"/>
      <c r="F798" s="69"/>
      <c r="G798" s="69"/>
      <c r="H798" s="69"/>
      <c r="I798" s="69"/>
      <c r="J798" s="69"/>
      <c r="K798" s="69"/>
      <c r="L798" s="69"/>
      <c r="M798" s="69"/>
      <c r="N798" s="69"/>
      <c r="O798" s="65"/>
      <c r="P798" s="70" t="s">
        <v>5574</v>
      </c>
      <c r="Q798" s="65"/>
      <c r="R798" s="70" t="s">
        <v>5575</v>
      </c>
      <c r="S798" s="65"/>
      <c r="T798" s="70" t="s">
        <v>5576</v>
      </c>
      <c r="U798" s="65"/>
    </row>
    <row r="799" spans="1:21" ht="25.5" customHeight="1" x14ac:dyDescent="0.15">
      <c r="A799" s="75"/>
      <c r="B799" s="69"/>
      <c r="C799" s="69"/>
      <c r="D799" s="69"/>
      <c r="E799" s="69"/>
      <c r="F799" s="69"/>
      <c r="G799" s="69"/>
      <c r="H799" s="69"/>
      <c r="I799" s="69"/>
      <c r="J799" s="69"/>
      <c r="K799" s="69"/>
      <c r="L799" s="69"/>
      <c r="M799" s="69"/>
      <c r="N799" s="69"/>
      <c r="O799" s="65"/>
      <c r="P799" s="67" t="s">
        <v>5577</v>
      </c>
      <c r="Q799" s="65"/>
      <c r="R799" s="70" t="s">
        <v>5578</v>
      </c>
      <c r="S799" s="65"/>
      <c r="T799" s="67" t="s">
        <v>5579</v>
      </c>
      <c r="U799" s="65"/>
    </row>
    <row r="800" spans="1:21" ht="13.5" customHeight="1" x14ac:dyDescent="0.15">
      <c r="A800" s="68"/>
      <c r="B800" s="69"/>
      <c r="C800" s="69"/>
      <c r="D800" s="69"/>
      <c r="E800" s="69"/>
      <c r="F800" s="69"/>
      <c r="G800" s="69"/>
      <c r="H800" s="69"/>
      <c r="I800" s="69"/>
      <c r="J800" s="69"/>
      <c r="K800" s="69"/>
      <c r="L800" s="69"/>
      <c r="M800" s="69"/>
      <c r="N800" s="69"/>
      <c r="O800" s="65"/>
      <c r="P800" s="70" t="s">
        <v>5580</v>
      </c>
      <c r="Q800" s="65"/>
      <c r="R800" s="71">
        <v>37461</v>
      </c>
      <c r="S800" s="65"/>
      <c r="T800" s="70" t="s">
        <v>5581</v>
      </c>
      <c r="U800" s="65"/>
    </row>
    <row r="801" spans="1:21" ht="12.75" customHeight="1" x14ac:dyDescent="0.15">
      <c r="A801" s="68"/>
      <c r="B801" s="69"/>
      <c r="C801" s="69"/>
      <c r="D801" s="69"/>
      <c r="E801" s="69"/>
      <c r="F801" s="69"/>
      <c r="G801" s="69"/>
      <c r="H801" s="69"/>
      <c r="I801" s="69"/>
      <c r="J801" s="69"/>
      <c r="K801" s="69"/>
      <c r="L801" s="69"/>
      <c r="M801" s="69"/>
      <c r="N801" s="69"/>
      <c r="O801" s="65"/>
      <c r="P801" s="70" t="s">
        <v>5582</v>
      </c>
      <c r="Q801" s="65"/>
      <c r="R801" s="71">
        <v>38195</v>
      </c>
      <c r="S801" s="65"/>
      <c r="T801" s="70" t="s">
        <v>5583</v>
      </c>
      <c r="U801" s="65"/>
    </row>
    <row r="802" spans="1:21" ht="12.75" customHeight="1" x14ac:dyDescent="0.15">
      <c r="A802" s="68"/>
      <c r="B802" s="69"/>
      <c r="C802" s="69"/>
      <c r="D802" s="69"/>
      <c r="E802" s="69"/>
      <c r="F802" s="69"/>
      <c r="G802" s="69"/>
      <c r="H802" s="69"/>
      <c r="I802" s="69"/>
      <c r="J802" s="69"/>
      <c r="K802" s="69"/>
      <c r="L802" s="69"/>
      <c r="M802" s="69"/>
      <c r="N802" s="69"/>
      <c r="O802" s="65"/>
      <c r="P802" s="70" t="s">
        <v>5584</v>
      </c>
      <c r="Q802" s="65"/>
      <c r="R802" s="71">
        <v>41003</v>
      </c>
      <c r="S802" s="65"/>
      <c r="T802" s="70" t="s">
        <v>5585</v>
      </c>
      <c r="U802" s="65"/>
    </row>
    <row r="803" spans="1:21" ht="12.75" customHeight="1" x14ac:dyDescent="0.15">
      <c r="A803" s="61">
        <v>2421</v>
      </c>
      <c r="B803" s="70" t="s">
        <v>5586</v>
      </c>
      <c r="C803" s="65"/>
      <c r="D803" s="76">
        <v>990648</v>
      </c>
      <c r="E803" s="69"/>
      <c r="F803" s="65"/>
      <c r="G803" s="70" t="s">
        <v>5587</v>
      </c>
      <c r="H803" s="65"/>
      <c r="I803" s="70" t="s">
        <v>5588</v>
      </c>
      <c r="J803" s="65"/>
      <c r="K803" s="56" t="s">
        <v>5589</v>
      </c>
      <c r="L803" s="70" t="s">
        <v>5590</v>
      </c>
      <c r="M803" s="65"/>
      <c r="N803" s="70" t="s">
        <v>5591</v>
      </c>
      <c r="O803" s="65"/>
      <c r="P803" s="70" t="s">
        <v>5592</v>
      </c>
      <c r="Q803" s="65"/>
      <c r="R803" s="70" t="s">
        <v>5593</v>
      </c>
      <c r="S803" s="65"/>
      <c r="T803" s="70" t="s">
        <v>5594</v>
      </c>
      <c r="U803" s="65"/>
    </row>
    <row r="804" spans="1:21" ht="13.5" customHeight="1" x14ac:dyDescent="0.15">
      <c r="A804" s="68"/>
      <c r="B804" s="69"/>
      <c r="C804" s="69"/>
      <c r="D804" s="69"/>
      <c r="E804" s="69"/>
      <c r="F804" s="69"/>
      <c r="G804" s="69"/>
      <c r="H804" s="69"/>
      <c r="I804" s="69"/>
      <c r="J804" s="69"/>
      <c r="K804" s="69"/>
      <c r="L804" s="69"/>
      <c r="M804" s="69"/>
      <c r="N804" s="69"/>
      <c r="O804" s="65"/>
      <c r="P804" s="70" t="s">
        <v>5595</v>
      </c>
      <c r="Q804" s="65"/>
      <c r="R804" s="70" t="s">
        <v>5596</v>
      </c>
      <c r="S804" s="65"/>
      <c r="T804" s="70" t="s">
        <v>5597</v>
      </c>
      <c r="U804" s="65"/>
    </row>
    <row r="805" spans="1:21" ht="25.5" customHeight="1" x14ac:dyDescent="0.15">
      <c r="A805" s="75"/>
      <c r="B805" s="69"/>
      <c r="C805" s="69"/>
      <c r="D805" s="69"/>
      <c r="E805" s="69"/>
      <c r="F805" s="69"/>
      <c r="G805" s="69"/>
      <c r="H805" s="69"/>
      <c r="I805" s="69"/>
      <c r="J805" s="69"/>
      <c r="K805" s="69"/>
      <c r="L805" s="69"/>
      <c r="M805" s="69"/>
      <c r="N805" s="69"/>
      <c r="O805" s="65"/>
      <c r="P805" s="67" t="s">
        <v>5598</v>
      </c>
      <c r="Q805" s="65"/>
      <c r="R805" s="73" t="s">
        <v>5599</v>
      </c>
      <c r="S805" s="65"/>
      <c r="T805" s="67" t="s">
        <v>5600</v>
      </c>
      <c r="U805" s="65"/>
    </row>
    <row r="806" spans="1:21" ht="21" customHeight="1" x14ac:dyDescent="0.15">
      <c r="A806" s="60" t="s">
        <v>5601</v>
      </c>
      <c r="B806" s="72" t="s">
        <v>5602</v>
      </c>
      <c r="C806" s="65"/>
      <c r="D806" s="72" t="s">
        <v>5603</v>
      </c>
      <c r="E806" s="69"/>
      <c r="F806" s="65"/>
      <c r="G806" s="72" t="s">
        <v>5604</v>
      </c>
      <c r="H806" s="65"/>
      <c r="I806" s="72" t="s">
        <v>5605</v>
      </c>
      <c r="J806" s="65"/>
      <c r="K806" s="60" t="s">
        <v>5606</v>
      </c>
      <c r="L806" s="72" t="s">
        <v>5607</v>
      </c>
      <c r="M806" s="65"/>
      <c r="N806" s="72" t="s">
        <v>5608</v>
      </c>
      <c r="O806" s="65"/>
      <c r="P806" s="72" t="s">
        <v>5609</v>
      </c>
      <c r="Q806" s="65"/>
      <c r="R806" s="72" t="s">
        <v>5610</v>
      </c>
      <c r="S806" s="65"/>
      <c r="T806" s="72" t="s">
        <v>5611</v>
      </c>
      <c r="U806" s="65"/>
    </row>
    <row r="807" spans="1:21" ht="13.5" customHeight="1" x14ac:dyDescent="0.15">
      <c r="A807" s="68"/>
      <c r="B807" s="69"/>
      <c r="C807" s="69"/>
      <c r="D807" s="69"/>
      <c r="E807" s="69"/>
      <c r="F807" s="69"/>
      <c r="G807" s="69"/>
      <c r="H807" s="69"/>
      <c r="I807" s="69"/>
      <c r="J807" s="69"/>
      <c r="K807" s="69"/>
      <c r="L807" s="69"/>
      <c r="M807" s="69"/>
      <c r="N807" s="69"/>
      <c r="O807" s="65"/>
      <c r="P807" s="70" t="s">
        <v>5612</v>
      </c>
      <c r="Q807" s="65"/>
      <c r="R807" s="71">
        <v>37461</v>
      </c>
      <c r="S807" s="65"/>
      <c r="T807" s="70" t="s">
        <v>5613</v>
      </c>
      <c r="U807" s="65"/>
    </row>
    <row r="808" spans="1:21" ht="12.75" customHeight="1" x14ac:dyDescent="0.15">
      <c r="A808" s="68"/>
      <c r="B808" s="69"/>
      <c r="C808" s="69"/>
      <c r="D808" s="69"/>
      <c r="E808" s="69"/>
      <c r="F808" s="69"/>
      <c r="G808" s="69"/>
      <c r="H808" s="69"/>
      <c r="I808" s="69"/>
      <c r="J808" s="69"/>
      <c r="K808" s="69"/>
      <c r="L808" s="69"/>
      <c r="M808" s="69"/>
      <c r="N808" s="69"/>
      <c r="O808" s="65"/>
      <c r="P808" s="70" t="s">
        <v>5614</v>
      </c>
      <c r="Q808" s="65"/>
      <c r="R808" s="71">
        <v>37660</v>
      </c>
      <c r="S808" s="65"/>
      <c r="T808" s="70" t="s">
        <v>5615</v>
      </c>
      <c r="U808" s="65"/>
    </row>
    <row r="809" spans="1:21" ht="24.75" customHeight="1" x14ac:dyDescent="0.15">
      <c r="A809" s="61">
        <v>2422</v>
      </c>
      <c r="B809" s="67" t="s">
        <v>5616</v>
      </c>
      <c r="C809" s="65"/>
      <c r="D809" s="66">
        <v>2923</v>
      </c>
      <c r="E809" s="69"/>
      <c r="F809" s="65"/>
      <c r="G809" s="67" t="s">
        <v>5617</v>
      </c>
      <c r="H809" s="65"/>
      <c r="I809" s="70" t="s">
        <v>5618</v>
      </c>
      <c r="J809" s="65"/>
      <c r="K809" s="55" t="s">
        <v>5619</v>
      </c>
      <c r="L809" s="67" t="s">
        <v>5620</v>
      </c>
      <c r="M809" s="65"/>
      <c r="N809" s="67" t="s">
        <v>5621</v>
      </c>
      <c r="O809" s="65"/>
      <c r="P809" s="67" t="s">
        <v>5622</v>
      </c>
      <c r="Q809" s="65"/>
      <c r="R809" s="70" t="s">
        <v>5623</v>
      </c>
      <c r="S809" s="65"/>
      <c r="T809" s="67" t="s">
        <v>5624</v>
      </c>
      <c r="U809" s="65"/>
    </row>
    <row r="810" spans="1:21" ht="12.75" customHeight="1" x14ac:dyDescent="0.15">
      <c r="A810" s="68"/>
      <c r="B810" s="69"/>
      <c r="C810" s="69"/>
      <c r="D810" s="69"/>
      <c r="E810" s="69"/>
      <c r="F810" s="69"/>
      <c r="G810" s="69"/>
      <c r="H810" s="69"/>
      <c r="I810" s="69"/>
      <c r="J810" s="69"/>
      <c r="K810" s="69"/>
      <c r="L810" s="69"/>
      <c r="M810" s="69"/>
      <c r="N810" s="69"/>
      <c r="O810" s="65"/>
      <c r="P810" s="70" t="s">
        <v>5625</v>
      </c>
      <c r="Q810" s="65"/>
      <c r="R810" s="70" t="s">
        <v>5626</v>
      </c>
      <c r="S810" s="65"/>
      <c r="T810" s="70" t="s">
        <v>5627</v>
      </c>
      <c r="U810" s="65"/>
    </row>
    <row r="811" spans="1:21" ht="25.5" customHeight="1" x14ac:dyDescent="0.15">
      <c r="A811" s="75"/>
      <c r="B811" s="69"/>
      <c r="C811" s="69"/>
      <c r="D811" s="69"/>
      <c r="E811" s="69"/>
      <c r="F811" s="69"/>
      <c r="G811" s="69"/>
      <c r="H811" s="69"/>
      <c r="I811" s="69"/>
      <c r="J811" s="69"/>
      <c r="K811" s="69"/>
      <c r="L811" s="69"/>
      <c r="M811" s="69"/>
      <c r="N811" s="69"/>
      <c r="O811" s="65"/>
      <c r="P811" s="67" t="s">
        <v>5628</v>
      </c>
      <c r="Q811" s="65"/>
      <c r="R811" s="70" t="s">
        <v>5629</v>
      </c>
      <c r="S811" s="65"/>
      <c r="T811" s="67" t="s">
        <v>5630</v>
      </c>
      <c r="U811" s="65"/>
    </row>
    <row r="812" spans="1:21" ht="12.75" customHeight="1" x14ac:dyDescent="0.15">
      <c r="A812" s="68"/>
      <c r="B812" s="69"/>
      <c r="C812" s="69"/>
      <c r="D812" s="69"/>
      <c r="E812" s="69"/>
      <c r="F812" s="69"/>
      <c r="G812" s="69"/>
      <c r="H812" s="69"/>
      <c r="I812" s="69"/>
      <c r="J812" s="69"/>
      <c r="K812" s="69"/>
      <c r="L812" s="69"/>
      <c r="M812" s="69"/>
      <c r="N812" s="69"/>
      <c r="O812" s="65"/>
      <c r="P812" s="70" t="s">
        <v>5631</v>
      </c>
      <c r="Q812" s="65"/>
      <c r="R812" s="71">
        <v>37453</v>
      </c>
      <c r="S812" s="65"/>
      <c r="T812" s="70" t="s">
        <v>5632</v>
      </c>
      <c r="U812" s="65"/>
    </row>
    <row r="813" spans="1:21" ht="12.75" customHeight="1" x14ac:dyDescent="0.15">
      <c r="A813" s="68"/>
      <c r="B813" s="69"/>
      <c r="C813" s="69"/>
      <c r="D813" s="69"/>
      <c r="E813" s="69"/>
      <c r="F813" s="69"/>
      <c r="G813" s="69"/>
      <c r="H813" s="69"/>
      <c r="I813" s="69"/>
      <c r="J813" s="69"/>
      <c r="K813" s="69"/>
      <c r="L813" s="69"/>
      <c r="M813" s="69"/>
      <c r="N813" s="69"/>
      <c r="O813" s="65"/>
      <c r="P813" s="70" t="s">
        <v>5633</v>
      </c>
      <c r="Q813" s="65"/>
      <c r="R813" s="71">
        <v>37783</v>
      </c>
      <c r="S813" s="65"/>
      <c r="T813" s="70" t="s">
        <v>5634</v>
      </c>
      <c r="U813" s="65"/>
    </row>
    <row r="814" spans="1:21" ht="12.75" customHeight="1" x14ac:dyDescent="0.15">
      <c r="A814" s="68"/>
      <c r="B814" s="69"/>
      <c r="C814" s="69"/>
      <c r="D814" s="69"/>
      <c r="E814" s="69"/>
      <c r="F814" s="69"/>
      <c r="G814" s="69"/>
      <c r="H814" s="69"/>
      <c r="I814" s="69"/>
      <c r="J814" s="69"/>
      <c r="K814" s="69"/>
      <c r="L814" s="69"/>
      <c r="M814" s="69"/>
      <c r="N814" s="69"/>
      <c r="O814" s="65"/>
      <c r="P814" s="70" t="s">
        <v>5635</v>
      </c>
      <c r="Q814" s="65"/>
      <c r="R814" s="71">
        <v>37964</v>
      </c>
      <c r="S814" s="65"/>
      <c r="T814" s="70" t="s">
        <v>5636</v>
      </c>
      <c r="U814" s="65"/>
    </row>
    <row r="815" spans="1:21" ht="13.5" customHeight="1" x14ac:dyDescent="0.15">
      <c r="A815" s="68"/>
      <c r="B815" s="69"/>
      <c r="C815" s="69"/>
      <c r="D815" s="69"/>
      <c r="E815" s="69"/>
      <c r="F815" s="69"/>
      <c r="G815" s="69"/>
      <c r="H815" s="69"/>
      <c r="I815" s="69"/>
      <c r="J815" s="69"/>
      <c r="K815" s="69"/>
      <c r="L815" s="69"/>
      <c r="M815" s="69"/>
      <c r="N815" s="69"/>
      <c r="O815" s="65"/>
      <c r="P815" s="70" t="s">
        <v>5637</v>
      </c>
      <c r="Q815" s="65"/>
      <c r="R815" s="71">
        <v>43034</v>
      </c>
      <c r="S815" s="65"/>
      <c r="T815" s="70" t="s">
        <v>5638</v>
      </c>
      <c r="U815" s="65"/>
    </row>
    <row r="816" spans="1:21" ht="25.5" customHeight="1" x14ac:dyDescent="0.15">
      <c r="A816" s="61">
        <v>2423</v>
      </c>
      <c r="B816" s="67" t="s">
        <v>5639</v>
      </c>
      <c r="C816" s="65"/>
      <c r="D816" s="67" t="s">
        <v>5640</v>
      </c>
      <c r="E816" s="69"/>
      <c r="F816" s="65"/>
      <c r="G816" s="67" t="s">
        <v>5641</v>
      </c>
      <c r="H816" s="65"/>
      <c r="I816" s="73" t="s">
        <v>5642</v>
      </c>
      <c r="J816" s="65"/>
      <c r="K816" s="55" t="s">
        <v>5643</v>
      </c>
      <c r="L816" s="66">
        <v>2422</v>
      </c>
      <c r="M816" s="65"/>
      <c r="N816" s="73" t="s">
        <v>5644</v>
      </c>
      <c r="O816" s="65"/>
      <c r="P816" s="67" t="s">
        <v>5645</v>
      </c>
      <c r="Q816" s="65"/>
      <c r="R816" s="73" t="s">
        <v>5646</v>
      </c>
      <c r="S816" s="65"/>
      <c r="T816" s="67" t="s">
        <v>5647</v>
      </c>
      <c r="U816" s="65"/>
    </row>
    <row r="817" spans="1:21" ht="12.75" customHeight="1" x14ac:dyDescent="0.15">
      <c r="A817" s="68"/>
      <c r="B817" s="69"/>
      <c r="C817" s="69"/>
      <c r="D817" s="69"/>
      <c r="E817" s="69"/>
      <c r="F817" s="69"/>
      <c r="G817" s="69"/>
      <c r="H817" s="69"/>
      <c r="I817" s="69"/>
      <c r="J817" s="69"/>
      <c r="K817" s="69"/>
      <c r="L817" s="69"/>
      <c r="M817" s="69"/>
      <c r="N817" s="69"/>
      <c r="O817" s="65"/>
      <c r="P817" s="70" t="s">
        <v>5648</v>
      </c>
      <c r="Q817" s="65"/>
      <c r="R817" s="71">
        <v>37453</v>
      </c>
      <c r="S817" s="65"/>
      <c r="T817" s="70" t="s">
        <v>5649</v>
      </c>
      <c r="U817" s="65"/>
    </row>
    <row r="818" spans="1:21" ht="12.75" customHeight="1" x14ac:dyDescent="0.15">
      <c r="A818" s="68"/>
      <c r="B818" s="69"/>
      <c r="C818" s="69"/>
      <c r="D818" s="69"/>
      <c r="E818" s="69"/>
      <c r="F818" s="69"/>
      <c r="G818" s="69"/>
      <c r="H818" s="69"/>
      <c r="I818" s="69"/>
      <c r="J818" s="69"/>
      <c r="K818" s="69"/>
      <c r="L818" s="69"/>
      <c r="M818" s="69"/>
      <c r="N818" s="69"/>
      <c r="O818" s="65"/>
      <c r="P818" s="70" t="s">
        <v>5650</v>
      </c>
      <c r="Q818" s="65"/>
      <c r="R818" s="71">
        <v>37783</v>
      </c>
      <c r="S818" s="65"/>
      <c r="T818" s="70" t="s">
        <v>5651</v>
      </c>
      <c r="U818" s="65"/>
    </row>
    <row r="819" spans="1:21" ht="13.5" customHeight="1" x14ac:dyDescent="0.15">
      <c r="A819" s="68"/>
      <c r="B819" s="69"/>
      <c r="C819" s="69"/>
      <c r="D819" s="69"/>
      <c r="E819" s="69"/>
      <c r="F819" s="69"/>
      <c r="G819" s="69"/>
      <c r="H819" s="69"/>
      <c r="I819" s="69"/>
      <c r="J819" s="69"/>
      <c r="K819" s="69"/>
      <c r="L819" s="69"/>
      <c r="M819" s="69"/>
      <c r="N819" s="69"/>
      <c r="O819" s="65"/>
      <c r="P819" s="70" t="s">
        <v>5652</v>
      </c>
      <c r="Q819" s="65"/>
      <c r="R819" s="71">
        <v>38336</v>
      </c>
      <c r="S819" s="65"/>
      <c r="T819" s="70" t="s">
        <v>5653</v>
      </c>
      <c r="U819" s="65"/>
    </row>
    <row r="820" spans="1:21" ht="12.75" customHeight="1" x14ac:dyDescent="0.15">
      <c r="A820" s="68"/>
      <c r="B820" s="69"/>
      <c r="C820" s="69"/>
      <c r="D820" s="69"/>
      <c r="E820" s="69"/>
      <c r="F820" s="69"/>
      <c r="G820" s="69"/>
      <c r="H820" s="69"/>
      <c r="I820" s="69"/>
      <c r="J820" s="69"/>
      <c r="K820" s="69"/>
      <c r="L820" s="69"/>
      <c r="M820" s="69"/>
      <c r="N820" s="69"/>
      <c r="O820" s="65"/>
      <c r="P820" s="70" t="s">
        <v>5654</v>
      </c>
      <c r="Q820" s="65"/>
      <c r="R820" s="71">
        <v>39332</v>
      </c>
      <c r="S820" s="65"/>
      <c r="T820" s="70" t="s">
        <v>5655</v>
      </c>
      <c r="U820" s="65"/>
    </row>
    <row r="821" spans="1:21" ht="25.5" customHeight="1" x14ac:dyDescent="0.15">
      <c r="A821" s="75"/>
      <c r="B821" s="69"/>
      <c r="C821" s="69"/>
      <c r="D821" s="69"/>
      <c r="E821" s="69"/>
      <c r="F821" s="69"/>
      <c r="G821" s="69"/>
      <c r="H821" s="69"/>
      <c r="I821" s="69"/>
      <c r="J821" s="69"/>
      <c r="K821" s="69"/>
      <c r="L821" s="69"/>
      <c r="M821" s="69"/>
      <c r="N821" s="69"/>
      <c r="O821" s="65"/>
      <c r="P821" s="67" t="s">
        <v>5656</v>
      </c>
      <c r="Q821" s="65"/>
      <c r="R821" s="73" t="s">
        <v>5657</v>
      </c>
      <c r="S821" s="65"/>
      <c r="T821" s="67" t="s">
        <v>5658</v>
      </c>
      <c r="U821" s="65"/>
    </row>
    <row r="822" spans="1:21" ht="12.75" customHeight="1" x14ac:dyDescent="0.15">
      <c r="A822" s="68"/>
      <c r="B822" s="69"/>
      <c r="C822" s="69"/>
      <c r="D822" s="69"/>
      <c r="E822" s="69"/>
      <c r="F822" s="69"/>
      <c r="G822" s="69"/>
      <c r="H822" s="69"/>
      <c r="I822" s="69"/>
      <c r="J822" s="69"/>
      <c r="K822" s="69"/>
      <c r="L822" s="69"/>
      <c r="M822" s="69"/>
      <c r="N822" s="69"/>
      <c r="O822" s="65"/>
      <c r="P822" s="70" t="s">
        <v>5659</v>
      </c>
      <c r="Q822" s="65"/>
      <c r="R822" s="71">
        <v>42511</v>
      </c>
      <c r="S822" s="65"/>
      <c r="T822" s="70" t="s">
        <v>5660</v>
      </c>
      <c r="U822" s="65"/>
    </row>
    <row r="823" spans="1:21" ht="25.5" customHeight="1" x14ac:dyDescent="0.15">
      <c r="A823" s="61">
        <v>2424</v>
      </c>
      <c r="B823" s="67" t="s">
        <v>5661</v>
      </c>
      <c r="C823" s="65"/>
      <c r="D823" s="66">
        <v>2924</v>
      </c>
      <c r="E823" s="69"/>
      <c r="F823" s="65"/>
      <c r="G823" s="67" t="s">
        <v>5662</v>
      </c>
      <c r="H823" s="65"/>
      <c r="I823" s="70" t="s">
        <v>5663</v>
      </c>
      <c r="J823" s="65"/>
      <c r="K823" s="55" t="s">
        <v>5664</v>
      </c>
      <c r="L823" s="66">
        <v>2422</v>
      </c>
      <c r="M823" s="65"/>
      <c r="N823" s="70" t="s">
        <v>5665</v>
      </c>
      <c r="O823" s="65"/>
      <c r="P823" s="67" t="s">
        <v>5666</v>
      </c>
      <c r="Q823" s="65"/>
      <c r="R823" s="70" t="s">
        <v>5667</v>
      </c>
      <c r="S823" s="65"/>
      <c r="T823" s="67" t="s">
        <v>5668</v>
      </c>
      <c r="U823" s="65"/>
    </row>
    <row r="824" spans="1:21" ht="12.75" customHeight="1" x14ac:dyDescent="0.15">
      <c r="A824" s="68"/>
      <c r="B824" s="69"/>
      <c r="C824" s="69"/>
      <c r="D824" s="69"/>
      <c r="E824" s="69"/>
      <c r="F824" s="69"/>
      <c r="G824" s="69"/>
      <c r="H824" s="69"/>
      <c r="I824" s="69"/>
      <c r="J824" s="69"/>
      <c r="K824" s="69"/>
      <c r="L824" s="69"/>
      <c r="M824" s="69"/>
      <c r="N824" s="69"/>
      <c r="O824" s="65"/>
      <c r="P824" s="70" t="s">
        <v>5669</v>
      </c>
      <c r="Q824" s="65"/>
      <c r="R824" s="71">
        <v>37783</v>
      </c>
      <c r="S824" s="65"/>
      <c r="T824" s="70" t="s">
        <v>5670</v>
      </c>
      <c r="U824" s="65"/>
    </row>
    <row r="825" spans="1:21" ht="12.75" customHeight="1" x14ac:dyDescent="0.15">
      <c r="A825" s="68"/>
      <c r="B825" s="69"/>
      <c r="C825" s="69"/>
      <c r="D825" s="69"/>
      <c r="E825" s="69"/>
      <c r="F825" s="69"/>
      <c r="G825" s="69"/>
      <c r="H825" s="69"/>
      <c r="I825" s="69"/>
      <c r="J825" s="69"/>
      <c r="K825" s="69"/>
      <c r="L825" s="69"/>
      <c r="M825" s="69"/>
      <c r="N825" s="69"/>
      <c r="O825" s="65"/>
      <c r="P825" s="70" t="s">
        <v>5671</v>
      </c>
      <c r="Q825" s="65"/>
      <c r="R825" s="71">
        <v>37964</v>
      </c>
      <c r="S825" s="65"/>
      <c r="T825" s="70" t="s">
        <v>5672</v>
      </c>
      <c r="U825" s="65"/>
    </row>
    <row r="826" spans="1:21" ht="12.75" customHeight="1" x14ac:dyDescent="0.15">
      <c r="A826" s="68"/>
      <c r="B826" s="69"/>
      <c r="C826" s="69"/>
      <c r="D826" s="69"/>
      <c r="E826" s="69"/>
      <c r="F826" s="69"/>
      <c r="G826" s="69"/>
      <c r="H826" s="69"/>
      <c r="I826" s="69"/>
      <c r="J826" s="69"/>
      <c r="K826" s="69"/>
      <c r="L826" s="69"/>
      <c r="M826" s="69"/>
      <c r="N826" s="69"/>
      <c r="O826" s="65"/>
      <c r="P826" s="70" t="s">
        <v>5673</v>
      </c>
      <c r="Q826" s="65"/>
      <c r="R826" s="71">
        <v>39672</v>
      </c>
      <c r="S826" s="65"/>
      <c r="T826" s="70" t="s">
        <v>5674</v>
      </c>
      <c r="U826" s="65"/>
    </row>
    <row r="827" spans="1:21" ht="25.5" customHeight="1" x14ac:dyDescent="0.15">
      <c r="A827" s="61">
        <v>2425</v>
      </c>
      <c r="B827" s="67" t="s">
        <v>5675</v>
      </c>
      <c r="C827" s="65"/>
      <c r="D827" s="66">
        <v>1501</v>
      </c>
      <c r="E827" s="69"/>
      <c r="F827" s="65"/>
      <c r="G827" s="67" t="s">
        <v>5676</v>
      </c>
      <c r="H827" s="65"/>
      <c r="I827" s="64">
        <v>37836</v>
      </c>
      <c r="J827" s="65"/>
      <c r="K827" s="54">
        <v>1116</v>
      </c>
      <c r="L827" s="66">
        <v>1120</v>
      </c>
      <c r="M827" s="65"/>
      <c r="N827" s="70" t="s">
        <v>5677</v>
      </c>
      <c r="O827" s="65"/>
      <c r="P827" s="67" t="s">
        <v>5678</v>
      </c>
      <c r="Q827" s="65"/>
      <c r="R827" s="64">
        <v>37836</v>
      </c>
      <c r="S827" s="65"/>
      <c r="T827" s="67" t="s">
        <v>5679</v>
      </c>
      <c r="U827" s="65"/>
    </row>
    <row r="828" spans="1:21" ht="13.5" customHeight="1" x14ac:dyDescent="0.15">
      <c r="A828" s="68"/>
      <c r="B828" s="69"/>
      <c r="C828" s="69"/>
      <c r="D828" s="69"/>
      <c r="E828" s="69"/>
      <c r="F828" s="69"/>
      <c r="G828" s="69"/>
      <c r="H828" s="69"/>
      <c r="I828" s="69"/>
      <c r="J828" s="69"/>
      <c r="K828" s="69"/>
      <c r="L828" s="69"/>
      <c r="M828" s="69"/>
      <c r="N828" s="69"/>
      <c r="O828" s="65"/>
      <c r="P828" s="70" t="s">
        <v>5680</v>
      </c>
      <c r="Q828" s="65"/>
      <c r="R828" s="71">
        <v>41208</v>
      </c>
      <c r="S828" s="65"/>
      <c r="T828" s="70" t="s">
        <v>5681</v>
      </c>
      <c r="U828" s="65"/>
    </row>
    <row r="829" spans="1:21" ht="25.5" customHeight="1" x14ac:dyDescent="0.15">
      <c r="A829" s="61">
        <v>2426</v>
      </c>
      <c r="B829" s="67" t="s">
        <v>5682</v>
      </c>
      <c r="C829" s="65"/>
      <c r="D829" s="66">
        <v>1502</v>
      </c>
      <c r="E829" s="69"/>
      <c r="F829" s="65"/>
      <c r="G829" s="67" t="s">
        <v>5683</v>
      </c>
      <c r="H829" s="65"/>
      <c r="I829" s="64">
        <v>37836</v>
      </c>
      <c r="J829" s="65"/>
      <c r="K829" s="54">
        <v>1116</v>
      </c>
      <c r="L829" s="66">
        <v>1120</v>
      </c>
      <c r="M829" s="65"/>
      <c r="N829" s="73" t="s">
        <v>5684</v>
      </c>
      <c r="O829" s="65"/>
      <c r="P829" s="67" t="s">
        <v>5685</v>
      </c>
      <c r="Q829" s="65"/>
      <c r="R829" s="64">
        <v>37836</v>
      </c>
      <c r="S829" s="65"/>
      <c r="T829" s="67" t="s">
        <v>5686</v>
      </c>
      <c r="U829" s="65"/>
    </row>
    <row r="830" spans="1:21" ht="12.75" customHeight="1" x14ac:dyDescent="0.15">
      <c r="A830" s="68"/>
      <c r="B830" s="69"/>
      <c r="C830" s="69"/>
      <c r="D830" s="69"/>
      <c r="E830" s="69"/>
      <c r="F830" s="69"/>
      <c r="G830" s="69"/>
      <c r="H830" s="69"/>
      <c r="I830" s="69"/>
      <c r="J830" s="69"/>
      <c r="K830" s="69"/>
      <c r="L830" s="69"/>
      <c r="M830" s="69"/>
      <c r="N830" s="69"/>
      <c r="O830" s="65"/>
      <c r="P830" s="70" t="s">
        <v>5687</v>
      </c>
      <c r="Q830" s="65"/>
      <c r="R830" s="71">
        <v>41775</v>
      </c>
      <c r="S830" s="65"/>
      <c r="T830" s="70" t="s">
        <v>5688</v>
      </c>
      <c r="U830" s="65"/>
    </row>
    <row r="831" spans="1:21" ht="25.5" customHeight="1" x14ac:dyDescent="0.15">
      <c r="A831" s="61">
        <v>2427</v>
      </c>
      <c r="B831" s="67" t="s">
        <v>5689</v>
      </c>
      <c r="C831" s="65"/>
      <c r="D831" s="66">
        <v>108023</v>
      </c>
      <c r="E831" s="69"/>
      <c r="F831" s="65"/>
      <c r="G831" s="67" t="s">
        <v>5690</v>
      </c>
      <c r="H831" s="65"/>
      <c r="I831" s="64">
        <v>37869</v>
      </c>
      <c r="J831" s="65"/>
      <c r="K831" s="54">
        <v>2338</v>
      </c>
      <c r="L831" s="66">
        <v>2340</v>
      </c>
      <c r="M831" s="65"/>
      <c r="N831" s="70" t="s">
        <v>5691</v>
      </c>
      <c r="O831" s="65"/>
      <c r="P831" s="67" t="s">
        <v>5692</v>
      </c>
      <c r="Q831" s="65"/>
      <c r="R831" s="64">
        <v>37869</v>
      </c>
      <c r="S831" s="65"/>
      <c r="T831" s="67" t="s">
        <v>5693</v>
      </c>
      <c r="U831" s="65"/>
    </row>
    <row r="832" spans="1:21" ht="13.5" customHeight="1" x14ac:dyDescent="0.15">
      <c r="A832" s="68"/>
      <c r="B832" s="69"/>
      <c r="C832" s="69"/>
      <c r="D832" s="69"/>
      <c r="E832" s="69"/>
      <c r="F832" s="69"/>
      <c r="G832" s="69"/>
      <c r="H832" s="69"/>
      <c r="I832" s="69"/>
      <c r="J832" s="69"/>
      <c r="K832" s="69"/>
      <c r="L832" s="69"/>
      <c r="M832" s="69"/>
      <c r="N832" s="69"/>
      <c r="O832" s="65"/>
      <c r="P832" s="70" t="s">
        <v>5694</v>
      </c>
      <c r="Q832" s="65"/>
      <c r="R832" s="71">
        <v>39330</v>
      </c>
      <c r="S832" s="65"/>
      <c r="T832" s="70" t="s">
        <v>5695</v>
      </c>
      <c r="U832" s="65"/>
    </row>
    <row r="833" spans="1:21" ht="12.75" customHeight="1" x14ac:dyDescent="0.15">
      <c r="A833" s="68"/>
      <c r="B833" s="69"/>
      <c r="C833" s="69"/>
      <c r="D833" s="69"/>
      <c r="E833" s="69"/>
      <c r="F833" s="69"/>
      <c r="G833" s="69"/>
      <c r="H833" s="69"/>
      <c r="I833" s="69"/>
      <c r="J833" s="69"/>
      <c r="K833" s="69"/>
      <c r="L833" s="69"/>
      <c r="M833" s="69"/>
      <c r="N833" s="69"/>
      <c r="O833" s="65"/>
      <c r="P833" s="70" t="s">
        <v>5696</v>
      </c>
      <c r="Q833" s="65"/>
      <c r="R833" s="71">
        <v>39380</v>
      </c>
      <c r="S833" s="65"/>
      <c r="T833" s="70" t="s">
        <v>5697</v>
      </c>
      <c r="U833" s="65"/>
    </row>
    <row r="834" spans="1:21" ht="12.75" customHeight="1" x14ac:dyDescent="0.15">
      <c r="A834" s="68"/>
      <c r="B834" s="69"/>
      <c r="C834" s="69"/>
      <c r="D834" s="69"/>
      <c r="E834" s="69"/>
      <c r="F834" s="69"/>
      <c r="G834" s="69"/>
      <c r="H834" s="69"/>
      <c r="I834" s="69"/>
      <c r="J834" s="69"/>
      <c r="K834" s="69"/>
      <c r="L834" s="69"/>
      <c r="M834" s="69"/>
      <c r="N834" s="69"/>
      <c r="O834" s="65"/>
      <c r="P834" s="70" t="s">
        <v>5698</v>
      </c>
      <c r="Q834" s="65"/>
      <c r="R834" s="71">
        <v>39731</v>
      </c>
      <c r="S834" s="65"/>
      <c r="T834" s="70" t="s">
        <v>5699</v>
      </c>
      <c r="U834" s="65"/>
    </row>
    <row r="835" spans="1:21" ht="12.75" customHeight="1" x14ac:dyDescent="0.15">
      <c r="A835" s="68"/>
      <c r="B835" s="69"/>
      <c r="C835" s="69"/>
      <c r="D835" s="69"/>
      <c r="E835" s="69"/>
      <c r="F835" s="69"/>
      <c r="G835" s="69"/>
      <c r="H835" s="69"/>
      <c r="I835" s="69"/>
      <c r="J835" s="69"/>
      <c r="K835" s="69"/>
      <c r="L835" s="69"/>
      <c r="M835" s="69"/>
      <c r="N835" s="69"/>
      <c r="O835" s="65"/>
      <c r="P835" s="70" t="s">
        <v>5700</v>
      </c>
      <c r="Q835" s="65"/>
      <c r="R835" s="71">
        <v>42408</v>
      </c>
      <c r="S835" s="65"/>
      <c r="T835" s="70" t="s">
        <v>5701</v>
      </c>
      <c r="U835" s="65"/>
    </row>
    <row r="836" spans="1:21" ht="25.5" customHeight="1" x14ac:dyDescent="0.15">
      <c r="A836" s="61">
        <v>2428</v>
      </c>
      <c r="B836" s="67" t="s">
        <v>5702</v>
      </c>
      <c r="C836" s="65"/>
      <c r="D836" s="66">
        <v>22421</v>
      </c>
      <c r="E836" s="69"/>
      <c r="F836" s="65"/>
      <c r="G836" s="67" t="s">
        <v>5703</v>
      </c>
      <c r="H836" s="65"/>
      <c r="I836" s="64">
        <v>37869</v>
      </c>
      <c r="J836" s="65"/>
      <c r="K836" s="54">
        <v>2338</v>
      </c>
      <c r="L836" s="66">
        <v>2340</v>
      </c>
      <c r="M836" s="65"/>
      <c r="N836" s="70" t="s">
        <v>5704</v>
      </c>
      <c r="O836" s="65"/>
      <c r="P836" s="67" t="s">
        <v>5705</v>
      </c>
      <c r="Q836" s="65"/>
      <c r="R836" s="64">
        <v>37869</v>
      </c>
      <c r="S836" s="65"/>
      <c r="T836" s="67" t="s">
        <v>5706</v>
      </c>
      <c r="U836" s="65"/>
    </row>
    <row r="837" spans="1:21" ht="12.75" customHeight="1" x14ac:dyDescent="0.15">
      <c r="A837" s="68"/>
      <c r="B837" s="69"/>
      <c r="C837" s="69"/>
      <c r="D837" s="69"/>
      <c r="E837" s="69"/>
      <c r="F837" s="69"/>
      <c r="G837" s="69"/>
      <c r="H837" s="69"/>
      <c r="I837" s="69"/>
      <c r="J837" s="69"/>
      <c r="K837" s="69"/>
      <c r="L837" s="69"/>
      <c r="M837" s="69"/>
      <c r="N837" s="69"/>
      <c r="O837" s="65"/>
      <c r="P837" s="70" t="s">
        <v>5707</v>
      </c>
      <c r="Q837" s="65"/>
      <c r="R837" s="71">
        <v>38624</v>
      </c>
      <c r="S837" s="65"/>
      <c r="T837" s="70" t="s">
        <v>5708</v>
      </c>
      <c r="U837" s="65"/>
    </row>
    <row r="838" spans="1:21" ht="21" customHeight="1" x14ac:dyDescent="0.15">
      <c r="A838" s="60" t="s">
        <v>5709</v>
      </c>
      <c r="B838" s="72" t="s">
        <v>5710</v>
      </c>
      <c r="C838" s="65"/>
      <c r="D838" s="72" t="s">
        <v>5711</v>
      </c>
      <c r="E838" s="69"/>
      <c r="F838" s="65"/>
      <c r="G838" s="72" t="s">
        <v>5712</v>
      </c>
      <c r="H838" s="65"/>
      <c r="I838" s="72" t="s">
        <v>5713</v>
      </c>
      <c r="J838" s="65"/>
      <c r="K838" s="60" t="s">
        <v>5714</v>
      </c>
      <c r="L838" s="72" t="s">
        <v>5715</v>
      </c>
      <c r="M838" s="65"/>
      <c r="N838" s="72" t="s">
        <v>5716</v>
      </c>
      <c r="O838" s="65"/>
      <c r="P838" s="72" t="s">
        <v>5717</v>
      </c>
      <c r="Q838" s="65"/>
      <c r="R838" s="72" t="s">
        <v>5718</v>
      </c>
      <c r="S838" s="65"/>
      <c r="T838" s="72" t="s">
        <v>5719</v>
      </c>
      <c r="U838" s="65"/>
    </row>
    <row r="839" spans="1:21" ht="13.5" customHeight="1" x14ac:dyDescent="0.15">
      <c r="A839" s="68"/>
      <c r="B839" s="69"/>
      <c r="C839" s="69"/>
      <c r="D839" s="69"/>
      <c r="E839" s="69"/>
      <c r="F839" s="69"/>
      <c r="G839" s="69"/>
      <c r="H839" s="69"/>
      <c r="I839" s="69"/>
      <c r="J839" s="69"/>
      <c r="K839" s="69"/>
      <c r="L839" s="69"/>
      <c r="M839" s="69"/>
      <c r="N839" s="69"/>
      <c r="O839" s="65"/>
      <c r="P839" s="70" t="s">
        <v>5720</v>
      </c>
      <c r="Q839" s="65"/>
      <c r="R839" s="71">
        <v>41141</v>
      </c>
      <c r="S839" s="65"/>
      <c r="T839" s="70" t="s">
        <v>5721</v>
      </c>
      <c r="U839" s="65"/>
    </row>
    <row r="840" spans="1:21" ht="12.75" customHeight="1" x14ac:dyDescent="0.15">
      <c r="A840" s="68"/>
      <c r="B840" s="69"/>
      <c r="C840" s="69"/>
      <c r="D840" s="69"/>
      <c r="E840" s="69"/>
      <c r="F840" s="69"/>
      <c r="G840" s="69"/>
      <c r="H840" s="69"/>
      <c r="I840" s="69"/>
      <c r="J840" s="69"/>
      <c r="K840" s="69"/>
      <c r="L840" s="69"/>
      <c r="M840" s="69"/>
      <c r="N840" s="69"/>
      <c r="O840" s="65"/>
      <c r="P840" s="70" t="s">
        <v>5722</v>
      </c>
      <c r="Q840" s="65"/>
      <c r="R840" s="71">
        <v>41571</v>
      </c>
      <c r="S840" s="65"/>
      <c r="T840" s="70" t="s">
        <v>5723</v>
      </c>
      <c r="U840" s="65"/>
    </row>
    <row r="841" spans="1:21" ht="12.75" customHeight="1" x14ac:dyDescent="0.15">
      <c r="A841" s="68"/>
      <c r="B841" s="69"/>
      <c r="C841" s="69"/>
      <c r="D841" s="69"/>
      <c r="E841" s="69"/>
      <c r="F841" s="69"/>
      <c r="G841" s="69"/>
      <c r="H841" s="69"/>
      <c r="I841" s="69"/>
      <c r="J841" s="69"/>
      <c r="K841" s="69"/>
      <c r="L841" s="69"/>
      <c r="M841" s="69"/>
      <c r="N841" s="69"/>
      <c r="O841" s="65"/>
      <c r="P841" s="70" t="s">
        <v>5724</v>
      </c>
      <c r="Q841" s="65"/>
      <c r="R841" s="71">
        <v>42441</v>
      </c>
      <c r="S841" s="65"/>
      <c r="T841" s="70" t="s">
        <v>5725</v>
      </c>
      <c r="U841" s="65"/>
    </row>
    <row r="842" spans="1:21" ht="25.5" customHeight="1" x14ac:dyDescent="0.15">
      <c r="A842" s="61">
        <v>2429</v>
      </c>
      <c r="B842" s="67" t="s">
        <v>5726</v>
      </c>
      <c r="C842" s="65"/>
      <c r="D842" s="66">
        <v>114012</v>
      </c>
      <c r="E842" s="69"/>
      <c r="F842" s="65"/>
      <c r="G842" s="67" t="s">
        <v>5727</v>
      </c>
      <c r="H842" s="65"/>
      <c r="I842" s="64">
        <v>37921</v>
      </c>
      <c r="J842" s="65"/>
      <c r="K842" s="54">
        <v>2337</v>
      </c>
      <c r="L842" s="66">
        <v>2341</v>
      </c>
      <c r="M842" s="65"/>
      <c r="N842" s="70" t="s">
        <v>5728</v>
      </c>
      <c r="O842" s="65"/>
      <c r="P842" s="67" t="s">
        <v>5729</v>
      </c>
      <c r="Q842" s="65"/>
      <c r="R842" s="64">
        <v>37921</v>
      </c>
      <c r="S842" s="65"/>
      <c r="T842" s="67" t="s">
        <v>5730</v>
      </c>
      <c r="U842" s="65"/>
    </row>
    <row r="843" spans="1:21" ht="13.5" customHeight="1" x14ac:dyDescent="0.15">
      <c r="A843" s="68"/>
      <c r="B843" s="69"/>
      <c r="C843" s="69"/>
      <c r="D843" s="69"/>
      <c r="E843" s="69"/>
      <c r="F843" s="69"/>
      <c r="G843" s="69"/>
      <c r="H843" s="69"/>
      <c r="I843" s="69"/>
      <c r="J843" s="69"/>
      <c r="K843" s="69"/>
      <c r="L843" s="69"/>
      <c r="M843" s="69"/>
      <c r="N843" s="69"/>
      <c r="O843" s="65"/>
      <c r="P843" s="70" t="s">
        <v>5731</v>
      </c>
      <c r="Q843" s="65"/>
      <c r="R843" s="71">
        <v>38818</v>
      </c>
      <c r="S843" s="65"/>
      <c r="T843" s="70" t="s">
        <v>5732</v>
      </c>
      <c r="U843" s="65"/>
    </row>
    <row r="844" spans="1:21" ht="12.75" customHeight="1" x14ac:dyDescent="0.15">
      <c r="A844" s="68"/>
      <c r="B844" s="69"/>
      <c r="C844" s="69"/>
      <c r="D844" s="69"/>
      <c r="E844" s="69"/>
      <c r="F844" s="69"/>
      <c r="G844" s="69"/>
      <c r="H844" s="69"/>
      <c r="I844" s="69"/>
      <c r="J844" s="69"/>
      <c r="K844" s="69"/>
      <c r="L844" s="69"/>
      <c r="M844" s="69"/>
      <c r="N844" s="69"/>
      <c r="O844" s="65"/>
      <c r="P844" s="70" t="s">
        <v>5733</v>
      </c>
      <c r="Q844" s="65"/>
      <c r="R844" s="71">
        <v>41141</v>
      </c>
      <c r="S844" s="65"/>
      <c r="T844" s="70" t="s">
        <v>5734</v>
      </c>
      <c r="U844" s="65"/>
    </row>
    <row r="845" spans="1:21" ht="24.75" customHeight="1" x14ac:dyDescent="0.15">
      <c r="A845" s="75"/>
      <c r="B845" s="69"/>
      <c r="C845" s="69"/>
      <c r="D845" s="69"/>
      <c r="E845" s="69"/>
      <c r="F845" s="69"/>
      <c r="G845" s="69"/>
      <c r="H845" s="69"/>
      <c r="I845" s="69"/>
      <c r="J845" s="69"/>
      <c r="K845" s="69"/>
      <c r="L845" s="69"/>
      <c r="M845" s="69"/>
      <c r="N845" s="69"/>
      <c r="O845" s="65"/>
      <c r="P845" s="67" t="s">
        <v>5735</v>
      </c>
      <c r="Q845" s="65"/>
      <c r="R845" s="70" t="s">
        <v>5736</v>
      </c>
      <c r="S845" s="65"/>
      <c r="T845" s="67" t="s">
        <v>5737</v>
      </c>
      <c r="U845" s="65"/>
    </row>
    <row r="846" spans="1:21" ht="12.75" customHeight="1" x14ac:dyDescent="0.15">
      <c r="A846" s="68"/>
      <c r="B846" s="69"/>
      <c r="C846" s="69"/>
      <c r="D846" s="69"/>
      <c r="E846" s="69"/>
      <c r="F846" s="69"/>
      <c r="G846" s="69"/>
      <c r="H846" s="69"/>
      <c r="I846" s="69"/>
      <c r="J846" s="69"/>
      <c r="K846" s="69"/>
      <c r="L846" s="69"/>
      <c r="M846" s="69"/>
      <c r="N846" s="69"/>
      <c r="O846" s="65"/>
      <c r="P846" s="70" t="s">
        <v>5738</v>
      </c>
      <c r="Q846" s="65"/>
      <c r="R846" s="71">
        <v>44182</v>
      </c>
      <c r="S846" s="65"/>
      <c r="T846" s="70" t="s">
        <v>5739</v>
      </c>
      <c r="U846" s="65"/>
    </row>
    <row r="847" spans="1:21" ht="25.5" customHeight="1" x14ac:dyDescent="0.15">
      <c r="A847" s="61">
        <v>2430</v>
      </c>
      <c r="B847" s="67" t="s">
        <v>5740</v>
      </c>
      <c r="C847" s="65"/>
      <c r="D847" s="66">
        <v>105004</v>
      </c>
      <c r="E847" s="69"/>
      <c r="F847" s="65"/>
      <c r="G847" s="67" t="s">
        <v>5741</v>
      </c>
      <c r="H847" s="65"/>
      <c r="I847" s="64">
        <v>37977</v>
      </c>
      <c r="J847" s="65"/>
      <c r="K847" s="54">
        <v>1125</v>
      </c>
      <c r="L847" s="66">
        <v>1124</v>
      </c>
      <c r="M847" s="65"/>
      <c r="N847" s="70" t="s">
        <v>5742</v>
      </c>
      <c r="O847" s="65"/>
      <c r="P847" s="67" t="s">
        <v>5743</v>
      </c>
      <c r="Q847" s="65"/>
      <c r="R847" s="64">
        <v>37977</v>
      </c>
      <c r="S847" s="65"/>
      <c r="T847" s="67" t="s">
        <v>5744</v>
      </c>
      <c r="U847" s="65"/>
    </row>
    <row r="848" spans="1:21" ht="12.75" customHeight="1" x14ac:dyDescent="0.15">
      <c r="A848" s="68"/>
      <c r="B848" s="69"/>
      <c r="C848" s="69"/>
      <c r="D848" s="69"/>
      <c r="E848" s="69"/>
      <c r="F848" s="69"/>
      <c r="G848" s="69"/>
      <c r="H848" s="69"/>
      <c r="I848" s="69"/>
      <c r="J848" s="69"/>
      <c r="K848" s="69"/>
      <c r="L848" s="69"/>
      <c r="M848" s="69"/>
      <c r="N848" s="69"/>
      <c r="O848" s="65"/>
      <c r="P848" s="70" t="s">
        <v>5745</v>
      </c>
      <c r="Q848" s="65"/>
      <c r="R848" s="71">
        <v>38300</v>
      </c>
      <c r="S848" s="65"/>
      <c r="T848" s="70" t="s">
        <v>5746</v>
      </c>
      <c r="U848" s="65"/>
    </row>
    <row r="849" spans="1:21" ht="12.75" customHeight="1" x14ac:dyDescent="0.15">
      <c r="A849" s="68"/>
      <c r="B849" s="69"/>
      <c r="C849" s="69"/>
      <c r="D849" s="69"/>
      <c r="E849" s="69"/>
      <c r="F849" s="69"/>
      <c r="G849" s="69"/>
      <c r="H849" s="69"/>
      <c r="I849" s="69"/>
      <c r="J849" s="69"/>
      <c r="K849" s="69"/>
      <c r="L849" s="69"/>
      <c r="M849" s="69"/>
      <c r="N849" s="69"/>
      <c r="O849" s="65"/>
      <c r="P849" s="70" t="s">
        <v>5747</v>
      </c>
      <c r="Q849" s="65"/>
      <c r="R849" s="71">
        <v>38518</v>
      </c>
      <c r="S849" s="65"/>
      <c r="T849" s="70" t="s">
        <v>5748</v>
      </c>
      <c r="U849" s="65"/>
    </row>
    <row r="850" spans="1:21" ht="12.75" customHeight="1" x14ac:dyDescent="0.15">
      <c r="A850" s="68"/>
      <c r="B850" s="69"/>
      <c r="C850" s="69"/>
      <c r="D850" s="69"/>
      <c r="E850" s="69"/>
      <c r="F850" s="69"/>
      <c r="G850" s="69"/>
      <c r="H850" s="69"/>
      <c r="I850" s="69"/>
      <c r="J850" s="69"/>
      <c r="K850" s="69"/>
      <c r="L850" s="69"/>
      <c r="M850" s="69"/>
      <c r="N850" s="69"/>
      <c r="O850" s="65"/>
      <c r="P850" s="70" t="s">
        <v>5749</v>
      </c>
      <c r="Q850" s="65"/>
      <c r="R850" s="71">
        <v>42821</v>
      </c>
      <c r="S850" s="65"/>
      <c r="T850" s="70" t="s">
        <v>5750</v>
      </c>
      <c r="U850" s="65"/>
    </row>
    <row r="851" spans="1:21" ht="25.5" customHeight="1" x14ac:dyDescent="0.15">
      <c r="A851" s="61">
        <v>2431</v>
      </c>
      <c r="B851" s="67" t="s">
        <v>5751</v>
      </c>
      <c r="C851" s="65"/>
      <c r="D851" s="67" t="s">
        <v>5752</v>
      </c>
      <c r="E851" s="69"/>
      <c r="F851" s="65"/>
      <c r="G851" s="67" t="s">
        <v>5753</v>
      </c>
      <c r="H851" s="65"/>
      <c r="I851" s="64">
        <v>37977</v>
      </c>
      <c r="J851" s="65"/>
      <c r="K851" s="54">
        <v>1125</v>
      </c>
      <c r="L851" s="66">
        <v>1124</v>
      </c>
      <c r="M851" s="65"/>
      <c r="N851" s="70" t="s">
        <v>5754</v>
      </c>
      <c r="O851" s="65"/>
      <c r="P851" s="67" t="s">
        <v>5755</v>
      </c>
      <c r="Q851" s="65"/>
      <c r="R851" s="64">
        <v>37977</v>
      </c>
      <c r="S851" s="65"/>
      <c r="T851" s="67" t="s">
        <v>5756</v>
      </c>
      <c r="U851" s="65"/>
    </row>
    <row r="852" spans="1:21" ht="12.75" customHeight="1" x14ac:dyDescent="0.15">
      <c r="A852" s="68"/>
      <c r="B852" s="69"/>
      <c r="C852" s="69"/>
      <c r="D852" s="69"/>
      <c r="E852" s="69"/>
      <c r="F852" s="69"/>
      <c r="G852" s="69"/>
      <c r="H852" s="69"/>
      <c r="I852" s="69"/>
      <c r="J852" s="69"/>
      <c r="K852" s="69"/>
      <c r="L852" s="69"/>
      <c r="M852" s="69"/>
      <c r="N852" s="69"/>
      <c r="O852" s="65"/>
      <c r="P852" s="70" t="s">
        <v>5757</v>
      </c>
      <c r="Q852" s="65"/>
      <c r="R852" s="71">
        <v>37977</v>
      </c>
      <c r="S852" s="65"/>
      <c r="T852" s="70" t="s">
        <v>5758</v>
      </c>
      <c r="U852" s="65"/>
    </row>
    <row r="853" spans="1:21" ht="24.75" customHeight="1" x14ac:dyDescent="0.15">
      <c r="A853" s="61">
        <v>2432</v>
      </c>
      <c r="B853" s="67" t="s">
        <v>5759</v>
      </c>
      <c r="C853" s="65"/>
      <c r="D853" s="66">
        <v>2912</v>
      </c>
      <c r="E853" s="69"/>
      <c r="F853" s="65"/>
      <c r="G853" s="67" t="s">
        <v>5760</v>
      </c>
      <c r="H853" s="65"/>
      <c r="I853" s="64">
        <v>35180</v>
      </c>
      <c r="J853" s="65"/>
      <c r="K853" s="54">
        <v>1012</v>
      </c>
      <c r="L853" s="66">
        <v>1044</v>
      </c>
      <c r="M853" s="65"/>
      <c r="N853" s="70" t="s">
        <v>5761</v>
      </c>
      <c r="O853" s="65"/>
      <c r="P853" s="67" t="s">
        <v>5762</v>
      </c>
      <c r="Q853" s="65"/>
      <c r="R853" s="64">
        <v>35180</v>
      </c>
      <c r="S853" s="65"/>
      <c r="T853" s="67" t="s">
        <v>5763</v>
      </c>
      <c r="U853" s="65"/>
    </row>
    <row r="854" spans="1:21" ht="12.75" customHeight="1" x14ac:dyDescent="0.15">
      <c r="A854" s="68"/>
      <c r="B854" s="69"/>
      <c r="C854" s="69"/>
      <c r="D854" s="69"/>
      <c r="E854" s="69"/>
      <c r="F854" s="69"/>
      <c r="G854" s="69"/>
      <c r="H854" s="69"/>
      <c r="I854" s="69"/>
      <c r="J854" s="69"/>
      <c r="K854" s="69"/>
      <c r="L854" s="69"/>
      <c r="M854" s="69"/>
      <c r="N854" s="69"/>
      <c r="O854" s="65"/>
      <c r="P854" s="70" t="s">
        <v>5764</v>
      </c>
      <c r="Q854" s="65"/>
      <c r="R854" s="71">
        <v>35185</v>
      </c>
      <c r="S854" s="65"/>
      <c r="T854" s="70" t="s">
        <v>5765</v>
      </c>
      <c r="U854" s="65"/>
    </row>
    <row r="855" spans="1:21" ht="25.5" customHeight="1" x14ac:dyDescent="0.15">
      <c r="A855" s="61">
        <v>2433</v>
      </c>
      <c r="B855" s="67" t="s">
        <v>5766</v>
      </c>
      <c r="C855" s="65"/>
      <c r="D855" s="66">
        <v>11810</v>
      </c>
      <c r="E855" s="69"/>
      <c r="F855" s="65"/>
      <c r="G855" s="67" t="s">
        <v>5767</v>
      </c>
      <c r="H855" s="65"/>
      <c r="I855" s="64">
        <v>36741</v>
      </c>
      <c r="J855" s="65"/>
      <c r="K855" s="54">
        <v>1056</v>
      </c>
      <c r="L855" s="66">
        <v>1079</v>
      </c>
      <c r="M855" s="65"/>
      <c r="N855" s="70" t="s">
        <v>5768</v>
      </c>
      <c r="O855" s="65"/>
      <c r="P855" s="67" t="s">
        <v>5769</v>
      </c>
      <c r="Q855" s="65"/>
      <c r="R855" s="64">
        <v>36741</v>
      </c>
      <c r="S855" s="65"/>
      <c r="T855" s="67" t="s">
        <v>5770</v>
      </c>
      <c r="U855" s="65"/>
    </row>
    <row r="856" spans="1:21" ht="13.5" customHeight="1" x14ac:dyDescent="0.15">
      <c r="A856" s="68"/>
      <c r="B856" s="69"/>
      <c r="C856" s="69"/>
      <c r="D856" s="69"/>
      <c r="E856" s="69"/>
      <c r="F856" s="69"/>
      <c r="G856" s="69"/>
      <c r="H856" s="69"/>
      <c r="I856" s="69"/>
      <c r="J856" s="69"/>
      <c r="K856" s="69"/>
      <c r="L856" s="69"/>
      <c r="M856" s="69"/>
      <c r="N856" s="69"/>
      <c r="O856" s="65"/>
      <c r="P856" s="70" t="s">
        <v>5771</v>
      </c>
      <c r="Q856" s="65"/>
      <c r="R856" s="71">
        <v>36741</v>
      </c>
      <c r="S856" s="65"/>
      <c r="T856" s="70" t="s">
        <v>5772</v>
      </c>
      <c r="U856" s="65"/>
    </row>
    <row r="857" spans="1:21" ht="25.5" customHeight="1" x14ac:dyDescent="0.15">
      <c r="A857" s="61">
        <v>2434</v>
      </c>
      <c r="B857" s="67" t="s">
        <v>5773</v>
      </c>
      <c r="C857" s="65"/>
      <c r="D857" s="66">
        <v>200382</v>
      </c>
      <c r="E857" s="69"/>
      <c r="F857" s="65"/>
      <c r="G857" s="67" t="s">
        <v>5774</v>
      </c>
      <c r="H857" s="65"/>
      <c r="I857" s="64">
        <v>36967</v>
      </c>
      <c r="J857" s="65"/>
      <c r="K857" s="54">
        <v>1102</v>
      </c>
      <c r="L857" s="66">
        <v>1127</v>
      </c>
      <c r="M857" s="65"/>
      <c r="N857" s="73" t="s">
        <v>5775</v>
      </c>
      <c r="O857" s="65"/>
      <c r="P857" s="67" t="s">
        <v>5776</v>
      </c>
      <c r="Q857" s="65"/>
      <c r="R857" s="64">
        <v>36967</v>
      </c>
      <c r="S857" s="65"/>
      <c r="T857" s="67" t="s">
        <v>5777</v>
      </c>
      <c r="U857" s="65"/>
    </row>
    <row r="858" spans="1:21" ht="12.75" customHeight="1" x14ac:dyDescent="0.15">
      <c r="A858" s="68"/>
      <c r="B858" s="69"/>
      <c r="C858" s="69"/>
      <c r="D858" s="69"/>
      <c r="E858" s="69"/>
      <c r="F858" s="69"/>
      <c r="G858" s="69"/>
      <c r="H858" s="69"/>
      <c r="I858" s="69"/>
      <c r="J858" s="69"/>
      <c r="K858" s="69"/>
      <c r="L858" s="69"/>
      <c r="M858" s="69"/>
      <c r="N858" s="69"/>
      <c r="O858" s="65"/>
      <c r="P858" s="70" t="s">
        <v>5778</v>
      </c>
      <c r="Q858" s="65"/>
      <c r="R858" s="71">
        <v>36967</v>
      </c>
      <c r="S858" s="65"/>
      <c r="T858" s="70" t="s">
        <v>5779</v>
      </c>
      <c r="U858" s="65"/>
    </row>
    <row r="859" spans="1:21" ht="25.5" customHeight="1" x14ac:dyDescent="0.15">
      <c r="A859" s="61">
        <v>2435</v>
      </c>
      <c r="B859" s="67" t="s">
        <v>5780</v>
      </c>
      <c r="C859" s="65"/>
      <c r="D859" s="66">
        <v>518029</v>
      </c>
      <c r="E859" s="69"/>
      <c r="F859" s="65"/>
      <c r="G859" s="67" t="s">
        <v>5781</v>
      </c>
      <c r="H859" s="65"/>
      <c r="I859" s="64">
        <v>38209</v>
      </c>
      <c r="J859" s="65"/>
      <c r="K859" s="54">
        <v>2208</v>
      </c>
      <c r="L859" s="66">
        <v>1126</v>
      </c>
      <c r="M859" s="65"/>
      <c r="N859" s="70" t="s">
        <v>5782</v>
      </c>
      <c r="O859" s="65"/>
      <c r="P859" s="67" t="s">
        <v>5783</v>
      </c>
      <c r="Q859" s="65"/>
      <c r="R859" s="64">
        <v>38209</v>
      </c>
      <c r="S859" s="65"/>
      <c r="T859" s="67" t="s">
        <v>5784</v>
      </c>
      <c r="U859" s="65"/>
    </row>
    <row r="860" spans="1:21" ht="13.5" customHeight="1" x14ac:dyDescent="0.15">
      <c r="A860" s="68"/>
      <c r="B860" s="69"/>
      <c r="C860" s="69"/>
      <c r="D860" s="69"/>
      <c r="E860" s="69"/>
      <c r="F860" s="69"/>
      <c r="G860" s="69"/>
      <c r="H860" s="69"/>
      <c r="I860" s="69"/>
      <c r="J860" s="69"/>
      <c r="K860" s="69"/>
      <c r="L860" s="69"/>
      <c r="M860" s="69"/>
      <c r="N860" s="69"/>
      <c r="O860" s="65"/>
      <c r="P860" s="70" t="s">
        <v>5785</v>
      </c>
      <c r="Q860" s="65"/>
      <c r="R860" s="71">
        <v>38980</v>
      </c>
      <c r="S860" s="65"/>
      <c r="T860" s="70" t="s">
        <v>5786</v>
      </c>
      <c r="U860" s="65"/>
    </row>
    <row r="861" spans="1:21" ht="12.75" customHeight="1" x14ac:dyDescent="0.15">
      <c r="A861" s="68"/>
      <c r="B861" s="69"/>
      <c r="C861" s="69"/>
      <c r="D861" s="69"/>
      <c r="E861" s="69"/>
      <c r="F861" s="69"/>
      <c r="G861" s="69"/>
      <c r="H861" s="69"/>
      <c r="I861" s="69"/>
      <c r="J861" s="69"/>
      <c r="K861" s="69"/>
      <c r="L861" s="69"/>
      <c r="M861" s="69"/>
      <c r="N861" s="69"/>
      <c r="O861" s="65"/>
      <c r="P861" s="70" t="s">
        <v>5787</v>
      </c>
      <c r="Q861" s="65"/>
      <c r="R861" s="71">
        <v>41575</v>
      </c>
      <c r="S861" s="65"/>
      <c r="T861" s="70" t="s">
        <v>5788</v>
      </c>
      <c r="U861" s="65"/>
    </row>
    <row r="862" spans="1:21" ht="12.75" customHeight="1" x14ac:dyDescent="0.15">
      <c r="A862" s="68"/>
      <c r="B862" s="69"/>
      <c r="C862" s="69"/>
      <c r="D862" s="69"/>
      <c r="E862" s="69"/>
      <c r="F862" s="69"/>
      <c r="G862" s="69"/>
      <c r="H862" s="69"/>
      <c r="I862" s="69"/>
      <c r="J862" s="69"/>
      <c r="K862" s="69"/>
      <c r="L862" s="69"/>
      <c r="M862" s="69"/>
      <c r="N862" s="69"/>
      <c r="O862" s="65"/>
      <c r="P862" s="70" t="s">
        <v>5789</v>
      </c>
      <c r="Q862" s="65"/>
      <c r="R862" s="71">
        <v>42495</v>
      </c>
      <c r="S862" s="65"/>
      <c r="T862" s="70" t="s">
        <v>5790</v>
      </c>
      <c r="U862" s="65"/>
    </row>
    <row r="863" spans="1:21" ht="12.75" customHeight="1" x14ac:dyDescent="0.15">
      <c r="A863" s="68"/>
      <c r="B863" s="69"/>
      <c r="C863" s="69"/>
      <c r="D863" s="69"/>
      <c r="E863" s="69"/>
      <c r="F863" s="69"/>
      <c r="G863" s="69"/>
      <c r="H863" s="69"/>
      <c r="I863" s="69"/>
      <c r="J863" s="69"/>
      <c r="K863" s="69"/>
      <c r="L863" s="69"/>
      <c r="M863" s="69"/>
      <c r="N863" s="69"/>
      <c r="O863" s="65"/>
      <c r="P863" s="70" t="s">
        <v>5791</v>
      </c>
      <c r="Q863" s="65"/>
      <c r="R863" s="71">
        <v>43209</v>
      </c>
      <c r="S863" s="65"/>
      <c r="T863" s="70" t="s">
        <v>5792</v>
      </c>
      <c r="U863" s="65"/>
    </row>
    <row r="864" spans="1:21" ht="13.5" customHeight="1" x14ac:dyDescent="0.15">
      <c r="A864" s="68"/>
      <c r="B864" s="69"/>
      <c r="C864" s="69"/>
      <c r="D864" s="69"/>
      <c r="E864" s="69"/>
      <c r="F864" s="69"/>
      <c r="G864" s="69"/>
      <c r="H864" s="69"/>
      <c r="I864" s="69"/>
      <c r="J864" s="69"/>
      <c r="K864" s="69"/>
      <c r="L864" s="69"/>
      <c r="M864" s="69"/>
      <c r="N864" s="69"/>
      <c r="O864" s="65"/>
      <c r="P864" s="70" t="s">
        <v>5793</v>
      </c>
      <c r="Q864" s="65"/>
      <c r="R864" s="71">
        <v>44315</v>
      </c>
      <c r="S864" s="65"/>
      <c r="T864" s="70" t="s">
        <v>5794</v>
      </c>
      <c r="U864" s="65"/>
    </row>
    <row r="865" spans="1:21" ht="25.5" customHeight="1" x14ac:dyDescent="0.15">
      <c r="A865" s="61">
        <v>2436</v>
      </c>
      <c r="B865" s="67" t="s">
        <v>5795</v>
      </c>
      <c r="C865" s="65"/>
      <c r="D865" s="66">
        <v>37010</v>
      </c>
      <c r="E865" s="69"/>
      <c r="F865" s="65"/>
      <c r="G865" s="67" t="s">
        <v>5796</v>
      </c>
      <c r="H865" s="65"/>
      <c r="I865" s="64">
        <v>38209</v>
      </c>
      <c r="J865" s="65"/>
      <c r="K865" s="54">
        <v>2208</v>
      </c>
      <c r="L865" s="66">
        <v>1126</v>
      </c>
      <c r="M865" s="65"/>
      <c r="N865" s="73" t="s">
        <v>5797</v>
      </c>
      <c r="O865" s="65"/>
      <c r="P865" s="67" t="s">
        <v>5798</v>
      </c>
      <c r="Q865" s="65"/>
      <c r="R865" s="64">
        <v>38209</v>
      </c>
      <c r="S865" s="65"/>
      <c r="T865" s="67" t="s">
        <v>5799</v>
      </c>
      <c r="U865" s="65"/>
    </row>
    <row r="866" spans="1:21" ht="12.75" customHeight="1" x14ac:dyDescent="0.15">
      <c r="A866" s="68"/>
      <c r="B866" s="69"/>
      <c r="C866" s="69"/>
      <c r="D866" s="69"/>
      <c r="E866" s="69"/>
      <c r="F866" s="69"/>
      <c r="G866" s="69"/>
      <c r="H866" s="69"/>
      <c r="I866" s="69"/>
      <c r="J866" s="69"/>
      <c r="K866" s="69"/>
      <c r="L866" s="69"/>
      <c r="M866" s="69"/>
      <c r="N866" s="69"/>
      <c r="O866" s="65"/>
      <c r="P866" s="70" t="s">
        <v>5800</v>
      </c>
      <c r="Q866" s="65"/>
      <c r="R866" s="71">
        <v>38980</v>
      </c>
      <c r="S866" s="65"/>
      <c r="T866" s="70" t="s">
        <v>5801</v>
      </c>
      <c r="U866" s="65"/>
    </row>
    <row r="867" spans="1:21" ht="12.75" customHeight="1" x14ac:dyDescent="0.15">
      <c r="A867" s="68"/>
      <c r="B867" s="69"/>
      <c r="C867" s="69"/>
      <c r="D867" s="69"/>
      <c r="E867" s="69"/>
      <c r="F867" s="69"/>
      <c r="G867" s="69"/>
      <c r="H867" s="69"/>
      <c r="I867" s="69"/>
      <c r="J867" s="69"/>
      <c r="K867" s="69"/>
      <c r="L867" s="69"/>
      <c r="M867" s="69"/>
      <c r="N867" s="69"/>
      <c r="O867" s="65"/>
      <c r="P867" s="70" t="s">
        <v>5802</v>
      </c>
      <c r="Q867" s="65"/>
      <c r="R867" s="71">
        <v>42241</v>
      </c>
      <c r="S867" s="65"/>
      <c r="T867" s="70" t="s">
        <v>5803</v>
      </c>
      <c r="U867" s="65"/>
    </row>
    <row r="868" spans="1:21" ht="13.5" customHeight="1" x14ac:dyDescent="0.15">
      <c r="A868" s="68"/>
      <c r="B868" s="69"/>
      <c r="C868" s="69"/>
      <c r="D868" s="69"/>
      <c r="E868" s="69"/>
      <c r="F868" s="69"/>
      <c r="G868" s="69"/>
      <c r="H868" s="69"/>
      <c r="I868" s="69"/>
      <c r="J868" s="69"/>
      <c r="K868" s="69"/>
      <c r="L868" s="69"/>
      <c r="M868" s="69"/>
      <c r="N868" s="69"/>
      <c r="O868" s="65"/>
      <c r="P868" s="70" t="s">
        <v>5804</v>
      </c>
      <c r="Q868" s="65"/>
      <c r="R868" s="71">
        <v>42956</v>
      </c>
      <c r="S868" s="65"/>
      <c r="T868" s="70" t="s">
        <v>5805</v>
      </c>
      <c r="U868" s="65"/>
    </row>
    <row r="869" spans="1:21" ht="12.75" customHeight="1" x14ac:dyDescent="0.15">
      <c r="A869" s="68"/>
      <c r="B869" s="69"/>
      <c r="C869" s="69"/>
      <c r="D869" s="69"/>
      <c r="E869" s="69"/>
      <c r="F869" s="69"/>
      <c r="G869" s="69"/>
      <c r="H869" s="69"/>
      <c r="I869" s="69"/>
      <c r="J869" s="69"/>
      <c r="K869" s="69"/>
      <c r="L869" s="69"/>
      <c r="M869" s="69"/>
      <c r="N869" s="69"/>
      <c r="O869" s="65"/>
      <c r="P869" s="70" t="s">
        <v>5806</v>
      </c>
      <c r="Q869" s="65"/>
      <c r="R869" s="71">
        <v>43446</v>
      </c>
      <c r="S869" s="65"/>
      <c r="T869" s="70" t="s">
        <v>5807</v>
      </c>
      <c r="U869" s="65"/>
    </row>
    <row r="870" spans="1:21" ht="21" customHeight="1" x14ac:dyDescent="0.15">
      <c r="A870" s="60" t="s">
        <v>5808</v>
      </c>
      <c r="B870" s="72" t="s">
        <v>5809</v>
      </c>
      <c r="C870" s="65"/>
      <c r="D870" s="72" t="s">
        <v>5810</v>
      </c>
      <c r="E870" s="69"/>
      <c r="F870" s="65"/>
      <c r="G870" s="72" t="s">
        <v>5811</v>
      </c>
      <c r="H870" s="65"/>
      <c r="I870" s="72" t="s">
        <v>5812</v>
      </c>
      <c r="J870" s="65"/>
      <c r="K870" s="60" t="s">
        <v>5813</v>
      </c>
      <c r="L870" s="72" t="s">
        <v>5814</v>
      </c>
      <c r="M870" s="65"/>
      <c r="N870" s="72" t="s">
        <v>5815</v>
      </c>
      <c r="O870" s="65"/>
      <c r="P870" s="72" t="s">
        <v>5816</v>
      </c>
      <c r="Q870" s="65"/>
      <c r="R870" s="72" t="s">
        <v>5817</v>
      </c>
      <c r="S870" s="65"/>
      <c r="T870" s="72" t="s">
        <v>5818</v>
      </c>
      <c r="U870" s="65"/>
    </row>
    <row r="871" spans="1:21" ht="25.5" customHeight="1" x14ac:dyDescent="0.15">
      <c r="A871" s="61">
        <v>2437</v>
      </c>
      <c r="B871" s="67" t="s">
        <v>5819</v>
      </c>
      <c r="C871" s="65"/>
      <c r="D871" s="67" t="s">
        <v>5820</v>
      </c>
      <c r="E871" s="69"/>
      <c r="F871" s="65"/>
      <c r="G871" s="67" t="s">
        <v>5821</v>
      </c>
      <c r="H871" s="65"/>
      <c r="I871" s="64">
        <v>38210</v>
      </c>
      <c r="J871" s="65"/>
      <c r="K871" s="54">
        <v>1125</v>
      </c>
      <c r="L871" s="66">
        <v>1124</v>
      </c>
      <c r="M871" s="65"/>
      <c r="N871" s="70" t="s">
        <v>5822</v>
      </c>
      <c r="O871" s="65"/>
      <c r="P871" s="67" t="s">
        <v>5823</v>
      </c>
      <c r="Q871" s="65"/>
      <c r="R871" s="64">
        <v>38210</v>
      </c>
      <c r="S871" s="65"/>
      <c r="T871" s="67" t="s">
        <v>5824</v>
      </c>
      <c r="U871" s="65"/>
    </row>
    <row r="872" spans="1:21" ht="12.75" customHeight="1" x14ac:dyDescent="0.15">
      <c r="A872" s="68"/>
      <c r="B872" s="69"/>
      <c r="C872" s="69"/>
      <c r="D872" s="69"/>
      <c r="E872" s="69"/>
      <c r="F872" s="69"/>
      <c r="G872" s="69"/>
      <c r="H872" s="69"/>
      <c r="I872" s="69"/>
      <c r="J872" s="69"/>
      <c r="K872" s="69"/>
      <c r="L872" s="69"/>
      <c r="M872" s="69"/>
      <c r="N872" s="69"/>
      <c r="O872" s="65"/>
      <c r="P872" s="70" t="s">
        <v>5825</v>
      </c>
      <c r="Q872" s="65"/>
      <c r="R872" s="71">
        <v>38213</v>
      </c>
      <c r="S872" s="65"/>
      <c r="T872" s="70" t="s">
        <v>5826</v>
      </c>
      <c r="U872" s="65"/>
    </row>
    <row r="873" spans="1:21" ht="24.75" customHeight="1" x14ac:dyDescent="0.15">
      <c r="A873" s="61">
        <v>2438</v>
      </c>
      <c r="B873" s="67" t="s">
        <v>5827</v>
      </c>
      <c r="C873" s="65"/>
      <c r="D873" s="67" t="s">
        <v>5828</v>
      </c>
      <c r="E873" s="69"/>
      <c r="F873" s="65"/>
      <c r="G873" s="67" t="s">
        <v>5829</v>
      </c>
      <c r="H873" s="65"/>
      <c r="I873" s="64">
        <v>38210</v>
      </c>
      <c r="J873" s="65"/>
      <c r="K873" s="54">
        <v>1125</v>
      </c>
      <c r="L873" s="66">
        <v>1124</v>
      </c>
      <c r="M873" s="65"/>
      <c r="N873" s="70" t="s">
        <v>5830</v>
      </c>
      <c r="O873" s="65"/>
      <c r="P873" s="67" t="s">
        <v>5831</v>
      </c>
      <c r="Q873" s="65"/>
      <c r="R873" s="64">
        <v>38210</v>
      </c>
      <c r="S873" s="65"/>
      <c r="T873" s="67" t="s">
        <v>5832</v>
      </c>
      <c r="U873" s="65"/>
    </row>
    <row r="874" spans="1:21" ht="12.75" customHeight="1" x14ac:dyDescent="0.15">
      <c r="A874" s="68"/>
      <c r="B874" s="69"/>
      <c r="C874" s="69"/>
      <c r="D874" s="69"/>
      <c r="E874" s="69"/>
      <c r="F874" s="69"/>
      <c r="G874" s="69"/>
      <c r="H874" s="69"/>
      <c r="I874" s="69"/>
      <c r="J874" s="69"/>
      <c r="K874" s="69"/>
      <c r="L874" s="69"/>
      <c r="M874" s="69"/>
      <c r="N874" s="69"/>
      <c r="O874" s="65"/>
      <c r="P874" s="70" t="s">
        <v>5833</v>
      </c>
      <c r="Q874" s="65"/>
      <c r="R874" s="71">
        <v>38213</v>
      </c>
      <c r="S874" s="65"/>
      <c r="T874" s="70" t="s">
        <v>5834</v>
      </c>
      <c r="U874" s="65"/>
    </row>
    <row r="875" spans="1:21" ht="25.5" customHeight="1" x14ac:dyDescent="0.15">
      <c r="A875" s="61">
        <v>2439</v>
      </c>
      <c r="B875" s="67" t="s">
        <v>5835</v>
      </c>
      <c r="C875" s="65"/>
      <c r="D875" s="66">
        <v>106789</v>
      </c>
      <c r="E875" s="69"/>
      <c r="F875" s="65"/>
      <c r="G875" s="67" t="s">
        <v>5836</v>
      </c>
      <c r="H875" s="65"/>
      <c r="I875" s="64">
        <v>38221</v>
      </c>
      <c r="J875" s="65"/>
      <c r="K875" s="54">
        <v>2338</v>
      </c>
      <c r="L875" s="66">
        <v>2340</v>
      </c>
      <c r="M875" s="65"/>
      <c r="N875" s="70" t="s">
        <v>5837</v>
      </c>
      <c r="O875" s="65"/>
      <c r="P875" s="67" t="s">
        <v>5838</v>
      </c>
      <c r="Q875" s="65"/>
      <c r="R875" s="64">
        <v>38221</v>
      </c>
      <c r="S875" s="65"/>
      <c r="T875" s="67" t="s">
        <v>5839</v>
      </c>
      <c r="U875" s="65"/>
    </row>
    <row r="876" spans="1:21" ht="13.5" customHeight="1" x14ac:dyDescent="0.15">
      <c r="A876" s="68"/>
      <c r="B876" s="69"/>
      <c r="C876" s="69"/>
      <c r="D876" s="69"/>
      <c r="E876" s="69"/>
      <c r="F876" s="69"/>
      <c r="G876" s="69"/>
      <c r="H876" s="69"/>
      <c r="I876" s="69"/>
      <c r="J876" s="69"/>
      <c r="K876" s="69"/>
      <c r="L876" s="69"/>
      <c r="M876" s="69"/>
      <c r="N876" s="69"/>
      <c r="O876" s="65"/>
      <c r="P876" s="70" t="s">
        <v>5840</v>
      </c>
      <c r="Q876" s="65"/>
      <c r="R876" s="71">
        <v>38226</v>
      </c>
      <c r="S876" s="65"/>
      <c r="T876" s="70" t="s">
        <v>5841</v>
      </c>
      <c r="U876" s="65"/>
    </row>
    <row r="877" spans="1:21" ht="25.5" customHeight="1" x14ac:dyDescent="0.15">
      <c r="A877" s="61">
        <v>2440</v>
      </c>
      <c r="B877" s="67" t="s">
        <v>5842</v>
      </c>
      <c r="C877" s="65"/>
      <c r="D877" s="66">
        <v>106790</v>
      </c>
      <c r="E877" s="69"/>
      <c r="F877" s="65"/>
      <c r="G877" s="67" t="s">
        <v>5843</v>
      </c>
      <c r="H877" s="65"/>
      <c r="I877" s="64">
        <v>38221</v>
      </c>
      <c r="J877" s="65"/>
      <c r="K877" s="54">
        <v>2338</v>
      </c>
      <c r="L877" s="66">
        <v>2340</v>
      </c>
      <c r="M877" s="65"/>
      <c r="N877" s="73" t="s">
        <v>5844</v>
      </c>
      <c r="O877" s="65"/>
      <c r="P877" s="67" t="s">
        <v>5845</v>
      </c>
      <c r="Q877" s="65"/>
      <c r="R877" s="64">
        <v>38221</v>
      </c>
      <c r="S877" s="65"/>
      <c r="T877" s="67" t="s">
        <v>5846</v>
      </c>
      <c r="U877" s="65"/>
    </row>
    <row r="878" spans="1:21" ht="12.75" customHeight="1" x14ac:dyDescent="0.15">
      <c r="A878" s="68"/>
      <c r="B878" s="69"/>
      <c r="C878" s="69"/>
      <c r="D878" s="69"/>
      <c r="E878" s="69"/>
      <c r="F878" s="69"/>
      <c r="G878" s="69"/>
      <c r="H878" s="69"/>
      <c r="I878" s="69"/>
      <c r="J878" s="69"/>
      <c r="K878" s="69"/>
      <c r="L878" s="69"/>
      <c r="M878" s="69"/>
      <c r="N878" s="69"/>
      <c r="O878" s="65"/>
      <c r="P878" s="70" t="s">
        <v>5847</v>
      </c>
      <c r="Q878" s="65"/>
      <c r="R878" s="71">
        <v>38221</v>
      </c>
      <c r="S878" s="65"/>
      <c r="T878" s="70" t="s">
        <v>5848</v>
      </c>
      <c r="U878" s="65"/>
    </row>
    <row r="879" spans="1:21" ht="25.5" customHeight="1" x14ac:dyDescent="0.15">
      <c r="A879" s="61">
        <v>2441</v>
      </c>
      <c r="B879" s="67" t="s">
        <v>5849</v>
      </c>
      <c r="C879" s="65"/>
      <c r="D879" s="66">
        <v>505007</v>
      </c>
      <c r="E879" s="69"/>
      <c r="F879" s="65"/>
      <c r="G879" s="67" t="s">
        <v>5850</v>
      </c>
      <c r="H879" s="65"/>
      <c r="I879" s="64">
        <v>38375</v>
      </c>
      <c r="J879" s="65"/>
      <c r="K879" s="54">
        <v>1108</v>
      </c>
      <c r="L879" s="66">
        <v>1146</v>
      </c>
      <c r="M879" s="65"/>
      <c r="N879" s="70" t="s">
        <v>5851</v>
      </c>
      <c r="O879" s="65"/>
      <c r="P879" s="67" t="s">
        <v>5852</v>
      </c>
      <c r="Q879" s="65"/>
      <c r="R879" s="64">
        <v>38375</v>
      </c>
      <c r="S879" s="65"/>
      <c r="T879" s="67" t="s">
        <v>5853</v>
      </c>
      <c r="U879" s="65"/>
    </row>
    <row r="880" spans="1:21" ht="12.75" customHeight="1" x14ac:dyDescent="0.15">
      <c r="A880" s="68"/>
      <c r="B880" s="69"/>
      <c r="C880" s="69"/>
      <c r="D880" s="69"/>
      <c r="E880" s="69"/>
      <c r="F880" s="69"/>
      <c r="G880" s="69"/>
      <c r="H880" s="69"/>
      <c r="I880" s="69"/>
      <c r="J880" s="69"/>
      <c r="K880" s="69"/>
      <c r="L880" s="69"/>
      <c r="M880" s="69"/>
      <c r="N880" s="69"/>
      <c r="O880" s="65"/>
      <c r="P880" s="70" t="s">
        <v>5854</v>
      </c>
      <c r="Q880" s="65"/>
      <c r="R880" s="71">
        <v>38375</v>
      </c>
      <c r="S880" s="65"/>
      <c r="T880" s="70" t="s">
        <v>5855</v>
      </c>
      <c r="U880" s="65"/>
    </row>
    <row r="881" spans="1:21" ht="25.5" customHeight="1" x14ac:dyDescent="0.15">
      <c r="A881" s="61">
        <v>2442</v>
      </c>
      <c r="B881" s="67" t="s">
        <v>5856</v>
      </c>
      <c r="C881" s="65"/>
      <c r="D881" s="66">
        <v>505008</v>
      </c>
      <c r="E881" s="69"/>
      <c r="F881" s="65"/>
      <c r="G881" s="67" t="s">
        <v>5857</v>
      </c>
      <c r="H881" s="65"/>
      <c r="I881" s="64">
        <v>38375</v>
      </c>
      <c r="J881" s="65"/>
      <c r="K881" s="54">
        <v>1108</v>
      </c>
      <c r="L881" s="66">
        <v>1146</v>
      </c>
      <c r="M881" s="65"/>
      <c r="N881" s="73" t="s">
        <v>5858</v>
      </c>
      <c r="O881" s="65"/>
      <c r="P881" s="67" t="s">
        <v>5859</v>
      </c>
      <c r="Q881" s="65"/>
      <c r="R881" s="64">
        <v>38375</v>
      </c>
      <c r="S881" s="65"/>
      <c r="T881" s="67" t="s">
        <v>5860</v>
      </c>
      <c r="U881" s="65"/>
    </row>
    <row r="882" spans="1:21" ht="12.75" customHeight="1" x14ac:dyDescent="0.15">
      <c r="A882" s="68"/>
      <c r="B882" s="69"/>
      <c r="C882" s="69"/>
      <c r="D882" s="69"/>
      <c r="E882" s="69"/>
      <c r="F882" s="69"/>
      <c r="G882" s="69"/>
      <c r="H882" s="69"/>
      <c r="I882" s="69"/>
      <c r="J882" s="69"/>
      <c r="K882" s="69"/>
      <c r="L882" s="69"/>
      <c r="M882" s="69"/>
      <c r="N882" s="69"/>
      <c r="O882" s="65"/>
      <c r="P882" s="70" t="s">
        <v>5861</v>
      </c>
      <c r="Q882" s="65"/>
      <c r="R882" s="71">
        <v>38375</v>
      </c>
      <c r="S882" s="65"/>
      <c r="T882" s="70" t="s">
        <v>5862</v>
      </c>
      <c r="U882" s="65"/>
    </row>
    <row r="883" spans="1:21" ht="25.5" customHeight="1" x14ac:dyDescent="0.15">
      <c r="A883" s="61">
        <v>2444</v>
      </c>
      <c r="B883" s="67" t="s">
        <v>5863</v>
      </c>
      <c r="C883" s="65"/>
      <c r="D883" s="67" t="s">
        <v>5864</v>
      </c>
      <c r="E883" s="69"/>
      <c r="F883" s="65"/>
      <c r="G883" s="67" t="s">
        <v>5865</v>
      </c>
      <c r="H883" s="65"/>
      <c r="I883" s="64">
        <v>38398</v>
      </c>
      <c r="J883" s="65"/>
      <c r="K883" s="54">
        <v>2337</v>
      </c>
      <c r="L883" s="66">
        <v>2341</v>
      </c>
      <c r="M883" s="65"/>
      <c r="N883" s="70" t="s">
        <v>5866</v>
      </c>
      <c r="O883" s="65"/>
      <c r="P883" s="67" t="s">
        <v>5867</v>
      </c>
      <c r="Q883" s="65"/>
      <c r="R883" s="64">
        <v>38398</v>
      </c>
      <c r="S883" s="65"/>
      <c r="T883" s="67" t="s">
        <v>5868</v>
      </c>
      <c r="U883" s="65"/>
    </row>
    <row r="884" spans="1:21" ht="13.5" customHeight="1" x14ac:dyDescent="0.15">
      <c r="A884" s="68"/>
      <c r="B884" s="69"/>
      <c r="C884" s="69"/>
      <c r="D884" s="69"/>
      <c r="E884" s="69"/>
      <c r="F884" s="69"/>
      <c r="G884" s="69"/>
      <c r="H884" s="69"/>
      <c r="I884" s="69"/>
      <c r="J884" s="69"/>
      <c r="K884" s="69"/>
      <c r="L884" s="69"/>
      <c r="M884" s="69"/>
      <c r="N884" s="69"/>
      <c r="O884" s="65"/>
      <c r="P884" s="70" t="s">
        <v>5869</v>
      </c>
      <c r="Q884" s="65"/>
      <c r="R884" s="71">
        <v>39602</v>
      </c>
      <c r="S884" s="65"/>
      <c r="T884" s="70" t="s">
        <v>5870</v>
      </c>
      <c r="U884" s="65"/>
    </row>
    <row r="885" spans="1:21" ht="12.75" customHeight="1" x14ac:dyDescent="0.15">
      <c r="A885" s="68"/>
      <c r="B885" s="69"/>
      <c r="C885" s="69"/>
      <c r="D885" s="69"/>
      <c r="E885" s="69"/>
      <c r="F885" s="69"/>
      <c r="G885" s="69"/>
      <c r="H885" s="69"/>
      <c r="I885" s="69"/>
      <c r="J885" s="69"/>
      <c r="K885" s="69"/>
      <c r="L885" s="69"/>
      <c r="M885" s="69"/>
      <c r="N885" s="69"/>
      <c r="O885" s="65"/>
      <c r="P885" s="70" t="s">
        <v>5871</v>
      </c>
      <c r="Q885" s="65"/>
      <c r="R885" s="71">
        <v>40484</v>
      </c>
      <c r="S885" s="65"/>
      <c r="T885" s="70" t="s">
        <v>5872</v>
      </c>
      <c r="U885" s="65"/>
    </row>
    <row r="886" spans="1:21" ht="12.75" customHeight="1" x14ac:dyDescent="0.15">
      <c r="A886" s="68"/>
      <c r="B886" s="69"/>
      <c r="C886" s="69"/>
      <c r="D886" s="69"/>
      <c r="E886" s="69"/>
      <c r="F886" s="69"/>
      <c r="G886" s="69"/>
      <c r="H886" s="69"/>
      <c r="I886" s="69"/>
      <c r="J886" s="69"/>
      <c r="K886" s="69"/>
      <c r="L886" s="69"/>
      <c r="M886" s="69"/>
      <c r="N886" s="69"/>
      <c r="O886" s="65"/>
      <c r="P886" s="70" t="s">
        <v>5873</v>
      </c>
      <c r="Q886" s="65"/>
      <c r="R886" s="71">
        <v>42575</v>
      </c>
      <c r="S886" s="65"/>
      <c r="T886" s="70" t="s">
        <v>5874</v>
      </c>
      <c r="U886" s="65"/>
    </row>
    <row r="887" spans="1:21" ht="25.5" customHeight="1" x14ac:dyDescent="0.15">
      <c r="A887" s="61">
        <v>2445</v>
      </c>
      <c r="B887" s="67" t="s">
        <v>5875</v>
      </c>
      <c r="C887" s="65"/>
      <c r="D887" s="67" t="s">
        <v>5876</v>
      </c>
      <c r="E887" s="69"/>
      <c r="F887" s="65"/>
      <c r="G887" s="67" t="s">
        <v>5877</v>
      </c>
      <c r="H887" s="65"/>
      <c r="I887" s="64">
        <v>38441</v>
      </c>
      <c r="J887" s="65"/>
      <c r="K887" s="54">
        <v>1125</v>
      </c>
      <c r="L887" s="66">
        <v>1124</v>
      </c>
      <c r="M887" s="65"/>
      <c r="N887" s="70" t="s">
        <v>5878</v>
      </c>
      <c r="O887" s="65"/>
      <c r="P887" s="67" t="s">
        <v>5879</v>
      </c>
      <c r="Q887" s="65"/>
      <c r="R887" s="64">
        <v>38441</v>
      </c>
      <c r="S887" s="65"/>
      <c r="T887" s="67" t="s">
        <v>5880</v>
      </c>
      <c r="U887" s="65"/>
    </row>
    <row r="888" spans="1:21" ht="13.5" customHeight="1" x14ac:dyDescent="0.15">
      <c r="A888" s="68"/>
      <c r="B888" s="69"/>
      <c r="C888" s="69"/>
      <c r="D888" s="69"/>
      <c r="E888" s="69"/>
      <c r="F888" s="69"/>
      <c r="G888" s="69"/>
      <c r="H888" s="69"/>
      <c r="I888" s="69"/>
      <c r="J888" s="69"/>
      <c r="K888" s="69"/>
      <c r="L888" s="69"/>
      <c r="M888" s="69"/>
      <c r="N888" s="69"/>
      <c r="O888" s="65"/>
      <c r="P888" s="70" t="s">
        <v>5881</v>
      </c>
      <c r="Q888" s="65"/>
      <c r="R888" s="71">
        <v>38443</v>
      </c>
      <c r="S888" s="65"/>
      <c r="T888" s="70" t="s">
        <v>5882</v>
      </c>
      <c r="U888" s="65"/>
    </row>
    <row r="889" spans="1:21" ht="25.5" customHeight="1" x14ac:dyDescent="0.15">
      <c r="A889" s="61">
        <v>2446</v>
      </c>
      <c r="B889" s="67" t="s">
        <v>5883</v>
      </c>
      <c r="C889" s="65"/>
      <c r="D889" s="67" t="s">
        <v>5884</v>
      </c>
      <c r="E889" s="69"/>
      <c r="F889" s="65"/>
      <c r="G889" s="67" t="s">
        <v>5885</v>
      </c>
      <c r="H889" s="65"/>
      <c r="I889" s="64">
        <v>38443</v>
      </c>
      <c r="J889" s="65"/>
      <c r="K889" s="54">
        <v>1125</v>
      </c>
      <c r="L889" s="66">
        <v>1124</v>
      </c>
      <c r="M889" s="65"/>
      <c r="N889" s="73" t="s">
        <v>5886</v>
      </c>
      <c r="O889" s="65"/>
      <c r="P889" s="67" t="s">
        <v>5887</v>
      </c>
      <c r="Q889" s="65"/>
      <c r="R889" s="64">
        <v>38443</v>
      </c>
      <c r="S889" s="65"/>
      <c r="T889" s="67" t="s">
        <v>5888</v>
      </c>
      <c r="U889" s="65"/>
    </row>
    <row r="890" spans="1:21" ht="12.75" customHeight="1" x14ac:dyDescent="0.15">
      <c r="A890" s="68"/>
      <c r="B890" s="69"/>
      <c r="C890" s="69"/>
      <c r="D890" s="69"/>
      <c r="E890" s="69"/>
      <c r="F890" s="69"/>
      <c r="G890" s="69"/>
      <c r="H890" s="69"/>
      <c r="I890" s="69"/>
      <c r="J890" s="69"/>
      <c r="K890" s="69"/>
      <c r="L890" s="69"/>
      <c r="M890" s="69"/>
      <c r="N890" s="69"/>
      <c r="O890" s="65"/>
      <c r="P890" s="70" t="s">
        <v>5889</v>
      </c>
      <c r="Q890" s="65"/>
      <c r="R890" s="71">
        <v>38443</v>
      </c>
      <c r="S890" s="65"/>
      <c r="T890" s="70" t="s">
        <v>5890</v>
      </c>
      <c r="U890" s="65"/>
    </row>
    <row r="891" spans="1:21" ht="25.5" customHeight="1" x14ac:dyDescent="0.15">
      <c r="A891" s="61">
        <v>2447</v>
      </c>
      <c r="B891" s="67" t="s">
        <v>5891</v>
      </c>
      <c r="C891" s="65"/>
      <c r="D891" s="66">
        <v>107007</v>
      </c>
      <c r="E891" s="69"/>
      <c r="F891" s="65"/>
      <c r="G891" s="67" t="s">
        <v>5892</v>
      </c>
      <c r="H891" s="65"/>
      <c r="I891" s="64">
        <v>38451</v>
      </c>
      <c r="J891" s="65"/>
      <c r="K891" s="54">
        <v>2338</v>
      </c>
      <c r="L891" s="66">
        <v>2340</v>
      </c>
      <c r="M891" s="65"/>
      <c r="N891" s="70" t="s">
        <v>5893</v>
      </c>
      <c r="O891" s="65"/>
      <c r="P891" s="67" t="s">
        <v>5894</v>
      </c>
      <c r="Q891" s="65"/>
      <c r="R891" s="64">
        <v>38451</v>
      </c>
      <c r="S891" s="65"/>
      <c r="T891" s="67" t="s">
        <v>5895</v>
      </c>
      <c r="U891" s="65"/>
    </row>
    <row r="892" spans="1:21" ht="13.5" customHeight="1" x14ac:dyDescent="0.15">
      <c r="A892" s="68"/>
      <c r="B892" s="69"/>
      <c r="C892" s="69"/>
      <c r="D892" s="69"/>
      <c r="E892" s="69"/>
      <c r="F892" s="69"/>
      <c r="G892" s="69"/>
      <c r="H892" s="69"/>
      <c r="I892" s="69"/>
      <c r="J892" s="69"/>
      <c r="K892" s="69"/>
      <c r="L892" s="69"/>
      <c r="M892" s="69"/>
      <c r="N892" s="69"/>
      <c r="O892" s="65"/>
      <c r="P892" s="70" t="s">
        <v>5896</v>
      </c>
      <c r="Q892" s="65"/>
      <c r="R892" s="71">
        <v>38451</v>
      </c>
      <c r="S892" s="65"/>
      <c r="T892" s="70" t="s">
        <v>5897</v>
      </c>
      <c r="U892" s="65"/>
    </row>
    <row r="893" spans="1:21" ht="25.5" customHeight="1" x14ac:dyDescent="0.15">
      <c r="A893" s="61">
        <v>2448</v>
      </c>
      <c r="B893" s="67" t="s">
        <v>5898</v>
      </c>
      <c r="C893" s="65"/>
      <c r="D893" s="66">
        <v>107008</v>
      </c>
      <c r="E893" s="69"/>
      <c r="F893" s="65"/>
      <c r="G893" s="67" t="s">
        <v>5899</v>
      </c>
      <c r="H893" s="65"/>
      <c r="I893" s="64">
        <v>38451</v>
      </c>
      <c r="J893" s="65"/>
      <c r="K893" s="54">
        <v>2338</v>
      </c>
      <c r="L893" s="66">
        <v>2340</v>
      </c>
      <c r="M893" s="65"/>
      <c r="N893" s="73" t="s">
        <v>5900</v>
      </c>
      <c r="O893" s="65"/>
      <c r="P893" s="67" t="s">
        <v>5901</v>
      </c>
      <c r="Q893" s="65"/>
      <c r="R893" s="64">
        <v>38451</v>
      </c>
      <c r="S893" s="65"/>
      <c r="T893" s="67" t="s">
        <v>5902</v>
      </c>
      <c r="U893" s="65"/>
    </row>
    <row r="894" spans="1:21" ht="12.75" customHeight="1" x14ac:dyDescent="0.15">
      <c r="A894" s="68"/>
      <c r="B894" s="69"/>
      <c r="C894" s="69"/>
      <c r="D894" s="69"/>
      <c r="E894" s="69"/>
      <c r="F894" s="69"/>
      <c r="G894" s="69"/>
      <c r="H894" s="69"/>
      <c r="I894" s="69"/>
      <c r="J894" s="69"/>
      <c r="K894" s="69"/>
      <c r="L894" s="69"/>
      <c r="M894" s="69"/>
      <c r="N894" s="69"/>
      <c r="O894" s="65"/>
      <c r="P894" s="70" t="s">
        <v>5903</v>
      </c>
      <c r="Q894" s="65"/>
      <c r="R894" s="71">
        <v>38451</v>
      </c>
      <c r="S894" s="65"/>
      <c r="T894" s="70" t="s">
        <v>5904</v>
      </c>
      <c r="U894" s="65"/>
    </row>
    <row r="895" spans="1:21" ht="25.5" customHeight="1" x14ac:dyDescent="0.15">
      <c r="A895" s="61">
        <v>2449</v>
      </c>
      <c r="B895" s="67" t="s">
        <v>5905</v>
      </c>
      <c r="C895" s="65"/>
      <c r="D895" s="66">
        <v>200739</v>
      </c>
      <c r="E895" s="69"/>
      <c r="F895" s="65"/>
      <c r="G895" s="67" t="s">
        <v>5906</v>
      </c>
      <c r="H895" s="65"/>
      <c r="I895" s="64">
        <v>38612</v>
      </c>
      <c r="J895" s="65"/>
      <c r="K895" s="54">
        <v>1108</v>
      </c>
      <c r="L895" s="66">
        <v>1146</v>
      </c>
      <c r="M895" s="65"/>
      <c r="N895" s="73" t="s">
        <v>5907</v>
      </c>
      <c r="O895" s="65"/>
      <c r="P895" s="67" t="s">
        <v>5908</v>
      </c>
      <c r="Q895" s="65"/>
      <c r="R895" s="64">
        <v>38612</v>
      </c>
      <c r="S895" s="65"/>
      <c r="T895" s="67" t="s">
        <v>5909</v>
      </c>
      <c r="U895" s="65"/>
    </row>
    <row r="896" spans="1:21" ht="12.75" customHeight="1" x14ac:dyDescent="0.15">
      <c r="A896" s="68"/>
      <c r="B896" s="69"/>
      <c r="C896" s="69"/>
      <c r="D896" s="69"/>
      <c r="E896" s="69"/>
      <c r="F896" s="69"/>
      <c r="G896" s="69"/>
      <c r="H896" s="69"/>
      <c r="I896" s="69"/>
      <c r="J896" s="69"/>
      <c r="K896" s="69"/>
      <c r="L896" s="69"/>
      <c r="M896" s="69"/>
      <c r="N896" s="69"/>
      <c r="O896" s="65"/>
      <c r="P896" s="70" t="s">
        <v>5910</v>
      </c>
      <c r="Q896" s="65"/>
      <c r="R896" s="71">
        <v>38960</v>
      </c>
      <c r="S896" s="65"/>
      <c r="T896" s="70" t="s">
        <v>5911</v>
      </c>
      <c r="U896" s="65"/>
    </row>
    <row r="897" spans="1:21" ht="13.5" customHeight="1" x14ac:dyDescent="0.15">
      <c r="A897" s="68"/>
      <c r="B897" s="69"/>
      <c r="C897" s="69"/>
      <c r="D897" s="69"/>
      <c r="E897" s="69"/>
      <c r="F897" s="69"/>
      <c r="G897" s="69"/>
      <c r="H897" s="69"/>
      <c r="I897" s="69"/>
      <c r="J897" s="69"/>
      <c r="K897" s="69"/>
      <c r="L897" s="69"/>
      <c r="M897" s="69"/>
      <c r="N897" s="69"/>
      <c r="O897" s="65"/>
      <c r="P897" s="70" t="s">
        <v>5912</v>
      </c>
      <c r="Q897" s="65"/>
      <c r="R897" s="71">
        <v>42931</v>
      </c>
      <c r="S897" s="65"/>
      <c r="T897" s="70" t="s">
        <v>5913</v>
      </c>
      <c r="U897" s="65"/>
    </row>
    <row r="898" spans="1:21" ht="25.5" customHeight="1" x14ac:dyDescent="0.15">
      <c r="A898" s="61">
        <v>2450</v>
      </c>
      <c r="B898" s="67" t="s">
        <v>5914</v>
      </c>
      <c r="C898" s="65"/>
      <c r="D898" s="66">
        <v>202198</v>
      </c>
      <c r="E898" s="69"/>
      <c r="F898" s="65"/>
      <c r="G898" s="67" t="s">
        <v>5915</v>
      </c>
      <c r="H898" s="65"/>
      <c r="I898" s="64">
        <v>38612</v>
      </c>
      <c r="J898" s="65"/>
      <c r="K898" s="54">
        <v>1108</v>
      </c>
      <c r="L898" s="66">
        <v>1146</v>
      </c>
      <c r="M898" s="65"/>
      <c r="N898" s="73" t="s">
        <v>5916</v>
      </c>
      <c r="O898" s="65"/>
      <c r="P898" s="67" t="s">
        <v>5917</v>
      </c>
      <c r="Q898" s="65"/>
      <c r="R898" s="64">
        <v>38612</v>
      </c>
      <c r="S898" s="65"/>
      <c r="T898" s="67" t="s">
        <v>5918</v>
      </c>
      <c r="U898" s="65"/>
    </row>
    <row r="899" spans="1:21" ht="12.75" customHeight="1" x14ac:dyDescent="0.15">
      <c r="A899" s="68"/>
      <c r="B899" s="69"/>
      <c r="C899" s="69"/>
      <c r="D899" s="69"/>
      <c r="E899" s="69"/>
      <c r="F899" s="69"/>
      <c r="G899" s="69"/>
      <c r="H899" s="69"/>
      <c r="I899" s="69"/>
      <c r="J899" s="69"/>
      <c r="K899" s="69"/>
      <c r="L899" s="69"/>
      <c r="M899" s="69"/>
      <c r="N899" s="69"/>
      <c r="O899" s="65"/>
      <c r="P899" s="70" t="s">
        <v>5919</v>
      </c>
      <c r="Q899" s="65"/>
      <c r="R899" s="71">
        <v>39777</v>
      </c>
      <c r="S899" s="65"/>
      <c r="T899" s="70" t="s">
        <v>5920</v>
      </c>
      <c r="U899" s="65"/>
    </row>
    <row r="900" spans="1:21" ht="21" customHeight="1" x14ac:dyDescent="0.15">
      <c r="A900" s="60" t="s">
        <v>5921</v>
      </c>
      <c r="B900" s="72" t="s">
        <v>5922</v>
      </c>
      <c r="C900" s="65"/>
      <c r="D900" s="72" t="s">
        <v>5923</v>
      </c>
      <c r="E900" s="69"/>
      <c r="F900" s="65"/>
      <c r="G900" s="72" t="s">
        <v>5924</v>
      </c>
      <c r="H900" s="65"/>
      <c r="I900" s="72" t="s">
        <v>5925</v>
      </c>
      <c r="J900" s="65"/>
      <c r="K900" s="60" t="s">
        <v>5926</v>
      </c>
      <c r="L900" s="72" t="s">
        <v>5927</v>
      </c>
      <c r="M900" s="65"/>
      <c r="N900" s="72" t="s">
        <v>5928</v>
      </c>
      <c r="O900" s="65"/>
      <c r="P900" s="72" t="s">
        <v>5929</v>
      </c>
      <c r="Q900" s="65"/>
      <c r="R900" s="72" t="s">
        <v>5930</v>
      </c>
      <c r="S900" s="65"/>
      <c r="T900" s="72" t="s">
        <v>5931</v>
      </c>
      <c r="U900" s="65"/>
    </row>
    <row r="901" spans="1:21" ht="13.5" customHeight="1" x14ac:dyDescent="0.15">
      <c r="A901" s="68"/>
      <c r="B901" s="69"/>
      <c r="C901" s="69"/>
      <c r="D901" s="69"/>
      <c r="E901" s="69"/>
      <c r="F901" s="69"/>
      <c r="G901" s="69"/>
      <c r="H901" s="69"/>
      <c r="I901" s="69"/>
      <c r="J901" s="69"/>
      <c r="K901" s="69"/>
      <c r="L901" s="69"/>
      <c r="M901" s="69"/>
      <c r="N901" s="69"/>
      <c r="O901" s="65"/>
      <c r="P901" s="70" t="s">
        <v>5932</v>
      </c>
      <c r="Q901" s="65"/>
      <c r="R901" s="71">
        <v>40823</v>
      </c>
      <c r="S901" s="65"/>
      <c r="T901" s="70" t="s">
        <v>5933</v>
      </c>
      <c r="U901" s="65"/>
    </row>
    <row r="902" spans="1:21" ht="12.75" customHeight="1" x14ac:dyDescent="0.15">
      <c r="A902" s="68"/>
      <c r="B902" s="69"/>
      <c r="C902" s="69"/>
      <c r="D902" s="69"/>
      <c r="E902" s="69"/>
      <c r="F902" s="69"/>
      <c r="G902" s="69"/>
      <c r="H902" s="69"/>
      <c r="I902" s="69"/>
      <c r="J902" s="69"/>
      <c r="K902" s="69"/>
      <c r="L902" s="69"/>
      <c r="M902" s="69"/>
      <c r="N902" s="69"/>
      <c r="O902" s="65"/>
      <c r="P902" s="70" t="s">
        <v>5934</v>
      </c>
      <c r="Q902" s="65"/>
      <c r="R902" s="71">
        <v>44119</v>
      </c>
      <c r="S902" s="65"/>
      <c r="T902" s="70" t="s">
        <v>5935</v>
      </c>
      <c r="U902" s="65"/>
    </row>
    <row r="903" spans="1:21" ht="24.75" customHeight="1" x14ac:dyDescent="0.15">
      <c r="A903" s="61">
        <v>2451</v>
      </c>
      <c r="B903" s="67" t="s">
        <v>5936</v>
      </c>
      <c r="C903" s="65"/>
      <c r="D903" s="67" t="s">
        <v>5937</v>
      </c>
      <c r="E903" s="69"/>
      <c r="F903" s="65"/>
      <c r="G903" s="67" t="s">
        <v>5938</v>
      </c>
      <c r="H903" s="65"/>
      <c r="I903" s="64">
        <v>38262</v>
      </c>
      <c r="J903" s="65"/>
      <c r="K903" s="54">
        <v>1103</v>
      </c>
      <c r="L903" s="66">
        <v>1097</v>
      </c>
      <c r="M903" s="65"/>
      <c r="N903" s="70" t="s">
        <v>5939</v>
      </c>
      <c r="O903" s="65"/>
      <c r="P903" s="67" t="s">
        <v>5940</v>
      </c>
      <c r="Q903" s="65"/>
      <c r="R903" s="64">
        <v>38262</v>
      </c>
      <c r="S903" s="65"/>
      <c r="T903" s="67" t="s">
        <v>5941</v>
      </c>
      <c r="U903" s="65"/>
    </row>
    <row r="904" spans="1:21" ht="12.75" customHeight="1" x14ac:dyDescent="0.15">
      <c r="A904" s="68"/>
      <c r="B904" s="69"/>
      <c r="C904" s="69"/>
      <c r="D904" s="69"/>
      <c r="E904" s="69"/>
      <c r="F904" s="69"/>
      <c r="G904" s="69"/>
      <c r="H904" s="69"/>
      <c r="I904" s="69"/>
      <c r="J904" s="69"/>
      <c r="K904" s="69"/>
      <c r="L904" s="69"/>
      <c r="M904" s="69"/>
      <c r="N904" s="69"/>
      <c r="O904" s="65"/>
      <c r="P904" s="70" t="s">
        <v>5942</v>
      </c>
      <c r="Q904" s="65"/>
      <c r="R904" s="71">
        <v>39723</v>
      </c>
      <c r="S904" s="65"/>
      <c r="T904" s="70" t="s">
        <v>5943</v>
      </c>
      <c r="U904" s="65"/>
    </row>
    <row r="905" spans="1:21" ht="13.5" customHeight="1" x14ac:dyDescent="0.15">
      <c r="A905" s="68"/>
      <c r="B905" s="69"/>
      <c r="C905" s="69"/>
      <c r="D905" s="69"/>
      <c r="E905" s="69"/>
      <c r="F905" s="69"/>
      <c r="G905" s="69"/>
      <c r="H905" s="69"/>
      <c r="I905" s="69"/>
      <c r="J905" s="69"/>
      <c r="K905" s="69"/>
      <c r="L905" s="69"/>
      <c r="M905" s="69"/>
      <c r="N905" s="69"/>
      <c r="O905" s="65"/>
      <c r="P905" s="70" t="s">
        <v>5944</v>
      </c>
      <c r="Q905" s="65"/>
      <c r="R905" s="71">
        <v>41593</v>
      </c>
      <c r="S905" s="65"/>
      <c r="T905" s="70" t="s">
        <v>5945</v>
      </c>
      <c r="U905" s="65"/>
    </row>
    <row r="906" spans="1:21" ht="12.75" customHeight="1" x14ac:dyDescent="0.15">
      <c r="A906" s="68"/>
      <c r="B906" s="69"/>
      <c r="C906" s="69"/>
      <c r="D906" s="69"/>
      <c r="E906" s="69"/>
      <c r="F906" s="69"/>
      <c r="G906" s="69"/>
      <c r="H906" s="69"/>
      <c r="I906" s="69"/>
      <c r="J906" s="69"/>
      <c r="K906" s="69"/>
      <c r="L906" s="69"/>
      <c r="M906" s="69"/>
      <c r="N906" s="69"/>
      <c r="O906" s="65"/>
      <c r="P906" s="70" t="s">
        <v>5946</v>
      </c>
      <c r="Q906" s="65"/>
      <c r="R906" s="71">
        <v>42405</v>
      </c>
      <c r="S906" s="65"/>
      <c r="T906" s="70" t="s">
        <v>5947</v>
      </c>
      <c r="U906" s="65"/>
    </row>
    <row r="907" spans="1:21" ht="24.75" customHeight="1" x14ac:dyDescent="0.15">
      <c r="A907" s="61">
        <v>2452</v>
      </c>
      <c r="B907" s="67" t="s">
        <v>5948</v>
      </c>
      <c r="C907" s="65"/>
      <c r="D907" s="75"/>
      <c r="E907" s="69"/>
      <c r="F907" s="65"/>
      <c r="G907" s="67" t="s">
        <v>5949</v>
      </c>
      <c r="H907" s="65"/>
      <c r="I907" s="64">
        <v>38710</v>
      </c>
      <c r="J907" s="65"/>
      <c r="K907" s="54">
        <v>1138</v>
      </c>
      <c r="L907" s="66">
        <v>2413</v>
      </c>
      <c r="M907" s="65"/>
      <c r="N907" s="70" t="s">
        <v>5950</v>
      </c>
      <c r="O907" s="65"/>
      <c r="P907" s="67" t="s">
        <v>5951</v>
      </c>
      <c r="Q907" s="65"/>
      <c r="R907" s="64">
        <v>38710</v>
      </c>
      <c r="S907" s="65"/>
      <c r="T907" s="67" t="s">
        <v>5952</v>
      </c>
      <c r="U907" s="65"/>
    </row>
    <row r="908" spans="1:21" ht="12.75" customHeight="1" x14ac:dyDescent="0.15">
      <c r="A908" s="78"/>
      <c r="B908" s="79"/>
      <c r="C908" s="79"/>
      <c r="D908" s="79"/>
      <c r="E908" s="79"/>
      <c r="F908" s="79"/>
      <c r="G908" s="79"/>
      <c r="H908" s="79"/>
      <c r="I908" s="79"/>
      <c r="J908" s="79"/>
      <c r="K908" s="79"/>
      <c r="L908" s="79"/>
      <c r="M908" s="79"/>
      <c r="N908" s="79"/>
      <c r="O908" s="80"/>
      <c r="P908" s="70" t="s">
        <v>5953</v>
      </c>
      <c r="Q908" s="65"/>
      <c r="R908" s="71">
        <v>38710</v>
      </c>
      <c r="S908" s="65"/>
      <c r="T908" s="70" t="s">
        <v>5954</v>
      </c>
      <c r="U908" s="65"/>
    </row>
    <row r="909" spans="1:21" ht="25.5" customHeight="1" x14ac:dyDescent="0.15">
      <c r="A909" s="61">
        <v>2490</v>
      </c>
      <c r="B909" s="67" t="s">
        <v>5955</v>
      </c>
      <c r="C909" s="65"/>
      <c r="D909" s="67" t="s">
        <v>5956</v>
      </c>
      <c r="E909" s="69"/>
      <c r="F909" s="65"/>
      <c r="G909" s="67" t="s">
        <v>5957</v>
      </c>
      <c r="H909" s="65"/>
      <c r="I909" s="64">
        <v>38219</v>
      </c>
      <c r="J909" s="65"/>
      <c r="K909" s="54">
        <v>1138</v>
      </c>
      <c r="L909" s="66">
        <v>2413</v>
      </c>
      <c r="M909" s="65"/>
      <c r="N909" s="70" t="s">
        <v>5958</v>
      </c>
      <c r="O909" s="65"/>
      <c r="P909" s="67" t="s">
        <v>5959</v>
      </c>
      <c r="Q909" s="65"/>
      <c r="R909" s="64">
        <v>38219</v>
      </c>
      <c r="S909" s="65"/>
      <c r="T909" s="67" t="s">
        <v>5960</v>
      </c>
      <c r="U909" s="65"/>
    </row>
    <row r="910" spans="1:21" ht="12.75" customHeight="1" x14ac:dyDescent="0.15">
      <c r="A910" s="68"/>
      <c r="B910" s="69"/>
      <c r="C910" s="69"/>
      <c r="D910" s="69"/>
      <c r="E910" s="69"/>
      <c r="F910" s="69"/>
      <c r="G910" s="69"/>
      <c r="H910" s="69"/>
      <c r="I910" s="69"/>
      <c r="J910" s="69"/>
      <c r="K910" s="69"/>
      <c r="L910" s="69"/>
      <c r="M910" s="69"/>
      <c r="N910" s="69"/>
      <c r="O910" s="65"/>
      <c r="P910" s="70" t="s">
        <v>5961</v>
      </c>
      <c r="Q910" s="65"/>
      <c r="R910" s="71">
        <v>38223</v>
      </c>
      <c r="S910" s="65"/>
      <c r="T910" s="70" t="s">
        <v>5962</v>
      </c>
      <c r="U910" s="65"/>
    </row>
    <row r="911" spans="1:21" ht="24.75" customHeight="1" x14ac:dyDescent="0.15">
      <c r="A911" s="61">
        <v>2493</v>
      </c>
      <c r="B911" s="67" t="s">
        <v>5963</v>
      </c>
      <c r="C911" s="65"/>
      <c r="D911" s="67" t="s">
        <v>5964</v>
      </c>
      <c r="E911" s="69"/>
      <c r="F911" s="65"/>
      <c r="G911" s="67" t="s">
        <v>5965</v>
      </c>
      <c r="H911" s="65"/>
      <c r="I911" s="64">
        <v>38398</v>
      </c>
      <c r="J911" s="65"/>
      <c r="K911" s="54">
        <v>2337</v>
      </c>
      <c r="L911" s="66">
        <v>2341</v>
      </c>
      <c r="M911" s="65"/>
      <c r="N911" s="70" t="s">
        <v>5966</v>
      </c>
      <c r="O911" s="65"/>
      <c r="P911" s="67" t="s">
        <v>5967</v>
      </c>
      <c r="Q911" s="65"/>
      <c r="R911" s="64">
        <v>38398</v>
      </c>
      <c r="S911" s="65"/>
      <c r="T911" s="67" t="s">
        <v>5968</v>
      </c>
      <c r="U911" s="65"/>
    </row>
    <row r="912" spans="1:21" ht="12.75" customHeight="1" x14ac:dyDescent="0.15">
      <c r="A912" s="68"/>
      <c r="B912" s="69"/>
      <c r="C912" s="69"/>
      <c r="D912" s="69"/>
      <c r="E912" s="69"/>
      <c r="F912" s="69"/>
      <c r="G912" s="69"/>
      <c r="H912" s="69"/>
      <c r="I912" s="69"/>
      <c r="J912" s="69"/>
      <c r="K912" s="69"/>
      <c r="L912" s="69"/>
      <c r="M912" s="69"/>
      <c r="N912" s="69"/>
      <c r="O912" s="65"/>
      <c r="P912" s="70" t="s">
        <v>5969</v>
      </c>
      <c r="Q912" s="65"/>
      <c r="R912" s="71">
        <v>39602</v>
      </c>
      <c r="S912" s="65"/>
      <c r="T912" s="70" t="s">
        <v>5970</v>
      </c>
      <c r="U912" s="65"/>
    </row>
    <row r="913" spans="1:21" ht="13.5" customHeight="1" x14ac:dyDescent="0.15">
      <c r="A913" s="68"/>
      <c r="B913" s="69"/>
      <c r="C913" s="69"/>
      <c r="D913" s="69"/>
      <c r="E913" s="69"/>
      <c r="F913" s="69"/>
      <c r="G913" s="69"/>
      <c r="H913" s="69"/>
      <c r="I913" s="69"/>
      <c r="J913" s="69"/>
      <c r="K913" s="69"/>
      <c r="L913" s="69"/>
      <c r="M913" s="69"/>
      <c r="N913" s="69"/>
      <c r="O913" s="65"/>
      <c r="P913" s="70" t="s">
        <v>5971</v>
      </c>
      <c r="Q913" s="65"/>
      <c r="R913" s="71">
        <v>40484</v>
      </c>
      <c r="S913" s="65"/>
      <c r="T913" s="70" t="s">
        <v>5972</v>
      </c>
      <c r="U913" s="65"/>
    </row>
    <row r="914" spans="1:21" ht="12.75" customHeight="1" x14ac:dyDescent="0.15">
      <c r="A914" s="68"/>
      <c r="B914" s="69"/>
      <c r="C914" s="69"/>
      <c r="D914" s="69"/>
      <c r="E914" s="69"/>
      <c r="F914" s="69"/>
      <c r="G914" s="69"/>
      <c r="H914" s="69"/>
      <c r="I914" s="69"/>
      <c r="J914" s="69"/>
      <c r="K914" s="69"/>
      <c r="L914" s="69"/>
      <c r="M914" s="69"/>
      <c r="N914" s="69"/>
      <c r="O914" s="65"/>
      <c r="P914" s="70" t="s">
        <v>5973</v>
      </c>
      <c r="Q914" s="65"/>
      <c r="R914" s="71">
        <v>42575</v>
      </c>
      <c r="S914" s="65"/>
      <c r="T914" s="70" t="s">
        <v>5974</v>
      </c>
      <c r="U914" s="65"/>
    </row>
    <row r="915" spans="1:21" ht="24.75" customHeight="1" x14ac:dyDescent="0.15">
      <c r="A915" s="61">
        <v>2495</v>
      </c>
      <c r="B915" s="67" t="s">
        <v>5975</v>
      </c>
      <c r="C915" s="65"/>
      <c r="D915" s="75"/>
      <c r="E915" s="69"/>
      <c r="F915" s="65"/>
      <c r="G915" s="67" t="s">
        <v>5976</v>
      </c>
      <c r="H915" s="65"/>
      <c r="I915" s="64">
        <v>38800</v>
      </c>
      <c r="J915" s="65"/>
      <c r="K915" s="54">
        <v>1121</v>
      </c>
      <c r="L915" s="66">
        <v>1145</v>
      </c>
      <c r="M915" s="65"/>
      <c r="N915" s="70" t="s">
        <v>5977</v>
      </c>
      <c r="O915" s="65"/>
      <c r="P915" s="67" t="s">
        <v>5978</v>
      </c>
      <c r="Q915" s="65"/>
      <c r="R915" s="64">
        <v>38800</v>
      </c>
      <c r="S915" s="65"/>
      <c r="T915" s="67" t="s">
        <v>5979</v>
      </c>
      <c r="U915" s="65"/>
    </row>
    <row r="916" spans="1:21" ht="12.75" customHeight="1" x14ac:dyDescent="0.15">
      <c r="A916" s="78"/>
      <c r="B916" s="79"/>
      <c r="C916" s="79"/>
      <c r="D916" s="79"/>
      <c r="E916" s="79"/>
      <c r="F916" s="79"/>
      <c r="G916" s="79"/>
      <c r="H916" s="79"/>
      <c r="I916" s="79"/>
      <c r="J916" s="79"/>
      <c r="K916" s="79"/>
      <c r="L916" s="79"/>
      <c r="M916" s="79"/>
      <c r="N916" s="79"/>
      <c r="O916" s="80"/>
      <c r="P916" s="70" t="s">
        <v>5980</v>
      </c>
      <c r="Q916" s="65"/>
      <c r="R916" s="71">
        <v>38800</v>
      </c>
      <c r="S916" s="65"/>
      <c r="T916" s="70" t="s">
        <v>5981</v>
      </c>
      <c r="U916" s="65"/>
    </row>
    <row r="917" spans="1:21" ht="25.5" customHeight="1" x14ac:dyDescent="0.15">
      <c r="A917" s="61">
        <v>2496</v>
      </c>
      <c r="B917" s="67" t="s">
        <v>5982</v>
      </c>
      <c r="C917" s="65"/>
      <c r="D917" s="66">
        <v>7245</v>
      </c>
      <c r="E917" s="69"/>
      <c r="F917" s="65"/>
      <c r="G917" s="67" t="s">
        <v>5983</v>
      </c>
      <c r="H917" s="65"/>
      <c r="I917" s="64">
        <v>38800</v>
      </c>
      <c r="J917" s="65"/>
      <c r="K917" s="54">
        <v>1121</v>
      </c>
      <c r="L917" s="66">
        <v>1145</v>
      </c>
      <c r="M917" s="65"/>
      <c r="N917" s="70" t="s">
        <v>5984</v>
      </c>
      <c r="O917" s="65"/>
      <c r="P917" s="67" t="s">
        <v>5985</v>
      </c>
      <c r="Q917" s="65"/>
      <c r="R917" s="64">
        <v>38800</v>
      </c>
      <c r="S917" s="65"/>
      <c r="T917" s="67" t="s">
        <v>5986</v>
      </c>
      <c r="U917" s="65"/>
    </row>
    <row r="918" spans="1:21" ht="13.5" customHeight="1" x14ac:dyDescent="0.15">
      <c r="A918" s="68"/>
      <c r="B918" s="69"/>
      <c r="C918" s="69"/>
      <c r="D918" s="69"/>
      <c r="E918" s="69"/>
      <c r="F918" s="69"/>
      <c r="G918" s="69"/>
      <c r="H918" s="69"/>
      <c r="I918" s="69"/>
      <c r="J918" s="69"/>
      <c r="K918" s="69"/>
      <c r="L918" s="69"/>
      <c r="M918" s="69"/>
      <c r="N918" s="69"/>
      <c r="O918" s="65"/>
      <c r="P918" s="70" t="s">
        <v>5987</v>
      </c>
      <c r="Q918" s="65"/>
      <c r="R918" s="71">
        <v>39708</v>
      </c>
      <c r="S918" s="65"/>
      <c r="T918" s="70" t="s">
        <v>5988</v>
      </c>
      <c r="U918" s="65"/>
    </row>
    <row r="919" spans="1:21" ht="12.75" customHeight="1" x14ac:dyDescent="0.15">
      <c r="A919" s="68"/>
      <c r="B919" s="69"/>
      <c r="C919" s="69"/>
      <c r="D919" s="69"/>
      <c r="E919" s="69"/>
      <c r="F919" s="69"/>
      <c r="G919" s="69"/>
      <c r="H919" s="69"/>
      <c r="I919" s="69"/>
      <c r="J919" s="69"/>
      <c r="K919" s="69"/>
      <c r="L919" s="69"/>
      <c r="M919" s="69"/>
      <c r="N919" s="69"/>
      <c r="O919" s="65"/>
      <c r="P919" s="70" t="s">
        <v>5989</v>
      </c>
      <c r="Q919" s="65"/>
      <c r="R919" s="71">
        <v>39799</v>
      </c>
      <c r="S919" s="65"/>
      <c r="T919" s="70" t="s">
        <v>5990</v>
      </c>
      <c r="U919" s="65"/>
    </row>
    <row r="920" spans="1:21" ht="12.75" customHeight="1" x14ac:dyDescent="0.15">
      <c r="A920" s="68"/>
      <c r="B920" s="69"/>
      <c r="C920" s="69"/>
      <c r="D920" s="69"/>
      <c r="E920" s="69"/>
      <c r="F920" s="69"/>
      <c r="G920" s="69"/>
      <c r="H920" s="69"/>
      <c r="I920" s="69"/>
      <c r="J920" s="69"/>
      <c r="K920" s="69"/>
      <c r="L920" s="69"/>
      <c r="M920" s="69"/>
      <c r="N920" s="69"/>
      <c r="O920" s="65"/>
      <c r="P920" s="70" t="s">
        <v>5991</v>
      </c>
      <c r="Q920" s="65"/>
      <c r="R920" s="71">
        <v>42479</v>
      </c>
      <c r="S920" s="65"/>
      <c r="T920" s="70" t="s">
        <v>5992</v>
      </c>
      <c r="U920" s="65"/>
    </row>
    <row r="921" spans="1:21" ht="12.75" customHeight="1" x14ac:dyDescent="0.15">
      <c r="A921" s="68"/>
      <c r="B921" s="69"/>
      <c r="C921" s="69"/>
      <c r="D921" s="69"/>
      <c r="E921" s="69"/>
      <c r="F921" s="69"/>
      <c r="G921" s="69"/>
      <c r="H921" s="69"/>
      <c r="I921" s="69"/>
      <c r="J921" s="69"/>
      <c r="K921" s="69"/>
      <c r="L921" s="69"/>
      <c r="M921" s="69"/>
      <c r="N921" s="69"/>
      <c r="O921" s="65"/>
      <c r="P921" s="70" t="s">
        <v>5993</v>
      </c>
      <c r="Q921" s="65"/>
      <c r="R921" s="71">
        <v>42893</v>
      </c>
      <c r="S921" s="65"/>
      <c r="T921" s="70" t="s">
        <v>5994</v>
      </c>
      <c r="U921" s="65"/>
    </row>
    <row r="922" spans="1:21" ht="25.5" customHeight="1" x14ac:dyDescent="0.15">
      <c r="A922" s="61">
        <v>2498</v>
      </c>
      <c r="B922" s="67" t="s">
        <v>5995</v>
      </c>
      <c r="C922" s="65"/>
      <c r="D922" s="66">
        <v>2928</v>
      </c>
      <c r="E922" s="69"/>
      <c r="F922" s="65"/>
      <c r="G922" s="67" t="s">
        <v>5996</v>
      </c>
      <c r="H922" s="65"/>
      <c r="I922" s="64">
        <v>38869</v>
      </c>
      <c r="J922" s="65"/>
      <c r="K922" s="54">
        <v>2406</v>
      </c>
      <c r="L922" s="66">
        <v>2424</v>
      </c>
      <c r="M922" s="65"/>
      <c r="N922" s="70" t="s">
        <v>5997</v>
      </c>
      <c r="O922" s="65"/>
      <c r="P922" s="67" t="s">
        <v>5998</v>
      </c>
      <c r="Q922" s="65"/>
      <c r="R922" s="64">
        <v>38869</v>
      </c>
      <c r="S922" s="65"/>
      <c r="T922" s="67" t="s">
        <v>5999</v>
      </c>
      <c r="U922" s="65"/>
    </row>
    <row r="923" spans="1:21" ht="12.75" customHeight="1" x14ac:dyDescent="0.15">
      <c r="A923" s="68"/>
      <c r="B923" s="69"/>
      <c r="C923" s="69"/>
      <c r="D923" s="69"/>
      <c r="E923" s="69"/>
      <c r="F923" s="69"/>
      <c r="G923" s="69"/>
      <c r="H923" s="69"/>
      <c r="I923" s="69"/>
      <c r="J923" s="69"/>
      <c r="K923" s="69"/>
      <c r="L923" s="69"/>
      <c r="M923" s="69"/>
      <c r="N923" s="69"/>
      <c r="O923" s="65"/>
      <c r="P923" s="70" t="s">
        <v>6000</v>
      </c>
      <c r="Q923" s="65"/>
      <c r="R923" s="71">
        <v>42172</v>
      </c>
      <c r="S923" s="65"/>
      <c r="T923" s="70" t="s">
        <v>6001</v>
      </c>
      <c r="U923" s="65"/>
    </row>
    <row r="924" spans="1:21" ht="24.75" customHeight="1" x14ac:dyDescent="0.15">
      <c r="A924" s="61">
        <v>2499</v>
      </c>
      <c r="B924" s="67" t="s">
        <v>6002</v>
      </c>
      <c r="C924" s="65"/>
      <c r="D924" s="66">
        <v>18741</v>
      </c>
      <c r="E924" s="69"/>
      <c r="F924" s="65"/>
      <c r="G924" s="67" t="s">
        <v>6003</v>
      </c>
      <c r="H924" s="65"/>
      <c r="I924" s="64">
        <v>38869</v>
      </c>
      <c r="J924" s="65"/>
      <c r="K924" s="54">
        <v>2406</v>
      </c>
      <c r="L924" s="66">
        <v>2424</v>
      </c>
      <c r="M924" s="65"/>
      <c r="N924" s="70" t="s">
        <v>6004</v>
      </c>
      <c r="O924" s="65"/>
      <c r="P924" s="67" t="s">
        <v>6005</v>
      </c>
      <c r="Q924" s="65"/>
      <c r="R924" s="64">
        <v>38869</v>
      </c>
      <c r="S924" s="65"/>
      <c r="T924" s="67" t="s">
        <v>6006</v>
      </c>
      <c r="U924" s="65"/>
    </row>
    <row r="925" spans="1:21" ht="12.75" customHeight="1" x14ac:dyDescent="0.15">
      <c r="A925" s="68"/>
      <c r="B925" s="69"/>
      <c r="C925" s="69"/>
      <c r="D925" s="69"/>
      <c r="E925" s="69"/>
      <c r="F925" s="69"/>
      <c r="G925" s="69"/>
      <c r="H925" s="69"/>
      <c r="I925" s="69"/>
      <c r="J925" s="69"/>
      <c r="K925" s="69"/>
      <c r="L925" s="69"/>
      <c r="M925" s="69"/>
      <c r="N925" s="69"/>
      <c r="O925" s="65"/>
      <c r="P925" s="70" t="s">
        <v>6007</v>
      </c>
      <c r="Q925" s="65"/>
      <c r="R925" s="71">
        <v>39723</v>
      </c>
      <c r="S925" s="65"/>
      <c r="T925" s="70" t="s">
        <v>6008</v>
      </c>
      <c r="U925" s="65"/>
    </row>
    <row r="926" spans="1:21" ht="13.5" customHeight="1" x14ac:dyDescent="0.15">
      <c r="A926" s="68"/>
      <c r="B926" s="69"/>
      <c r="C926" s="69"/>
      <c r="D926" s="69"/>
      <c r="E926" s="69"/>
      <c r="F926" s="69"/>
      <c r="G926" s="69"/>
      <c r="H926" s="69"/>
      <c r="I926" s="69"/>
      <c r="J926" s="69"/>
      <c r="K926" s="69"/>
      <c r="L926" s="69"/>
      <c r="M926" s="69"/>
      <c r="N926" s="69"/>
      <c r="O926" s="65"/>
      <c r="P926" s="70" t="s">
        <v>6009</v>
      </c>
      <c r="Q926" s="65"/>
      <c r="R926" s="71">
        <v>42798</v>
      </c>
      <c r="S926" s="65"/>
      <c r="T926" s="70" t="s">
        <v>6010</v>
      </c>
      <c r="U926" s="65"/>
    </row>
    <row r="927" spans="1:21" ht="25.5" customHeight="1" x14ac:dyDescent="0.15">
      <c r="A927" s="61">
        <v>2500</v>
      </c>
      <c r="B927" s="67" t="s">
        <v>6011</v>
      </c>
      <c r="C927" s="65"/>
      <c r="D927" s="66">
        <v>18427</v>
      </c>
      <c r="E927" s="69"/>
      <c r="F927" s="65"/>
      <c r="G927" s="67" t="s">
        <v>6012</v>
      </c>
      <c r="H927" s="65"/>
      <c r="I927" s="64">
        <v>38886</v>
      </c>
      <c r="J927" s="65"/>
      <c r="K927" s="54">
        <v>2409</v>
      </c>
      <c r="L927" s="66">
        <v>1135</v>
      </c>
      <c r="M927" s="65"/>
      <c r="N927" s="73" t="s">
        <v>6013</v>
      </c>
      <c r="O927" s="65"/>
      <c r="P927" s="67" t="s">
        <v>6014</v>
      </c>
      <c r="Q927" s="65"/>
      <c r="R927" s="64">
        <v>38886</v>
      </c>
      <c r="S927" s="65"/>
      <c r="T927" s="67" t="s">
        <v>6015</v>
      </c>
      <c r="U927" s="65"/>
    </row>
    <row r="928" spans="1:21" ht="12.75" customHeight="1" x14ac:dyDescent="0.15">
      <c r="A928" s="68"/>
      <c r="B928" s="69"/>
      <c r="C928" s="69"/>
      <c r="D928" s="69"/>
      <c r="E928" s="69"/>
      <c r="F928" s="69"/>
      <c r="G928" s="69"/>
      <c r="H928" s="69"/>
      <c r="I928" s="69"/>
      <c r="J928" s="69"/>
      <c r="K928" s="69"/>
      <c r="L928" s="69"/>
      <c r="M928" s="69"/>
      <c r="N928" s="69"/>
      <c r="O928" s="65"/>
      <c r="P928" s="70" t="s">
        <v>6016</v>
      </c>
      <c r="Q928" s="65"/>
      <c r="R928" s="71">
        <v>39708</v>
      </c>
      <c r="S928" s="65"/>
      <c r="T928" s="70" t="s">
        <v>6017</v>
      </c>
      <c r="U928" s="65"/>
    </row>
    <row r="929" spans="1:21" ht="12.75" customHeight="1" x14ac:dyDescent="0.15">
      <c r="A929" s="68"/>
      <c r="B929" s="69"/>
      <c r="C929" s="69"/>
      <c r="D929" s="69"/>
      <c r="E929" s="69"/>
      <c r="F929" s="69"/>
      <c r="G929" s="69"/>
      <c r="H929" s="69"/>
      <c r="I929" s="69"/>
      <c r="J929" s="69"/>
      <c r="K929" s="69"/>
      <c r="L929" s="69"/>
      <c r="M929" s="69"/>
      <c r="N929" s="69"/>
      <c r="O929" s="65"/>
      <c r="P929" s="70" t="s">
        <v>6018</v>
      </c>
      <c r="Q929" s="65"/>
      <c r="R929" s="71">
        <v>41626</v>
      </c>
      <c r="S929" s="65"/>
      <c r="T929" s="70" t="s">
        <v>6019</v>
      </c>
      <c r="U929" s="65"/>
    </row>
    <row r="930" spans="1:21" ht="25.5" customHeight="1" x14ac:dyDescent="0.15">
      <c r="A930" s="61">
        <v>2501</v>
      </c>
      <c r="B930" s="67" t="s">
        <v>6020</v>
      </c>
      <c r="C930" s="65"/>
      <c r="D930" s="67" t="s">
        <v>6021</v>
      </c>
      <c r="E930" s="69"/>
      <c r="F930" s="65"/>
      <c r="G930" s="67" t="s">
        <v>6022</v>
      </c>
      <c r="H930" s="65"/>
      <c r="I930" s="64">
        <v>39089</v>
      </c>
      <c r="J930" s="65"/>
      <c r="K930" s="54">
        <v>1138</v>
      </c>
      <c r="L930" s="66">
        <v>2413</v>
      </c>
      <c r="M930" s="65"/>
      <c r="N930" s="70" t="s">
        <v>6023</v>
      </c>
      <c r="O930" s="65"/>
      <c r="P930" s="67" t="s">
        <v>6024</v>
      </c>
      <c r="Q930" s="65"/>
      <c r="R930" s="64">
        <v>39089</v>
      </c>
      <c r="S930" s="65"/>
      <c r="T930" s="67" t="s">
        <v>6025</v>
      </c>
      <c r="U930" s="65"/>
    </row>
    <row r="931" spans="1:21" ht="12.75" customHeight="1" x14ac:dyDescent="0.15">
      <c r="A931" s="68"/>
      <c r="B931" s="69"/>
      <c r="C931" s="69"/>
      <c r="D931" s="69"/>
      <c r="E931" s="69"/>
      <c r="F931" s="69"/>
      <c r="G931" s="69"/>
      <c r="H931" s="69"/>
      <c r="I931" s="69"/>
      <c r="J931" s="69"/>
      <c r="K931" s="69"/>
      <c r="L931" s="69"/>
      <c r="M931" s="69"/>
      <c r="N931" s="69"/>
      <c r="O931" s="65"/>
      <c r="P931" s="70" t="s">
        <v>6026</v>
      </c>
      <c r="Q931" s="65"/>
      <c r="R931" s="71">
        <v>40123</v>
      </c>
      <c r="S931" s="65"/>
      <c r="T931" s="70" t="s">
        <v>6027</v>
      </c>
      <c r="U931" s="65"/>
    </row>
    <row r="932" spans="1:21" ht="21" customHeight="1" x14ac:dyDescent="0.15">
      <c r="A932" s="60" t="s">
        <v>6028</v>
      </c>
      <c r="B932" s="72" t="s">
        <v>6029</v>
      </c>
      <c r="C932" s="65"/>
      <c r="D932" s="72" t="s">
        <v>6030</v>
      </c>
      <c r="E932" s="69"/>
      <c r="F932" s="65"/>
      <c r="G932" s="72" t="s">
        <v>6031</v>
      </c>
      <c r="H932" s="65"/>
      <c r="I932" s="72" t="s">
        <v>6032</v>
      </c>
      <c r="J932" s="65"/>
      <c r="K932" s="60" t="s">
        <v>6033</v>
      </c>
      <c r="L932" s="72" t="s">
        <v>6034</v>
      </c>
      <c r="M932" s="65"/>
      <c r="N932" s="72" t="s">
        <v>6035</v>
      </c>
      <c r="O932" s="65"/>
      <c r="P932" s="72" t="s">
        <v>6036</v>
      </c>
      <c r="Q932" s="65"/>
      <c r="R932" s="72" t="s">
        <v>6037</v>
      </c>
      <c r="S932" s="65"/>
      <c r="T932" s="72" t="s">
        <v>6038</v>
      </c>
      <c r="U932" s="65"/>
    </row>
    <row r="933" spans="1:21" ht="25.5" customHeight="1" x14ac:dyDescent="0.15">
      <c r="A933" s="61">
        <v>2502</v>
      </c>
      <c r="B933" s="67" t="s">
        <v>6039</v>
      </c>
      <c r="C933" s="65"/>
      <c r="D933" s="66">
        <v>119021</v>
      </c>
      <c r="E933" s="69"/>
      <c r="F933" s="65"/>
      <c r="G933" s="67" t="s">
        <v>6040</v>
      </c>
      <c r="H933" s="65"/>
      <c r="I933" s="64">
        <v>39089</v>
      </c>
      <c r="J933" s="65"/>
      <c r="K933" s="54">
        <v>1138</v>
      </c>
      <c r="L933" s="66">
        <v>2413</v>
      </c>
      <c r="M933" s="65"/>
      <c r="N933" s="70" t="s">
        <v>6041</v>
      </c>
      <c r="O933" s="65"/>
      <c r="P933" s="67" t="s">
        <v>6042</v>
      </c>
      <c r="Q933" s="65"/>
      <c r="R933" s="64">
        <v>39089</v>
      </c>
      <c r="S933" s="65"/>
      <c r="T933" s="67" t="s">
        <v>6043</v>
      </c>
      <c r="U933" s="65"/>
    </row>
    <row r="934" spans="1:21" ht="12.75" customHeight="1" x14ac:dyDescent="0.15">
      <c r="A934" s="68"/>
      <c r="B934" s="69"/>
      <c r="C934" s="69"/>
      <c r="D934" s="69"/>
      <c r="E934" s="69"/>
      <c r="F934" s="69"/>
      <c r="G934" s="69"/>
      <c r="H934" s="69"/>
      <c r="I934" s="69"/>
      <c r="J934" s="69"/>
      <c r="K934" s="69"/>
      <c r="L934" s="69"/>
      <c r="M934" s="69"/>
      <c r="N934" s="69"/>
      <c r="O934" s="65"/>
      <c r="P934" s="70" t="s">
        <v>6044</v>
      </c>
      <c r="Q934" s="65"/>
      <c r="R934" s="71">
        <v>39938</v>
      </c>
      <c r="S934" s="65"/>
      <c r="T934" s="70" t="s">
        <v>6045</v>
      </c>
      <c r="U934" s="65"/>
    </row>
    <row r="935" spans="1:21" ht="12.75" customHeight="1" x14ac:dyDescent="0.15">
      <c r="A935" s="68"/>
      <c r="B935" s="69"/>
      <c r="C935" s="69"/>
      <c r="D935" s="69"/>
      <c r="E935" s="69"/>
      <c r="F935" s="69"/>
      <c r="G935" s="69"/>
      <c r="H935" s="69"/>
      <c r="I935" s="69"/>
      <c r="J935" s="69"/>
      <c r="K935" s="69"/>
      <c r="L935" s="69"/>
      <c r="M935" s="69"/>
      <c r="N935" s="69"/>
      <c r="O935" s="65"/>
      <c r="P935" s="70" t="s">
        <v>6046</v>
      </c>
      <c r="Q935" s="65"/>
      <c r="R935" s="71">
        <v>43718</v>
      </c>
      <c r="S935" s="65"/>
      <c r="T935" s="70" t="s">
        <v>6047</v>
      </c>
      <c r="U935" s="65"/>
    </row>
    <row r="936" spans="1:21" ht="25.5" customHeight="1" x14ac:dyDescent="0.15">
      <c r="A936" s="61">
        <v>2503</v>
      </c>
      <c r="B936" s="67" t="s">
        <v>6048</v>
      </c>
      <c r="C936" s="65"/>
      <c r="D936" s="67" t="s">
        <v>6049</v>
      </c>
      <c r="E936" s="69"/>
      <c r="F936" s="65"/>
      <c r="G936" s="67" t="s">
        <v>6050</v>
      </c>
      <c r="H936" s="65"/>
      <c r="I936" s="64">
        <v>39100</v>
      </c>
      <c r="J936" s="65"/>
      <c r="K936" s="54">
        <v>1131</v>
      </c>
      <c r="L936" s="66">
        <v>2403</v>
      </c>
      <c r="M936" s="65"/>
      <c r="N936" s="70" t="s">
        <v>6051</v>
      </c>
      <c r="O936" s="65"/>
      <c r="P936" s="67" t="s">
        <v>6052</v>
      </c>
      <c r="Q936" s="65"/>
      <c r="R936" s="64">
        <v>39100</v>
      </c>
      <c r="S936" s="65"/>
      <c r="T936" s="67" t="s">
        <v>6053</v>
      </c>
      <c r="U936" s="65"/>
    </row>
    <row r="937" spans="1:21" ht="13.5" customHeight="1" x14ac:dyDescent="0.15">
      <c r="A937" s="68"/>
      <c r="B937" s="69"/>
      <c r="C937" s="69"/>
      <c r="D937" s="69"/>
      <c r="E937" s="69"/>
      <c r="F937" s="69"/>
      <c r="G937" s="69"/>
      <c r="H937" s="69"/>
      <c r="I937" s="69"/>
      <c r="J937" s="69"/>
      <c r="K937" s="69"/>
      <c r="L937" s="69"/>
      <c r="M937" s="69"/>
      <c r="N937" s="69"/>
      <c r="O937" s="65"/>
      <c r="P937" s="70" t="s">
        <v>6054</v>
      </c>
      <c r="Q937" s="65"/>
      <c r="R937" s="71">
        <v>39106</v>
      </c>
      <c r="S937" s="65"/>
      <c r="T937" s="70" t="s">
        <v>6055</v>
      </c>
      <c r="U937" s="65"/>
    </row>
    <row r="938" spans="1:21" ht="25.5" customHeight="1" x14ac:dyDescent="0.15">
      <c r="A938" s="61">
        <v>2504</v>
      </c>
      <c r="B938" s="67" t="s">
        <v>6056</v>
      </c>
      <c r="C938" s="65"/>
      <c r="D938" s="67" t="s">
        <v>6057</v>
      </c>
      <c r="E938" s="69"/>
      <c r="F938" s="65"/>
      <c r="G938" s="67" t="s">
        <v>6058</v>
      </c>
      <c r="H938" s="65"/>
      <c r="I938" s="64">
        <v>39100</v>
      </c>
      <c r="J938" s="65"/>
      <c r="K938" s="54">
        <v>1131</v>
      </c>
      <c r="L938" s="66">
        <v>2403</v>
      </c>
      <c r="M938" s="65"/>
      <c r="N938" s="73" t="s">
        <v>6059</v>
      </c>
      <c r="O938" s="65"/>
      <c r="P938" s="67" t="s">
        <v>6060</v>
      </c>
      <c r="Q938" s="65"/>
      <c r="R938" s="64">
        <v>39100</v>
      </c>
      <c r="S938" s="65"/>
      <c r="T938" s="67" t="s">
        <v>6061</v>
      </c>
      <c r="U938" s="65"/>
    </row>
    <row r="939" spans="1:21" ht="12.75" customHeight="1" x14ac:dyDescent="0.15">
      <c r="A939" s="68"/>
      <c r="B939" s="69"/>
      <c r="C939" s="69"/>
      <c r="D939" s="69"/>
      <c r="E939" s="69"/>
      <c r="F939" s="69"/>
      <c r="G939" s="69"/>
      <c r="H939" s="69"/>
      <c r="I939" s="69"/>
      <c r="J939" s="69"/>
      <c r="K939" s="69"/>
      <c r="L939" s="69"/>
      <c r="M939" s="69"/>
      <c r="N939" s="69"/>
      <c r="O939" s="65"/>
      <c r="P939" s="70" t="s">
        <v>6062</v>
      </c>
      <c r="Q939" s="65"/>
      <c r="R939" s="71">
        <v>39989</v>
      </c>
      <c r="S939" s="65"/>
      <c r="T939" s="70" t="s">
        <v>6063</v>
      </c>
      <c r="U939" s="65"/>
    </row>
    <row r="940" spans="1:21" ht="25.5" customHeight="1" x14ac:dyDescent="0.15">
      <c r="A940" s="61">
        <v>2505</v>
      </c>
      <c r="B940" s="67" t="s">
        <v>6064</v>
      </c>
      <c r="C940" s="65"/>
      <c r="D940" s="66">
        <v>506207</v>
      </c>
      <c r="E940" s="69"/>
      <c r="F940" s="65"/>
      <c r="G940" s="67" t="s">
        <v>6065</v>
      </c>
      <c r="H940" s="65"/>
      <c r="I940" s="64">
        <v>38888</v>
      </c>
      <c r="J940" s="65"/>
      <c r="K940" s="54">
        <v>2409</v>
      </c>
      <c r="L940" s="66">
        <v>1135</v>
      </c>
      <c r="M940" s="65"/>
      <c r="N940" s="70" t="s">
        <v>6066</v>
      </c>
      <c r="O940" s="65"/>
      <c r="P940" s="67" t="s">
        <v>6067</v>
      </c>
      <c r="Q940" s="65"/>
      <c r="R940" s="64">
        <v>38888</v>
      </c>
      <c r="S940" s="65"/>
      <c r="T940" s="67" t="s">
        <v>6068</v>
      </c>
      <c r="U940" s="65"/>
    </row>
    <row r="941" spans="1:21" ht="12.75" customHeight="1" x14ac:dyDescent="0.15">
      <c r="A941" s="68"/>
      <c r="B941" s="69"/>
      <c r="C941" s="69"/>
      <c r="D941" s="69"/>
      <c r="E941" s="69"/>
      <c r="F941" s="69"/>
      <c r="G941" s="69"/>
      <c r="H941" s="69"/>
      <c r="I941" s="69"/>
      <c r="J941" s="69"/>
      <c r="K941" s="69"/>
      <c r="L941" s="69"/>
      <c r="M941" s="69"/>
      <c r="N941" s="69"/>
      <c r="O941" s="65"/>
      <c r="P941" s="70" t="s">
        <v>6069</v>
      </c>
      <c r="Q941" s="65"/>
      <c r="R941" s="71">
        <v>38888</v>
      </c>
      <c r="S941" s="65"/>
      <c r="T941" s="70" t="s">
        <v>6070</v>
      </c>
      <c r="U941" s="65"/>
    </row>
    <row r="942" spans="1:21" ht="25.5" customHeight="1" x14ac:dyDescent="0.15">
      <c r="A942" s="61">
        <v>2506</v>
      </c>
      <c r="B942" s="67" t="s">
        <v>6071</v>
      </c>
      <c r="C942" s="65"/>
      <c r="D942" s="67" t="s">
        <v>6072</v>
      </c>
      <c r="E942" s="69"/>
      <c r="F942" s="65"/>
      <c r="G942" s="67" t="s">
        <v>6073</v>
      </c>
      <c r="H942" s="65"/>
      <c r="I942" s="64">
        <v>38813</v>
      </c>
      <c r="J942" s="65"/>
      <c r="K942" s="54">
        <v>1125</v>
      </c>
      <c r="L942" s="66">
        <v>1124</v>
      </c>
      <c r="M942" s="65"/>
      <c r="N942" s="70" t="s">
        <v>6074</v>
      </c>
      <c r="O942" s="65"/>
      <c r="P942" s="67" t="s">
        <v>6075</v>
      </c>
      <c r="Q942" s="65"/>
      <c r="R942" s="64">
        <v>38813</v>
      </c>
      <c r="S942" s="65"/>
      <c r="T942" s="67" t="s">
        <v>6076</v>
      </c>
      <c r="U942" s="65"/>
    </row>
    <row r="943" spans="1:21" ht="12.75" customHeight="1" x14ac:dyDescent="0.15">
      <c r="A943" s="68"/>
      <c r="B943" s="69"/>
      <c r="C943" s="69"/>
      <c r="D943" s="69"/>
      <c r="E943" s="69"/>
      <c r="F943" s="69"/>
      <c r="G943" s="69"/>
      <c r="H943" s="69"/>
      <c r="I943" s="69"/>
      <c r="J943" s="69"/>
      <c r="K943" s="69"/>
      <c r="L943" s="69"/>
      <c r="M943" s="69"/>
      <c r="N943" s="69"/>
      <c r="O943" s="65"/>
      <c r="P943" s="70" t="s">
        <v>6077</v>
      </c>
      <c r="Q943" s="65"/>
      <c r="R943" s="71">
        <v>39750</v>
      </c>
      <c r="S943" s="65"/>
      <c r="T943" s="70" t="s">
        <v>6078</v>
      </c>
      <c r="U943" s="65"/>
    </row>
    <row r="944" spans="1:21" ht="12.75" customHeight="1" x14ac:dyDescent="0.15">
      <c r="A944" s="68"/>
      <c r="B944" s="69"/>
      <c r="C944" s="69"/>
      <c r="D944" s="69"/>
      <c r="E944" s="69"/>
      <c r="F944" s="69"/>
      <c r="G944" s="69"/>
      <c r="H944" s="69"/>
      <c r="I944" s="69"/>
      <c r="J944" s="69"/>
      <c r="K944" s="69"/>
      <c r="L944" s="69"/>
      <c r="M944" s="69"/>
      <c r="N944" s="69"/>
      <c r="O944" s="65"/>
      <c r="P944" s="70" t="s">
        <v>6079</v>
      </c>
      <c r="Q944" s="65"/>
      <c r="R944" s="71">
        <v>41118</v>
      </c>
      <c r="S944" s="65"/>
      <c r="T944" s="70" t="s">
        <v>6080</v>
      </c>
      <c r="U944" s="65"/>
    </row>
    <row r="945" spans="1:21" ht="25.5" customHeight="1" x14ac:dyDescent="0.15">
      <c r="A945" s="61">
        <v>2507</v>
      </c>
      <c r="B945" s="67" t="s">
        <v>6081</v>
      </c>
      <c r="C945" s="65"/>
      <c r="D945" s="66">
        <v>18214</v>
      </c>
      <c r="E945" s="69"/>
      <c r="F945" s="65"/>
      <c r="G945" s="67" t="s">
        <v>6082</v>
      </c>
      <c r="H945" s="65"/>
      <c r="I945" s="64">
        <v>38813</v>
      </c>
      <c r="J945" s="65"/>
      <c r="K945" s="54">
        <v>1125</v>
      </c>
      <c r="L945" s="66">
        <v>1124</v>
      </c>
      <c r="M945" s="65"/>
      <c r="N945" s="70" t="s">
        <v>6083</v>
      </c>
      <c r="O945" s="65"/>
      <c r="P945" s="67" t="s">
        <v>6084</v>
      </c>
      <c r="Q945" s="65"/>
      <c r="R945" s="64">
        <v>38813</v>
      </c>
      <c r="S945" s="65"/>
      <c r="T945" s="67" t="s">
        <v>6085</v>
      </c>
      <c r="U945" s="65"/>
    </row>
    <row r="946" spans="1:21" ht="13.5" customHeight="1" x14ac:dyDescent="0.15">
      <c r="A946" s="68"/>
      <c r="B946" s="69"/>
      <c r="C946" s="69"/>
      <c r="D946" s="69"/>
      <c r="E946" s="69"/>
      <c r="F946" s="69"/>
      <c r="G946" s="69"/>
      <c r="H946" s="69"/>
      <c r="I946" s="69"/>
      <c r="J946" s="69"/>
      <c r="K946" s="69"/>
      <c r="L946" s="69"/>
      <c r="M946" s="69"/>
      <c r="N946" s="69"/>
      <c r="O946" s="65"/>
      <c r="P946" s="70" t="s">
        <v>6086</v>
      </c>
      <c r="Q946" s="65"/>
      <c r="R946" s="71">
        <v>39638</v>
      </c>
      <c r="S946" s="65"/>
      <c r="T946" s="70" t="s">
        <v>6087</v>
      </c>
      <c r="U946" s="65"/>
    </row>
    <row r="947" spans="1:21" ht="12.75" customHeight="1" x14ac:dyDescent="0.15">
      <c r="A947" s="68"/>
      <c r="B947" s="69"/>
      <c r="C947" s="69"/>
      <c r="D947" s="69"/>
      <c r="E947" s="69"/>
      <c r="F947" s="69"/>
      <c r="G947" s="69"/>
      <c r="H947" s="69"/>
      <c r="I947" s="69"/>
      <c r="J947" s="69"/>
      <c r="K947" s="69"/>
      <c r="L947" s="69"/>
      <c r="M947" s="69"/>
      <c r="N947" s="69"/>
      <c r="O947" s="65"/>
      <c r="P947" s="70" t="s">
        <v>6088</v>
      </c>
      <c r="Q947" s="65"/>
      <c r="R947" s="71">
        <v>42312</v>
      </c>
      <c r="S947" s="65"/>
      <c r="T947" s="70" t="s">
        <v>6089</v>
      </c>
      <c r="U947" s="65"/>
    </row>
    <row r="948" spans="1:21" ht="25.5" customHeight="1" x14ac:dyDescent="0.15">
      <c r="A948" s="61">
        <v>2600</v>
      </c>
      <c r="B948" s="67" t="s">
        <v>6090</v>
      </c>
      <c r="C948" s="65"/>
      <c r="D948" s="66">
        <v>110023</v>
      </c>
      <c r="E948" s="69"/>
      <c r="F948" s="65"/>
      <c r="G948" s="67" t="s">
        <v>6091</v>
      </c>
      <c r="H948" s="65"/>
      <c r="I948" s="64">
        <v>39772</v>
      </c>
      <c r="J948" s="65"/>
      <c r="K948" s="54">
        <v>2408</v>
      </c>
      <c r="L948" s="66">
        <v>2400</v>
      </c>
      <c r="M948" s="65"/>
      <c r="N948" s="73" t="s">
        <v>6092</v>
      </c>
      <c r="O948" s="65"/>
      <c r="P948" s="67" t="s">
        <v>6093</v>
      </c>
      <c r="Q948" s="65"/>
      <c r="R948" s="64">
        <v>39772</v>
      </c>
      <c r="S948" s="65"/>
      <c r="T948" s="67" t="s">
        <v>6094</v>
      </c>
      <c r="U948" s="65"/>
    </row>
    <row r="949" spans="1:21" ht="12.75" customHeight="1" x14ac:dyDescent="0.15">
      <c r="A949" s="68"/>
      <c r="B949" s="69"/>
      <c r="C949" s="69"/>
      <c r="D949" s="69"/>
      <c r="E949" s="69"/>
      <c r="F949" s="69"/>
      <c r="G949" s="69"/>
      <c r="H949" s="69"/>
      <c r="I949" s="69"/>
      <c r="J949" s="69"/>
      <c r="K949" s="69"/>
      <c r="L949" s="69"/>
      <c r="M949" s="69"/>
      <c r="N949" s="69"/>
      <c r="O949" s="65"/>
      <c r="P949" s="70" t="s">
        <v>6095</v>
      </c>
      <c r="Q949" s="65"/>
      <c r="R949" s="71">
        <v>40250</v>
      </c>
      <c r="S949" s="65"/>
      <c r="T949" s="70" t="s">
        <v>6096</v>
      </c>
      <c r="U949" s="65"/>
    </row>
    <row r="950" spans="1:21" ht="13.5" customHeight="1" x14ac:dyDescent="0.15">
      <c r="A950" s="68"/>
      <c r="B950" s="69"/>
      <c r="C950" s="69"/>
      <c r="D950" s="69"/>
      <c r="E950" s="69"/>
      <c r="F950" s="69"/>
      <c r="G950" s="69"/>
      <c r="H950" s="69"/>
      <c r="I950" s="69"/>
      <c r="J950" s="69"/>
      <c r="K950" s="69"/>
      <c r="L950" s="69"/>
      <c r="M950" s="69"/>
      <c r="N950" s="69"/>
      <c r="O950" s="65"/>
      <c r="P950" s="70" t="s">
        <v>6097</v>
      </c>
      <c r="Q950" s="65"/>
      <c r="R950" s="71">
        <v>43273</v>
      </c>
      <c r="S950" s="65"/>
      <c r="T950" s="70" t="s">
        <v>6098</v>
      </c>
      <c r="U950" s="65"/>
    </row>
    <row r="951" spans="1:21" ht="25.5" customHeight="1" x14ac:dyDescent="0.15">
      <c r="A951" s="61">
        <v>2601</v>
      </c>
      <c r="B951" s="67" t="s">
        <v>6099</v>
      </c>
      <c r="C951" s="65"/>
      <c r="D951" s="66">
        <v>5297</v>
      </c>
      <c r="E951" s="69"/>
      <c r="F951" s="65"/>
      <c r="G951" s="67" t="s">
        <v>6100</v>
      </c>
      <c r="H951" s="65"/>
      <c r="I951" s="64">
        <v>39519</v>
      </c>
      <c r="J951" s="65"/>
      <c r="K951" s="54">
        <v>1121</v>
      </c>
      <c r="L951" s="66">
        <v>1145</v>
      </c>
      <c r="M951" s="65"/>
      <c r="N951" s="73" t="s">
        <v>6101</v>
      </c>
      <c r="O951" s="65"/>
      <c r="P951" s="67" t="s">
        <v>6102</v>
      </c>
      <c r="Q951" s="65"/>
      <c r="R951" s="64">
        <v>39519</v>
      </c>
      <c r="S951" s="65"/>
      <c r="T951" s="67" t="s">
        <v>6103</v>
      </c>
      <c r="U951" s="65"/>
    </row>
    <row r="952" spans="1:21" ht="12.75" customHeight="1" x14ac:dyDescent="0.15">
      <c r="A952" s="68"/>
      <c r="B952" s="69"/>
      <c r="C952" s="69"/>
      <c r="D952" s="69"/>
      <c r="E952" s="69"/>
      <c r="F952" s="69"/>
      <c r="G952" s="69"/>
      <c r="H952" s="69"/>
      <c r="I952" s="69"/>
      <c r="J952" s="69"/>
      <c r="K952" s="69"/>
      <c r="L952" s="69"/>
      <c r="M952" s="69"/>
      <c r="N952" s="69"/>
      <c r="O952" s="65"/>
      <c r="P952" s="70" t="s">
        <v>6104</v>
      </c>
      <c r="Q952" s="65"/>
      <c r="R952" s="71">
        <v>39520</v>
      </c>
      <c r="S952" s="65"/>
      <c r="T952" s="70" t="s">
        <v>6105</v>
      </c>
      <c r="U952" s="65"/>
    </row>
    <row r="953" spans="1:21" ht="25.5" customHeight="1" x14ac:dyDescent="0.15">
      <c r="A953" s="61">
        <v>2602</v>
      </c>
      <c r="B953" s="67" t="s">
        <v>6106</v>
      </c>
      <c r="C953" s="65"/>
      <c r="D953" s="66">
        <v>5298</v>
      </c>
      <c r="E953" s="69"/>
      <c r="F953" s="65"/>
      <c r="G953" s="67" t="s">
        <v>6107</v>
      </c>
      <c r="H953" s="65"/>
      <c r="I953" s="64">
        <v>39519</v>
      </c>
      <c r="J953" s="65"/>
      <c r="K953" s="54">
        <v>1121</v>
      </c>
      <c r="L953" s="66">
        <v>1145</v>
      </c>
      <c r="M953" s="65"/>
      <c r="N953" s="70" t="s">
        <v>6108</v>
      </c>
      <c r="O953" s="65"/>
      <c r="P953" s="67" t="s">
        <v>6109</v>
      </c>
      <c r="Q953" s="65"/>
      <c r="R953" s="64">
        <v>39519</v>
      </c>
      <c r="S953" s="65"/>
      <c r="T953" s="67" t="s">
        <v>6110</v>
      </c>
      <c r="U953" s="65"/>
    </row>
    <row r="954" spans="1:21" ht="13.5" customHeight="1" x14ac:dyDescent="0.15">
      <c r="A954" s="68"/>
      <c r="B954" s="69"/>
      <c r="C954" s="69"/>
      <c r="D954" s="69"/>
      <c r="E954" s="69"/>
      <c r="F954" s="69"/>
      <c r="G954" s="69"/>
      <c r="H954" s="69"/>
      <c r="I954" s="69"/>
      <c r="J954" s="69"/>
      <c r="K954" s="69"/>
      <c r="L954" s="69"/>
      <c r="M954" s="69"/>
      <c r="N954" s="69"/>
      <c r="O954" s="65"/>
      <c r="P954" s="70" t="s">
        <v>6111</v>
      </c>
      <c r="Q954" s="65"/>
      <c r="R954" s="71">
        <v>39543</v>
      </c>
      <c r="S954" s="65"/>
      <c r="T954" s="70" t="s">
        <v>6112</v>
      </c>
      <c r="U954" s="65"/>
    </row>
    <row r="955" spans="1:21" ht="25.5" customHeight="1" x14ac:dyDescent="0.15">
      <c r="A955" s="61">
        <v>2603</v>
      </c>
      <c r="B955" s="67" t="s">
        <v>6113</v>
      </c>
      <c r="C955" s="65"/>
      <c r="D955" s="66">
        <v>18562</v>
      </c>
      <c r="E955" s="69"/>
      <c r="F955" s="65"/>
      <c r="G955" s="67" t="s">
        <v>6114</v>
      </c>
      <c r="H955" s="65"/>
      <c r="I955" s="64">
        <v>39774</v>
      </c>
      <c r="J955" s="65"/>
      <c r="K955" s="54">
        <v>2402</v>
      </c>
      <c r="L955" s="66">
        <v>1143</v>
      </c>
      <c r="M955" s="65"/>
      <c r="N955" s="73" t="s">
        <v>6115</v>
      </c>
      <c r="O955" s="65"/>
      <c r="P955" s="67" t="s">
        <v>6116</v>
      </c>
      <c r="Q955" s="65"/>
      <c r="R955" s="64">
        <v>39774</v>
      </c>
      <c r="S955" s="65"/>
      <c r="T955" s="67" t="s">
        <v>6117</v>
      </c>
      <c r="U955" s="65"/>
    </row>
    <row r="956" spans="1:21" ht="12.75" customHeight="1" x14ac:dyDescent="0.15">
      <c r="A956" s="68"/>
      <c r="B956" s="69"/>
      <c r="C956" s="69"/>
      <c r="D956" s="69"/>
      <c r="E956" s="69"/>
      <c r="F956" s="69"/>
      <c r="G956" s="69"/>
      <c r="H956" s="69"/>
      <c r="I956" s="69"/>
      <c r="J956" s="69"/>
      <c r="K956" s="69"/>
      <c r="L956" s="69"/>
      <c r="M956" s="69"/>
      <c r="N956" s="69"/>
      <c r="O956" s="65"/>
      <c r="P956" s="70" t="s">
        <v>6118</v>
      </c>
      <c r="Q956" s="65"/>
      <c r="R956" s="71">
        <v>39774</v>
      </c>
      <c r="S956" s="65"/>
      <c r="T956" s="70" t="s">
        <v>6119</v>
      </c>
      <c r="U956" s="65"/>
    </row>
    <row r="957" spans="1:21" ht="24.75" customHeight="1" x14ac:dyDescent="0.15">
      <c r="A957" s="61">
        <v>2604</v>
      </c>
      <c r="B957" s="67" t="s">
        <v>6120</v>
      </c>
      <c r="C957" s="65"/>
      <c r="D957" s="66">
        <v>104568</v>
      </c>
      <c r="E957" s="69"/>
      <c r="F957" s="65"/>
      <c r="G957" s="67" t="s">
        <v>6121</v>
      </c>
      <c r="H957" s="65"/>
      <c r="I957" s="64">
        <v>39523</v>
      </c>
      <c r="J957" s="65"/>
      <c r="K957" s="54">
        <v>1130</v>
      </c>
      <c r="L957" s="66">
        <v>2436</v>
      </c>
      <c r="M957" s="65"/>
      <c r="N957" s="70" t="s">
        <v>6122</v>
      </c>
      <c r="O957" s="65"/>
      <c r="P957" s="67" t="s">
        <v>6123</v>
      </c>
      <c r="Q957" s="65"/>
      <c r="R957" s="64">
        <v>39523</v>
      </c>
      <c r="S957" s="65"/>
      <c r="T957" s="67" t="s">
        <v>6124</v>
      </c>
      <c r="U957" s="65"/>
    </row>
    <row r="958" spans="1:21" ht="12.75" customHeight="1" x14ac:dyDescent="0.15">
      <c r="A958" s="68"/>
      <c r="B958" s="69"/>
      <c r="C958" s="69"/>
      <c r="D958" s="69"/>
      <c r="E958" s="69"/>
      <c r="F958" s="69"/>
      <c r="G958" s="69"/>
      <c r="H958" s="69"/>
      <c r="I958" s="69"/>
      <c r="J958" s="69"/>
      <c r="K958" s="69"/>
      <c r="L958" s="69"/>
      <c r="M958" s="69"/>
      <c r="N958" s="69"/>
      <c r="O958" s="65"/>
      <c r="P958" s="70" t="s">
        <v>6125</v>
      </c>
      <c r="Q958" s="65"/>
      <c r="R958" s="71">
        <v>39527</v>
      </c>
      <c r="S958" s="65"/>
      <c r="T958" s="70" t="s">
        <v>6126</v>
      </c>
      <c r="U958" s="65"/>
    </row>
    <row r="959" spans="1:21" ht="25.5" customHeight="1" x14ac:dyDescent="0.15">
      <c r="A959" s="61">
        <v>2605</v>
      </c>
      <c r="B959" s="67" t="s">
        <v>6127</v>
      </c>
      <c r="C959" s="65"/>
      <c r="D959" s="66">
        <v>101471</v>
      </c>
      <c r="E959" s="69"/>
      <c r="F959" s="65"/>
      <c r="G959" s="67" t="s">
        <v>6128</v>
      </c>
      <c r="H959" s="65"/>
      <c r="I959" s="64">
        <v>39523</v>
      </c>
      <c r="J959" s="65"/>
      <c r="K959" s="54">
        <v>1130</v>
      </c>
      <c r="L959" s="66">
        <v>2436</v>
      </c>
      <c r="M959" s="65"/>
      <c r="N959" s="70" t="s">
        <v>6129</v>
      </c>
      <c r="O959" s="65"/>
      <c r="P959" s="67" t="s">
        <v>6130</v>
      </c>
      <c r="Q959" s="65"/>
      <c r="R959" s="64">
        <v>39523</v>
      </c>
      <c r="S959" s="65"/>
      <c r="T959" s="67" t="s">
        <v>6131</v>
      </c>
      <c r="U959" s="65"/>
    </row>
    <row r="960" spans="1:21" ht="12.75" customHeight="1" x14ac:dyDescent="0.15">
      <c r="A960" s="68"/>
      <c r="B960" s="69"/>
      <c r="C960" s="69"/>
      <c r="D960" s="69"/>
      <c r="E960" s="69"/>
      <c r="F960" s="69"/>
      <c r="G960" s="69"/>
      <c r="H960" s="69"/>
      <c r="I960" s="69"/>
      <c r="J960" s="69"/>
      <c r="K960" s="69"/>
      <c r="L960" s="69"/>
      <c r="M960" s="69"/>
      <c r="N960" s="69"/>
      <c r="O960" s="65"/>
      <c r="P960" s="70" t="s">
        <v>6132</v>
      </c>
      <c r="Q960" s="65"/>
      <c r="R960" s="71">
        <v>40003</v>
      </c>
      <c r="S960" s="65"/>
      <c r="T960" s="70" t="s">
        <v>6133</v>
      </c>
      <c r="U960" s="65"/>
    </row>
    <row r="961" spans="1:21" ht="12.75" customHeight="1" x14ac:dyDescent="0.15">
      <c r="A961" s="68"/>
      <c r="B961" s="69"/>
      <c r="C961" s="69"/>
      <c r="D961" s="69"/>
      <c r="E961" s="69"/>
      <c r="F961" s="69"/>
      <c r="G961" s="69"/>
      <c r="H961" s="69"/>
      <c r="I961" s="69"/>
      <c r="J961" s="69"/>
      <c r="K961" s="69"/>
      <c r="L961" s="69"/>
      <c r="M961" s="69"/>
      <c r="N961" s="69"/>
      <c r="O961" s="65"/>
      <c r="P961" s="70" t="s">
        <v>6134</v>
      </c>
      <c r="Q961" s="65"/>
      <c r="R961" s="71">
        <v>42285</v>
      </c>
      <c r="S961" s="65"/>
      <c r="T961" s="70" t="s">
        <v>6135</v>
      </c>
      <c r="U961" s="65"/>
    </row>
    <row r="962" spans="1:21" ht="21" customHeight="1" x14ac:dyDescent="0.15">
      <c r="A962" s="60" t="s">
        <v>6136</v>
      </c>
      <c r="B962" s="72" t="s">
        <v>6137</v>
      </c>
      <c r="C962" s="65"/>
      <c r="D962" s="72" t="s">
        <v>6138</v>
      </c>
      <c r="E962" s="69"/>
      <c r="F962" s="65"/>
      <c r="G962" s="72" t="s">
        <v>6139</v>
      </c>
      <c r="H962" s="65"/>
      <c r="I962" s="72" t="s">
        <v>6140</v>
      </c>
      <c r="J962" s="65"/>
      <c r="K962" s="60" t="s">
        <v>6141</v>
      </c>
      <c r="L962" s="72" t="s">
        <v>6142</v>
      </c>
      <c r="M962" s="65"/>
      <c r="N962" s="72" t="s">
        <v>6143</v>
      </c>
      <c r="O962" s="65"/>
      <c r="P962" s="72" t="s">
        <v>6144</v>
      </c>
      <c r="Q962" s="65"/>
      <c r="R962" s="72" t="s">
        <v>6145</v>
      </c>
      <c r="S962" s="65"/>
      <c r="T962" s="72" t="s">
        <v>6146</v>
      </c>
      <c r="U962" s="65"/>
    </row>
    <row r="963" spans="1:21" ht="25.5" customHeight="1" x14ac:dyDescent="0.15">
      <c r="A963" s="61">
        <v>2606</v>
      </c>
      <c r="B963" s="67" t="s">
        <v>6147</v>
      </c>
      <c r="C963" s="65"/>
      <c r="D963" s="67" t="s">
        <v>6148</v>
      </c>
      <c r="E963" s="69"/>
      <c r="F963" s="65"/>
      <c r="G963" s="67" t="s">
        <v>6149</v>
      </c>
      <c r="H963" s="65"/>
      <c r="I963" s="64">
        <v>39490</v>
      </c>
      <c r="J963" s="65"/>
      <c r="K963" s="54">
        <v>1125</v>
      </c>
      <c r="L963" s="66">
        <v>1124</v>
      </c>
      <c r="M963" s="65"/>
      <c r="N963" s="70" t="s">
        <v>6150</v>
      </c>
      <c r="O963" s="65"/>
      <c r="P963" s="67" t="s">
        <v>6151</v>
      </c>
      <c r="Q963" s="65"/>
      <c r="R963" s="64">
        <v>39490</v>
      </c>
      <c r="S963" s="65"/>
      <c r="T963" s="67" t="s">
        <v>6152</v>
      </c>
      <c r="U963" s="65"/>
    </row>
    <row r="964" spans="1:21" ht="12.75" customHeight="1" x14ac:dyDescent="0.15">
      <c r="A964" s="68"/>
      <c r="B964" s="69"/>
      <c r="C964" s="69"/>
      <c r="D964" s="69"/>
      <c r="E964" s="69"/>
      <c r="F964" s="69"/>
      <c r="G964" s="69"/>
      <c r="H964" s="69"/>
      <c r="I964" s="69"/>
      <c r="J964" s="69"/>
      <c r="K964" s="69"/>
      <c r="L964" s="69"/>
      <c r="M964" s="69"/>
      <c r="N964" s="69"/>
      <c r="O964" s="65"/>
      <c r="P964" s="70" t="s">
        <v>6153</v>
      </c>
      <c r="Q964" s="65"/>
      <c r="R964" s="71">
        <v>39490</v>
      </c>
      <c r="S964" s="65"/>
      <c r="T964" s="70" t="s">
        <v>6154</v>
      </c>
      <c r="U964" s="65"/>
    </row>
    <row r="965" spans="1:21" ht="24.75" customHeight="1" x14ac:dyDescent="0.15">
      <c r="A965" s="61">
        <v>2607</v>
      </c>
      <c r="B965" s="67" t="s">
        <v>6155</v>
      </c>
      <c r="C965" s="65"/>
      <c r="D965" s="66">
        <v>508445</v>
      </c>
      <c r="E965" s="69"/>
      <c r="F965" s="65"/>
      <c r="G965" s="67" t="s">
        <v>6156</v>
      </c>
      <c r="H965" s="65"/>
      <c r="I965" s="64">
        <v>39709</v>
      </c>
      <c r="J965" s="65"/>
      <c r="K965" s="54">
        <v>1131</v>
      </c>
      <c r="L965" s="66">
        <v>2403</v>
      </c>
      <c r="M965" s="65"/>
      <c r="N965" s="70" t="s">
        <v>6157</v>
      </c>
      <c r="O965" s="65"/>
      <c r="P965" s="67" t="s">
        <v>6158</v>
      </c>
      <c r="Q965" s="65"/>
      <c r="R965" s="64">
        <v>39709</v>
      </c>
      <c r="S965" s="65"/>
      <c r="T965" s="67" t="s">
        <v>6159</v>
      </c>
      <c r="U965" s="65"/>
    </row>
    <row r="966" spans="1:21" ht="12.75" customHeight="1" x14ac:dyDescent="0.15">
      <c r="A966" s="68"/>
      <c r="B966" s="69"/>
      <c r="C966" s="69"/>
      <c r="D966" s="69"/>
      <c r="E966" s="69"/>
      <c r="F966" s="69"/>
      <c r="G966" s="69"/>
      <c r="H966" s="69"/>
      <c r="I966" s="69"/>
      <c r="J966" s="69"/>
      <c r="K966" s="69"/>
      <c r="L966" s="69"/>
      <c r="M966" s="69"/>
      <c r="N966" s="69"/>
      <c r="O966" s="65"/>
      <c r="P966" s="70" t="s">
        <v>6160</v>
      </c>
      <c r="Q966" s="65"/>
      <c r="R966" s="71">
        <v>43452</v>
      </c>
      <c r="S966" s="65"/>
      <c r="T966" s="70" t="s">
        <v>6161</v>
      </c>
      <c r="U966" s="65"/>
    </row>
    <row r="967" spans="1:21" ht="13.5" customHeight="1" x14ac:dyDescent="0.15">
      <c r="A967" s="68"/>
      <c r="B967" s="69"/>
      <c r="C967" s="69"/>
      <c r="D967" s="69"/>
      <c r="E967" s="69"/>
      <c r="F967" s="69"/>
      <c r="G967" s="69"/>
      <c r="H967" s="69"/>
      <c r="I967" s="69"/>
      <c r="J967" s="69"/>
      <c r="K967" s="69"/>
      <c r="L967" s="69"/>
      <c r="M967" s="69"/>
      <c r="N967" s="69"/>
      <c r="O967" s="65"/>
      <c r="P967" s="70" t="s">
        <v>6162</v>
      </c>
      <c r="Q967" s="65"/>
      <c r="R967" s="71">
        <v>43497</v>
      </c>
      <c r="S967" s="65"/>
      <c r="T967" s="70" t="s">
        <v>6163</v>
      </c>
      <c r="U967" s="65"/>
    </row>
    <row r="968" spans="1:21" ht="25.5" customHeight="1" x14ac:dyDescent="0.15">
      <c r="A968" s="61">
        <v>2608</v>
      </c>
      <c r="B968" s="67" t="s">
        <v>6164</v>
      </c>
      <c r="C968" s="65"/>
      <c r="D968" s="66">
        <v>101748</v>
      </c>
      <c r="E968" s="69"/>
      <c r="F968" s="65"/>
      <c r="G968" s="67" t="s">
        <v>6165</v>
      </c>
      <c r="H968" s="65"/>
      <c r="I968" s="64">
        <v>39709</v>
      </c>
      <c r="J968" s="65"/>
      <c r="K968" s="54">
        <v>1131</v>
      </c>
      <c r="L968" s="66">
        <v>2403</v>
      </c>
      <c r="M968" s="65"/>
      <c r="N968" s="73" t="s">
        <v>6166</v>
      </c>
      <c r="O968" s="65"/>
      <c r="P968" s="67" t="s">
        <v>6167</v>
      </c>
      <c r="Q968" s="65"/>
      <c r="R968" s="64">
        <v>39709</v>
      </c>
      <c r="S968" s="65"/>
      <c r="T968" s="67" t="s">
        <v>6168</v>
      </c>
      <c r="U968" s="65"/>
    </row>
    <row r="969" spans="1:21" ht="12.75" customHeight="1" x14ac:dyDescent="0.15">
      <c r="A969" s="68"/>
      <c r="B969" s="69"/>
      <c r="C969" s="69"/>
      <c r="D969" s="69"/>
      <c r="E969" s="69"/>
      <c r="F969" s="69"/>
      <c r="G969" s="69"/>
      <c r="H969" s="69"/>
      <c r="I969" s="69"/>
      <c r="J969" s="69"/>
      <c r="K969" s="69"/>
      <c r="L969" s="69"/>
      <c r="M969" s="69"/>
      <c r="N969" s="69"/>
      <c r="O969" s="65"/>
      <c r="P969" s="70" t="s">
        <v>6169</v>
      </c>
      <c r="Q969" s="65"/>
      <c r="R969" s="71">
        <v>40052</v>
      </c>
      <c r="S969" s="65"/>
      <c r="T969" s="70" t="s">
        <v>6170</v>
      </c>
      <c r="U969" s="65"/>
    </row>
    <row r="970" spans="1:21" ht="12.75" customHeight="1" x14ac:dyDescent="0.15">
      <c r="A970" s="68"/>
      <c r="B970" s="69"/>
      <c r="C970" s="69"/>
      <c r="D970" s="69"/>
      <c r="E970" s="69"/>
      <c r="F970" s="69"/>
      <c r="G970" s="69"/>
      <c r="H970" s="69"/>
      <c r="I970" s="69"/>
      <c r="J970" s="69"/>
      <c r="K970" s="69"/>
      <c r="L970" s="69"/>
      <c r="M970" s="69"/>
      <c r="N970" s="69"/>
      <c r="O970" s="65"/>
      <c r="P970" s="70" t="s">
        <v>6171</v>
      </c>
      <c r="Q970" s="65"/>
      <c r="R970" s="71">
        <v>42906</v>
      </c>
      <c r="S970" s="65"/>
      <c r="T970" s="70" t="s">
        <v>6172</v>
      </c>
      <c r="U970" s="65"/>
    </row>
    <row r="971" spans="1:21" ht="13.5" customHeight="1" x14ac:dyDescent="0.15">
      <c r="A971" s="68"/>
      <c r="B971" s="69"/>
      <c r="C971" s="69"/>
      <c r="D971" s="69"/>
      <c r="E971" s="69"/>
      <c r="F971" s="69"/>
      <c r="G971" s="69"/>
      <c r="H971" s="69"/>
      <c r="I971" s="69"/>
      <c r="J971" s="69"/>
      <c r="K971" s="69"/>
      <c r="L971" s="69"/>
      <c r="M971" s="69"/>
      <c r="N971" s="69"/>
      <c r="O971" s="65"/>
      <c r="P971" s="70" t="s">
        <v>6173</v>
      </c>
      <c r="Q971" s="65"/>
      <c r="R971" s="71">
        <v>44215</v>
      </c>
      <c r="S971" s="65"/>
      <c r="T971" s="70" t="s">
        <v>6174</v>
      </c>
      <c r="U971" s="65"/>
    </row>
    <row r="972" spans="1:21" ht="25.5" customHeight="1" x14ac:dyDescent="0.15">
      <c r="A972" s="61">
        <v>2609</v>
      </c>
      <c r="B972" s="67" t="s">
        <v>6175</v>
      </c>
      <c r="C972" s="65"/>
      <c r="D972" s="66">
        <v>23709</v>
      </c>
      <c r="E972" s="69"/>
      <c r="F972" s="65"/>
      <c r="G972" s="67" t="s">
        <v>6176</v>
      </c>
      <c r="H972" s="65"/>
      <c r="I972" s="64">
        <v>40039</v>
      </c>
      <c r="J972" s="65"/>
      <c r="K972" s="54">
        <v>1138</v>
      </c>
      <c r="L972" s="66">
        <v>2506</v>
      </c>
      <c r="M972" s="65"/>
      <c r="N972" s="73" t="s">
        <v>6177</v>
      </c>
      <c r="O972" s="65"/>
      <c r="P972" s="67" t="s">
        <v>6178</v>
      </c>
      <c r="Q972" s="65"/>
      <c r="R972" s="64">
        <v>40039</v>
      </c>
      <c r="S972" s="65"/>
      <c r="T972" s="67" t="s">
        <v>6179</v>
      </c>
      <c r="U972" s="65"/>
    </row>
    <row r="973" spans="1:21" ht="12.75" customHeight="1" x14ac:dyDescent="0.15">
      <c r="A973" s="68"/>
      <c r="B973" s="69"/>
      <c r="C973" s="69"/>
      <c r="D973" s="69"/>
      <c r="E973" s="69"/>
      <c r="F973" s="69"/>
      <c r="G973" s="69"/>
      <c r="H973" s="69"/>
      <c r="I973" s="69"/>
      <c r="J973" s="69"/>
      <c r="K973" s="69"/>
      <c r="L973" s="69"/>
      <c r="M973" s="69"/>
      <c r="N973" s="69"/>
      <c r="O973" s="65"/>
      <c r="P973" s="70" t="s">
        <v>6180</v>
      </c>
      <c r="Q973" s="65"/>
      <c r="R973" s="71">
        <v>41073</v>
      </c>
      <c r="S973" s="65"/>
      <c r="T973" s="70" t="s">
        <v>6181</v>
      </c>
      <c r="U973" s="65"/>
    </row>
    <row r="974" spans="1:21" ht="12.75" customHeight="1" x14ac:dyDescent="0.15">
      <c r="A974" s="68"/>
      <c r="B974" s="69"/>
      <c r="C974" s="69"/>
      <c r="D974" s="69"/>
      <c r="E974" s="69"/>
      <c r="F974" s="69"/>
      <c r="G974" s="69"/>
      <c r="H974" s="69"/>
      <c r="I974" s="69"/>
      <c r="J974" s="69"/>
      <c r="K974" s="69"/>
      <c r="L974" s="69"/>
      <c r="M974" s="69"/>
      <c r="N974" s="69"/>
      <c r="O974" s="65"/>
      <c r="P974" s="70" t="s">
        <v>6182</v>
      </c>
      <c r="Q974" s="65"/>
      <c r="R974" s="71">
        <v>42483</v>
      </c>
      <c r="S974" s="65"/>
      <c r="T974" s="70" t="s">
        <v>6183</v>
      </c>
      <c r="U974" s="65"/>
    </row>
    <row r="975" spans="1:21" ht="13.5" customHeight="1" x14ac:dyDescent="0.15">
      <c r="A975" s="68"/>
      <c r="B975" s="69"/>
      <c r="C975" s="69"/>
      <c r="D975" s="69"/>
      <c r="E975" s="69"/>
      <c r="F975" s="69"/>
      <c r="G975" s="69"/>
      <c r="H975" s="69"/>
      <c r="I975" s="69"/>
      <c r="J975" s="69"/>
      <c r="K975" s="69"/>
      <c r="L975" s="69"/>
      <c r="M975" s="69"/>
      <c r="N975" s="69"/>
      <c r="O975" s="65"/>
      <c r="P975" s="70" t="s">
        <v>6184</v>
      </c>
      <c r="Q975" s="65"/>
      <c r="R975" s="71">
        <v>42518</v>
      </c>
      <c r="S975" s="65"/>
      <c r="T975" s="70" t="s">
        <v>6185</v>
      </c>
      <c r="U975" s="65"/>
    </row>
    <row r="976" spans="1:21" ht="25.5" customHeight="1" x14ac:dyDescent="0.15">
      <c r="A976" s="61">
        <v>2610</v>
      </c>
      <c r="B976" s="67" t="s">
        <v>6186</v>
      </c>
      <c r="C976" s="65"/>
      <c r="D976" s="67" t="s">
        <v>6187</v>
      </c>
      <c r="E976" s="69"/>
      <c r="F976" s="65"/>
      <c r="G976" s="67" t="s">
        <v>6188</v>
      </c>
      <c r="H976" s="65"/>
      <c r="I976" s="64">
        <v>40123</v>
      </c>
      <c r="J976" s="65"/>
      <c r="K976" s="54">
        <v>2496</v>
      </c>
      <c r="L976" s="66">
        <v>2501</v>
      </c>
      <c r="M976" s="65"/>
      <c r="N976" s="73" t="s">
        <v>6189</v>
      </c>
      <c r="O976" s="65"/>
      <c r="P976" s="67" t="s">
        <v>6190</v>
      </c>
      <c r="Q976" s="65"/>
      <c r="R976" s="64">
        <v>40123</v>
      </c>
      <c r="S976" s="65"/>
      <c r="T976" s="67" t="s">
        <v>6191</v>
      </c>
      <c r="U976" s="65"/>
    </row>
    <row r="977" spans="1:21" ht="12.75" customHeight="1" x14ac:dyDescent="0.15">
      <c r="A977" s="68"/>
      <c r="B977" s="69"/>
      <c r="C977" s="69"/>
      <c r="D977" s="69"/>
      <c r="E977" s="69"/>
      <c r="F977" s="69"/>
      <c r="G977" s="69"/>
      <c r="H977" s="69"/>
      <c r="I977" s="69"/>
      <c r="J977" s="69"/>
      <c r="K977" s="69"/>
      <c r="L977" s="69"/>
      <c r="M977" s="69"/>
      <c r="N977" s="69"/>
      <c r="O977" s="65"/>
      <c r="P977" s="70" t="s">
        <v>6192</v>
      </c>
      <c r="Q977" s="65"/>
      <c r="R977" s="71">
        <v>40123</v>
      </c>
      <c r="S977" s="65"/>
      <c r="T977" s="70" t="s">
        <v>6193</v>
      </c>
      <c r="U977" s="65"/>
    </row>
    <row r="978" spans="1:21" ht="24.75" customHeight="1" x14ac:dyDescent="0.15">
      <c r="A978" s="61">
        <v>2611</v>
      </c>
      <c r="B978" s="67" t="s">
        <v>6194</v>
      </c>
      <c r="C978" s="65"/>
      <c r="D978" s="66">
        <v>5654</v>
      </c>
      <c r="E978" s="69"/>
      <c r="F978" s="65"/>
      <c r="G978" s="67" t="s">
        <v>6195</v>
      </c>
      <c r="H978" s="65"/>
      <c r="I978" s="64">
        <v>39946</v>
      </c>
      <c r="J978" s="65"/>
      <c r="K978" s="54">
        <v>1121</v>
      </c>
      <c r="L978" s="66">
        <v>1145</v>
      </c>
      <c r="M978" s="65"/>
      <c r="N978" s="70" t="s">
        <v>6196</v>
      </c>
      <c r="O978" s="65"/>
      <c r="P978" s="67" t="s">
        <v>6197</v>
      </c>
      <c r="Q978" s="65"/>
      <c r="R978" s="64">
        <v>39946</v>
      </c>
      <c r="S978" s="65"/>
      <c r="T978" s="67" t="s">
        <v>6198</v>
      </c>
      <c r="U978" s="65"/>
    </row>
    <row r="979" spans="1:21" ht="12.75" customHeight="1" x14ac:dyDescent="0.15">
      <c r="A979" s="68"/>
      <c r="B979" s="69"/>
      <c r="C979" s="69"/>
      <c r="D979" s="69"/>
      <c r="E979" s="69"/>
      <c r="F979" s="69"/>
      <c r="G979" s="69"/>
      <c r="H979" s="69"/>
      <c r="I979" s="69"/>
      <c r="J979" s="69"/>
      <c r="K979" s="69"/>
      <c r="L979" s="69"/>
      <c r="M979" s="69"/>
      <c r="N979" s="69"/>
      <c r="O979" s="65"/>
      <c r="P979" s="70" t="s">
        <v>6199</v>
      </c>
      <c r="Q979" s="65"/>
      <c r="R979" s="71">
        <v>39955</v>
      </c>
      <c r="S979" s="65"/>
      <c r="T979" s="70" t="s">
        <v>6200</v>
      </c>
      <c r="U979" s="65"/>
    </row>
    <row r="980" spans="1:21" ht="25.5" customHeight="1" x14ac:dyDescent="0.15">
      <c r="A980" s="61">
        <v>2612</v>
      </c>
      <c r="B980" s="67" t="s">
        <v>6201</v>
      </c>
      <c r="C980" s="65"/>
      <c r="D980" s="66">
        <v>104649</v>
      </c>
      <c r="E980" s="69"/>
      <c r="F980" s="65"/>
      <c r="G980" s="67" t="s">
        <v>6202</v>
      </c>
      <c r="H980" s="65"/>
      <c r="I980" s="64">
        <v>39899</v>
      </c>
      <c r="J980" s="65"/>
      <c r="K980" s="54">
        <v>1130</v>
      </c>
      <c r="L980" s="66">
        <v>2436</v>
      </c>
      <c r="M980" s="65"/>
      <c r="N980" s="70" t="s">
        <v>6203</v>
      </c>
      <c r="O980" s="65"/>
      <c r="P980" s="67" t="s">
        <v>6204</v>
      </c>
      <c r="Q980" s="65"/>
      <c r="R980" s="64">
        <v>39899</v>
      </c>
      <c r="S980" s="65"/>
      <c r="T980" s="67" t="s">
        <v>6205</v>
      </c>
      <c r="U980" s="65"/>
    </row>
    <row r="981" spans="1:21" ht="12.75" customHeight="1" x14ac:dyDescent="0.15">
      <c r="A981" s="68"/>
      <c r="B981" s="69"/>
      <c r="C981" s="69"/>
      <c r="D981" s="69"/>
      <c r="E981" s="69"/>
      <c r="F981" s="69"/>
      <c r="G981" s="69"/>
      <c r="H981" s="69"/>
      <c r="I981" s="69"/>
      <c r="J981" s="69"/>
      <c r="K981" s="69"/>
      <c r="L981" s="69"/>
      <c r="M981" s="69"/>
      <c r="N981" s="69"/>
      <c r="O981" s="65"/>
      <c r="P981" s="70" t="s">
        <v>6206</v>
      </c>
      <c r="Q981" s="65"/>
      <c r="R981" s="71">
        <v>39902</v>
      </c>
      <c r="S981" s="65"/>
      <c r="T981" s="70" t="s">
        <v>6207</v>
      </c>
      <c r="U981" s="65"/>
    </row>
    <row r="982" spans="1:21" ht="25.5" customHeight="1" x14ac:dyDescent="0.15">
      <c r="A982" s="61">
        <v>2613</v>
      </c>
      <c r="B982" s="67" t="s">
        <v>6208</v>
      </c>
      <c r="C982" s="65"/>
      <c r="D982" s="67" t="s">
        <v>6209</v>
      </c>
      <c r="E982" s="69"/>
      <c r="F982" s="65"/>
      <c r="G982" s="67" t="s">
        <v>6210</v>
      </c>
      <c r="H982" s="65"/>
      <c r="I982" s="64">
        <v>40012</v>
      </c>
      <c r="J982" s="65"/>
      <c r="K982" s="54">
        <v>1131</v>
      </c>
      <c r="L982" s="66">
        <v>2403</v>
      </c>
      <c r="M982" s="65"/>
      <c r="N982" s="73" t="s">
        <v>6211</v>
      </c>
      <c r="O982" s="65"/>
      <c r="P982" s="67" t="s">
        <v>6212</v>
      </c>
      <c r="Q982" s="65"/>
      <c r="R982" s="64">
        <v>40012</v>
      </c>
      <c r="S982" s="65"/>
      <c r="T982" s="67" t="s">
        <v>6213</v>
      </c>
      <c r="U982" s="65"/>
    </row>
    <row r="983" spans="1:21" ht="12.75" customHeight="1" x14ac:dyDescent="0.15">
      <c r="A983" s="68"/>
      <c r="B983" s="69"/>
      <c r="C983" s="69"/>
      <c r="D983" s="69"/>
      <c r="E983" s="69"/>
      <c r="F983" s="69"/>
      <c r="G983" s="69"/>
      <c r="H983" s="69"/>
      <c r="I983" s="69"/>
      <c r="J983" s="69"/>
      <c r="K983" s="69"/>
      <c r="L983" s="69"/>
      <c r="M983" s="69"/>
      <c r="N983" s="69"/>
      <c r="O983" s="65"/>
      <c r="P983" s="70" t="s">
        <v>6214</v>
      </c>
      <c r="Q983" s="65"/>
      <c r="R983" s="71">
        <v>40017</v>
      </c>
      <c r="S983" s="65"/>
      <c r="T983" s="70" t="s">
        <v>6215</v>
      </c>
      <c r="U983" s="65"/>
    </row>
    <row r="984" spans="1:21" ht="25.5" customHeight="1" x14ac:dyDescent="0.15">
      <c r="A984" s="61">
        <v>2614</v>
      </c>
      <c r="B984" s="67" t="s">
        <v>6216</v>
      </c>
      <c r="C984" s="65"/>
      <c r="D984" s="67" t="s">
        <v>6217</v>
      </c>
      <c r="E984" s="69"/>
      <c r="F984" s="65"/>
      <c r="G984" s="67" t="s">
        <v>6218</v>
      </c>
      <c r="H984" s="65"/>
      <c r="I984" s="64">
        <v>40012</v>
      </c>
      <c r="J984" s="65"/>
      <c r="K984" s="54">
        <v>1131</v>
      </c>
      <c r="L984" s="66">
        <v>2403</v>
      </c>
      <c r="M984" s="65"/>
      <c r="N984" s="70" t="s">
        <v>6219</v>
      </c>
      <c r="O984" s="65"/>
      <c r="P984" s="67" t="s">
        <v>6220</v>
      </c>
      <c r="Q984" s="65"/>
      <c r="R984" s="64">
        <v>40012</v>
      </c>
      <c r="S984" s="65"/>
      <c r="T984" s="67" t="s">
        <v>6221</v>
      </c>
      <c r="U984" s="65"/>
    </row>
    <row r="985" spans="1:21" ht="12.75" customHeight="1" x14ac:dyDescent="0.15">
      <c r="A985" s="68"/>
      <c r="B985" s="69"/>
      <c r="C985" s="69"/>
      <c r="D985" s="69"/>
      <c r="E985" s="69"/>
      <c r="F985" s="69"/>
      <c r="G985" s="69"/>
      <c r="H985" s="69"/>
      <c r="I985" s="69"/>
      <c r="J985" s="69"/>
      <c r="K985" s="69"/>
      <c r="L985" s="69"/>
      <c r="M985" s="69"/>
      <c r="N985" s="69"/>
      <c r="O985" s="65"/>
      <c r="P985" s="70" t="s">
        <v>6222</v>
      </c>
      <c r="Q985" s="65"/>
      <c r="R985" s="71">
        <v>43452</v>
      </c>
      <c r="S985" s="65"/>
      <c r="T985" s="70" t="s">
        <v>6223</v>
      </c>
      <c r="U985" s="65"/>
    </row>
    <row r="986" spans="1:21" ht="12.75" customHeight="1" x14ac:dyDescent="0.15">
      <c r="A986" s="68"/>
      <c r="B986" s="69"/>
      <c r="C986" s="69"/>
      <c r="D986" s="69"/>
      <c r="E986" s="69"/>
      <c r="F986" s="69"/>
      <c r="G986" s="69"/>
      <c r="H986" s="69"/>
      <c r="I986" s="69"/>
      <c r="J986" s="69"/>
      <c r="K986" s="69"/>
      <c r="L986" s="69"/>
      <c r="M986" s="69"/>
      <c r="N986" s="69"/>
      <c r="O986" s="65"/>
      <c r="P986" s="70" t="s">
        <v>6224</v>
      </c>
      <c r="Q986" s="65"/>
      <c r="R986" s="71">
        <v>43774</v>
      </c>
      <c r="S986" s="65"/>
      <c r="T986" s="70" t="s">
        <v>6225</v>
      </c>
      <c r="U986" s="65"/>
    </row>
    <row r="987" spans="1:21" ht="25.5" customHeight="1" x14ac:dyDescent="0.15">
      <c r="A987" s="61">
        <v>2615</v>
      </c>
      <c r="B987" s="67" t="s">
        <v>6226</v>
      </c>
      <c r="C987" s="65"/>
      <c r="D987" s="66">
        <v>22297</v>
      </c>
      <c r="E987" s="69"/>
      <c r="F987" s="65"/>
      <c r="G987" s="67" t="s">
        <v>6227</v>
      </c>
      <c r="H987" s="65"/>
      <c r="I987" s="64">
        <v>39928</v>
      </c>
      <c r="J987" s="65"/>
      <c r="K987" s="54">
        <v>1142</v>
      </c>
      <c r="L987" s="66">
        <v>2411</v>
      </c>
      <c r="M987" s="65"/>
      <c r="N987" s="70" t="s">
        <v>6228</v>
      </c>
      <c r="O987" s="65"/>
      <c r="P987" s="67" t="s">
        <v>6229</v>
      </c>
      <c r="Q987" s="65"/>
      <c r="R987" s="64">
        <v>39928</v>
      </c>
      <c r="S987" s="65"/>
      <c r="T987" s="67" t="s">
        <v>6230</v>
      </c>
      <c r="U987" s="65"/>
    </row>
    <row r="988" spans="1:21" ht="13.5" customHeight="1" x14ac:dyDescent="0.15">
      <c r="A988" s="68"/>
      <c r="B988" s="69"/>
      <c r="C988" s="69"/>
      <c r="D988" s="69"/>
      <c r="E988" s="69"/>
      <c r="F988" s="69"/>
      <c r="G988" s="69"/>
      <c r="H988" s="69"/>
      <c r="I988" s="69"/>
      <c r="J988" s="69"/>
      <c r="K988" s="69"/>
      <c r="L988" s="69"/>
      <c r="M988" s="69"/>
      <c r="N988" s="69"/>
      <c r="O988" s="65"/>
      <c r="P988" s="70" t="s">
        <v>6231</v>
      </c>
      <c r="Q988" s="65"/>
      <c r="R988" s="71">
        <v>39928</v>
      </c>
      <c r="S988" s="65"/>
      <c r="T988" s="70" t="s">
        <v>6232</v>
      </c>
      <c r="U988" s="65"/>
    </row>
    <row r="989" spans="1:21" ht="25.5" customHeight="1" x14ac:dyDescent="0.15">
      <c r="A989" s="61">
        <v>2616</v>
      </c>
      <c r="B989" s="67" t="s">
        <v>6233</v>
      </c>
      <c r="C989" s="65"/>
      <c r="D989" s="66">
        <v>22298</v>
      </c>
      <c r="E989" s="69"/>
      <c r="F989" s="65"/>
      <c r="G989" s="67" t="s">
        <v>6234</v>
      </c>
      <c r="H989" s="65"/>
      <c r="I989" s="64">
        <v>39928</v>
      </c>
      <c r="J989" s="65"/>
      <c r="K989" s="54">
        <v>1142</v>
      </c>
      <c r="L989" s="66">
        <v>2411</v>
      </c>
      <c r="M989" s="65"/>
      <c r="N989" s="73" t="s">
        <v>6235</v>
      </c>
      <c r="O989" s="65"/>
      <c r="P989" s="67" t="s">
        <v>6236</v>
      </c>
      <c r="Q989" s="65"/>
      <c r="R989" s="64">
        <v>39928</v>
      </c>
      <c r="S989" s="65"/>
      <c r="T989" s="67" t="s">
        <v>6237</v>
      </c>
      <c r="U989" s="65"/>
    </row>
    <row r="990" spans="1:21" ht="12.75" customHeight="1" x14ac:dyDescent="0.15">
      <c r="A990" s="68"/>
      <c r="B990" s="69"/>
      <c r="C990" s="69"/>
      <c r="D990" s="69"/>
      <c r="E990" s="69"/>
      <c r="F990" s="69"/>
      <c r="G990" s="69"/>
      <c r="H990" s="69"/>
      <c r="I990" s="69"/>
      <c r="J990" s="69"/>
      <c r="K990" s="69"/>
      <c r="L990" s="69"/>
      <c r="M990" s="69"/>
      <c r="N990" s="69"/>
      <c r="O990" s="65"/>
      <c r="P990" s="70" t="s">
        <v>6238</v>
      </c>
      <c r="Q990" s="65"/>
      <c r="R990" s="71">
        <v>39928</v>
      </c>
      <c r="S990" s="65"/>
      <c r="T990" s="70" t="s">
        <v>6239</v>
      </c>
      <c r="U990" s="65"/>
    </row>
    <row r="991" spans="1:21" ht="24.75" customHeight="1" x14ac:dyDescent="0.15">
      <c r="A991" s="61">
        <v>2617</v>
      </c>
      <c r="B991" s="67" t="s">
        <v>6240</v>
      </c>
      <c r="C991" s="65"/>
      <c r="D991" s="66">
        <v>104733</v>
      </c>
      <c r="E991" s="69"/>
      <c r="F991" s="65"/>
      <c r="G991" s="67" t="s">
        <v>6241</v>
      </c>
      <c r="H991" s="65"/>
      <c r="I991" s="64">
        <v>40214</v>
      </c>
      <c r="J991" s="65"/>
      <c r="K991" s="54">
        <v>1130</v>
      </c>
      <c r="L991" s="66">
        <v>2436</v>
      </c>
      <c r="M991" s="65"/>
      <c r="N991" s="70" t="s">
        <v>6242</v>
      </c>
      <c r="O991" s="65"/>
      <c r="P991" s="67" t="s">
        <v>6243</v>
      </c>
      <c r="Q991" s="65"/>
      <c r="R991" s="64">
        <v>40214</v>
      </c>
      <c r="S991" s="65"/>
      <c r="T991" s="67" t="s">
        <v>6244</v>
      </c>
      <c r="U991" s="65"/>
    </row>
    <row r="992" spans="1:21" ht="21" customHeight="1" x14ac:dyDescent="0.15">
      <c r="A992" s="60" t="s">
        <v>6245</v>
      </c>
      <c r="B992" s="72" t="s">
        <v>6246</v>
      </c>
      <c r="C992" s="65"/>
      <c r="D992" s="72" t="s">
        <v>6247</v>
      </c>
      <c r="E992" s="69"/>
      <c r="F992" s="65"/>
      <c r="G992" s="72" t="s">
        <v>6248</v>
      </c>
      <c r="H992" s="65"/>
      <c r="I992" s="72" t="s">
        <v>6249</v>
      </c>
      <c r="J992" s="65"/>
      <c r="K992" s="60" t="s">
        <v>6250</v>
      </c>
      <c r="L992" s="72" t="s">
        <v>6251</v>
      </c>
      <c r="M992" s="65"/>
      <c r="N992" s="72" t="s">
        <v>6252</v>
      </c>
      <c r="O992" s="65"/>
      <c r="P992" s="72" t="s">
        <v>6253</v>
      </c>
      <c r="Q992" s="65"/>
      <c r="R992" s="72" t="s">
        <v>6254</v>
      </c>
      <c r="S992" s="65"/>
      <c r="T992" s="72" t="s">
        <v>6255</v>
      </c>
      <c r="U992" s="65"/>
    </row>
    <row r="993" spans="1:21" ht="25.5" customHeight="1" x14ac:dyDescent="0.15">
      <c r="A993" s="61">
        <v>2618</v>
      </c>
      <c r="B993" s="67" t="s">
        <v>6256</v>
      </c>
      <c r="C993" s="65"/>
      <c r="D993" s="66">
        <v>104734</v>
      </c>
      <c r="E993" s="69"/>
      <c r="F993" s="65"/>
      <c r="G993" s="67" t="s">
        <v>6257</v>
      </c>
      <c r="H993" s="65"/>
      <c r="I993" s="64">
        <v>40214</v>
      </c>
      <c r="J993" s="65"/>
      <c r="K993" s="54">
        <v>1130</v>
      </c>
      <c r="L993" s="66">
        <v>2436</v>
      </c>
      <c r="M993" s="65"/>
      <c r="N993" s="70" t="s">
        <v>6258</v>
      </c>
      <c r="O993" s="65"/>
      <c r="P993" s="67" t="s">
        <v>6259</v>
      </c>
      <c r="Q993" s="65"/>
      <c r="R993" s="64">
        <v>40214</v>
      </c>
      <c r="S993" s="65"/>
      <c r="T993" s="67" t="s">
        <v>6260</v>
      </c>
      <c r="U993" s="65"/>
    </row>
    <row r="994" spans="1:21" ht="12.75" customHeight="1" x14ac:dyDescent="0.15">
      <c r="A994" s="68"/>
      <c r="B994" s="69"/>
      <c r="C994" s="69"/>
      <c r="D994" s="69"/>
      <c r="E994" s="69"/>
      <c r="F994" s="69"/>
      <c r="G994" s="69"/>
      <c r="H994" s="69"/>
      <c r="I994" s="69"/>
      <c r="J994" s="69"/>
      <c r="K994" s="69"/>
      <c r="L994" s="69"/>
      <c r="M994" s="69"/>
      <c r="N994" s="69"/>
      <c r="O994" s="65"/>
      <c r="P994" s="70" t="s">
        <v>6261</v>
      </c>
      <c r="Q994" s="65"/>
      <c r="R994" s="71">
        <v>40216</v>
      </c>
      <c r="S994" s="65"/>
      <c r="T994" s="70" t="s">
        <v>6262</v>
      </c>
      <c r="U994" s="65"/>
    </row>
    <row r="995" spans="1:21" ht="24.75" customHeight="1" x14ac:dyDescent="0.15">
      <c r="A995" s="61">
        <v>2622</v>
      </c>
      <c r="B995" s="67" t="s">
        <v>6263</v>
      </c>
      <c r="C995" s="65"/>
      <c r="D995" s="66">
        <v>119021</v>
      </c>
      <c r="E995" s="69"/>
      <c r="F995" s="65"/>
      <c r="G995" s="67" t="s">
        <v>6264</v>
      </c>
      <c r="H995" s="65"/>
      <c r="I995" s="64">
        <v>40438</v>
      </c>
      <c r="J995" s="65"/>
      <c r="K995" s="54">
        <v>2498</v>
      </c>
      <c r="L995" s="66">
        <v>2502</v>
      </c>
      <c r="M995" s="65"/>
      <c r="N995" s="70" t="s">
        <v>6265</v>
      </c>
      <c r="O995" s="65"/>
      <c r="P995" s="67" t="s">
        <v>6266</v>
      </c>
      <c r="Q995" s="65"/>
      <c r="R995" s="64">
        <v>40438</v>
      </c>
      <c r="S995" s="65"/>
      <c r="T995" s="67" t="s">
        <v>6267</v>
      </c>
      <c r="U995" s="65"/>
    </row>
    <row r="996" spans="1:21" ht="12.75" customHeight="1" x14ac:dyDescent="0.15">
      <c r="A996" s="68"/>
      <c r="B996" s="69"/>
      <c r="C996" s="69"/>
      <c r="D996" s="69"/>
      <c r="E996" s="69"/>
      <c r="F996" s="69"/>
      <c r="G996" s="69"/>
      <c r="H996" s="69"/>
      <c r="I996" s="69"/>
      <c r="J996" s="69"/>
      <c r="K996" s="69"/>
      <c r="L996" s="69"/>
      <c r="M996" s="69"/>
      <c r="N996" s="69"/>
      <c r="O996" s="65"/>
      <c r="P996" s="70" t="s">
        <v>6268</v>
      </c>
      <c r="Q996" s="65"/>
      <c r="R996" s="71">
        <v>42408</v>
      </c>
      <c r="S996" s="65"/>
      <c r="T996" s="70" t="s">
        <v>6269</v>
      </c>
      <c r="U996" s="65"/>
    </row>
    <row r="997" spans="1:21" ht="13.5" customHeight="1" x14ac:dyDescent="0.15">
      <c r="A997" s="68"/>
      <c r="B997" s="69"/>
      <c r="C997" s="69"/>
      <c r="D997" s="69"/>
      <c r="E997" s="69"/>
      <c r="F997" s="69"/>
      <c r="G997" s="69"/>
      <c r="H997" s="69"/>
      <c r="I997" s="69"/>
      <c r="J997" s="69"/>
      <c r="K997" s="69"/>
      <c r="L997" s="69"/>
      <c r="M997" s="69"/>
      <c r="N997" s="69"/>
      <c r="O997" s="65"/>
      <c r="P997" s="70" t="s">
        <v>6270</v>
      </c>
      <c r="Q997" s="65"/>
      <c r="R997" s="71">
        <v>43601</v>
      </c>
      <c r="S997" s="65"/>
      <c r="T997" s="70" t="s">
        <v>6271</v>
      </c>
      <c r="U997" s="65"/>
    </row>
    <row r="998" spans="1:21" ht="25.5" customHeight="1" x14ac:dyDescent="0.15">
      <c r="A998" s="61">
        <v>2623</v>
      </c>
      <c r="B998" s="67" t="s">
        <v>6272</v>
      </c>
      <c r="C998" s="65"/>
      <c r="D998" s="67" t="s">
        <v>6273</v>
      </c>
      <c r="E998" s="69"/>
      <c r="F998" s="65"/>
      <c r="G998" s="67" t="s">
        <v>6274</v>
      </c>
      <c r="H998" s="65"/>
      <c r="I998" s="64">
        <v>40438</v>
      </c>
      <c r="J998" s="65"/>
      <c r="K998" s="54">
        <v>2498</v>
      </c>
      <c r="L998" s="66">
        <v>2502</v>
      </c>
      <c r="M998" s="65"/>
      <c r="N998" s="73" t="s">
        <v>6275</v>
      </c>
      <c r="O998" s="65"/>
      <c r="P998" s="67" t="s">
        <v>6276</v>
      </c>
      <c r="Q998" s="65"/>
      <c r="R998" s="64">
        <v>40438</v>
      </c>
      <c r="S998" s="65"/>
      <c r="T998" s="67" t="s">
        <v>6277</v>
      </c>
      <c r="U998" s="65"/>
    </row>
    <row r="999" spans="1:21" ht="12.75" customHeight="1" x14ac:dyDescent="0.15">
      <c r="A999" s="68"/>
      <c r="B999" s="69"/>
      <c r="C999" s="69"/>
      <c r="D999" s="69"/>
      <c r="E999" s="69"/>
      <c r="F999" s="69"/>
      <c r="G999" s="69"/>
      <c r="H999" s="69"/>
      <c r="I999" s="69"/>
      <c r="J999" s="69"/>
      <c r="K999" s="69"/>
      <c r="L999" s="69"/>
      <c r="M999" s="69"/>
      <c r="N999" s="69"/>
      <c r="O999" s="65"/>
      <c r="P999" s="70" t="s">
        <v>6278</v>
      </c>
      <c r="Q999" s="65"/>
      <c r="R999" s="71">
        <v>40878</v>
      </c>
      <c r="S999" s="65"/>
      <c r="T999" s="70" t="s">
        <v>6279</v>
      </c>
      <c r="U999" s="65"/>
    </row>
    <row r="1000" spans="1:21" ht="12.75" customHeight="1" x14ac:dyDescent="0.15">
      <c r="A1000" s="68"/>
      <c r="B1000" s="69"/>
      <c r="C1000" s="69"/>
      <c r="D1000" s="69"/>
      <c r="E1000" s="69"/>
      <c r="F1000" s="69"/>
      <c r="G1000" s="69"/>
      <c r="H1000" s="69"/>
      <c r="I1000" s="69"/>
      <c r="J1000" s="69"/>
      <c r="K1000" s="69"/>
      <c r="L1000" s="69"/>
      <c r="M1000" s="69"/>
      <c r="N1000" s="69"/>
      <c r="O1000" s="65"/>
      <c r="P1000" s="70" t="s">
        <v>6280</v>
      </c>
      <c r="Q1000" s="65"/>
      <c r="R1000" s="71">
        <v>41773</v>
      </c>
      <c r="S1000" s="65"/>
      <c r="T1000" s="70" t="s">
        <v>6281</v>
      </c>
      <c r="U1000" s="65"/>
    </row>
    <row r="1001" spans="1:21" ht="25.5" customHeight="1" x14ac:dyDescent="0.15">
      <c r="A1001" s="61">
        <v>2624</v>
      </c>
      <c r="B1001" s="67" t="s">
        <v>6282</v>
      </c>
      <c r="C1001" s="65"/>
      <c r="D1001" s="66">
        <v>7285</v>
      </c>
      <c r="E1001" s="69"/>
      <c r="F1001" s="65"/>
      <c r="G1001" s="67" t="s">
        <v>6283</v>
      </c>
      <c r="H1001" s="65"/>
      <c r="I1001" s="64">
        <v>40251</v>
      </c>
      <c r="J1001" s="65"/>
      <c r="K1001" s="54">
        <v>2402</v>
      </c>
      <c r="L1001" s="66">
        <v>2451</v>
      </c>
      <c r="M1001" s="65"/>
      <c r="N1001" s="70" t="s">
        <v>6284</v>
      </c>
      <c r="O1001" s="65"/>
      <c r="P1001" s="67" t="s">
        <v>6285</v>
      </c>
      <c r="Q1001" s="65"/>
      <c r="R1001" s="64">
        <v>40251</v>
      </c>
      <c r="S1001" s="65"/>
      <c r="T1001" s="67" t="s">
        <v>6286</v>
      </c>
      <c r="U1001" s="65"/>
    </row>
    <row r="1002" spans="1:21" ht="13.5" customHeight="1" x14ac:dyDescent="0.15">
      <c r="A1002" s="68"/>
      <c r="B1002" s="69"/>
      <c r="C1002" s="69"/>
      <c r="D1002" s="69"/>
      <c r="E1002" s="69"/>
      <c r="F1002" s="69"/>
      <c r="G1002" s="69"/>
      <c r="H1002" s="69"/>
      <c r="I1002" s="69"/>
      <c r="J1002" s="69"/>
      <c r="K1002" s="69"/>
      <c r="L1002" s="69"/>
      <c r="M1002" s="69"/>
      <c r="N1002" s="69"/>
      <c r="O1002" s="65"/>
      <c r="P1002" s="70" t="s">
        <v>6287</v>
      </c>
      <c r="Q1002" s="65"/>
      <c r="R1002" s="71">
        <v>43033</v>
      </c>
      <c r="S1002" s="65"/>
      <c r="T1002" s="70" t="s">
        <v>6288</v>
      </c>
      <c r="U1002" s="65"/>
    </row>
    <row r="1003" spans="1:21" ht="12.75" customHeight="1" x14ac:dyDescent="0.15">
      <c r="A1003" s="68"/>
      <c r="B1003" s="69"/>
      <c r="C1003" s="69"/>
      <c r="D1003" s="69"/>
      <c r="E1003" s="69"/>
      <c r="F1003" s="69"/>
      <c r="G1003" s="69"/>
      <c r="H1003" s="69"/>
      <c r="I1003" s="69"/>
      <c r="J1003" s="69"/>
      <c r="K1003" s="69"/>
      <c r="L1003" s="69"/>
      <c r="M1003" s="69"/>
      <c r="N1003" s="69"/>
      <c r="O1003" s="65"/>
      <c r="P1003" s="70" t="s">
        <v>6289</v>
      </c>
      <c r="Q1003" s="65"/>
      <c r="R1003" s="71">
        <v>43061</v>
      </c>
      <c r="S1003" s="65"/>
      <c r="T1003" s="70" t="s">
        <v>6290</v>
      </c>
      <c r="U1003" s="65"/>
    </row>
    <row r="1004" spans="1:21" ht="25.5" customHeight="1" x14ac:dyDescent="0.15">
      <c r="A1004" s="61">
        <v>2625</v>
      </c>
      <c r="B1004" s="67" t="s">
        <v>6291</v>
      </c>
      <c r="C1004" s="65"/>
      <c r="D1004" s="66">
        <v>111053</v>
      </c>
      <c r="E1004" s="69"/>
      <c r="F1004" s="65"/>
      <c r="G1004" s="67" t="s">
        <v>6292</v>
      </c>
      <c r="H1004" s="65"/>
      <c r="I1004" s="64">
        <v>40518</v>
      </c>
      <c r="J1004" s="65"/>
      <c r="K1004" s="54">
        <v>2402</v>
      </c>
      <c r="L1004" s="66">
        <v>2451</v>
      </c>
      <c r="M1004" s="65"/>
      <c r="N1004" s="70" t="s">
        <v>6293</v>
      </c>
      <c r="O1004" s="65"/>
      <c r="P1004" s="67" t="s">
        <v>6294</v>
      </c>
      <c r="Q1004" s="65"/>
      <c r="R1004" s="64">
        <v>40518</v>
      </c>
      <c r="S1004" s="65"/>
      <c r="T1004" s="67" t="s">
        <v>6295</v>
      </c>
      <c r="U1004" s="65"/>
    </row>
    <row r="1005" spans="1:21" ht="12.75" customHeight="1" x14ac:dyDescent="0.15">
      <c r="A1005" s="68"/>
      <c r="B1005" s="69"/>
      <c r="C1005" s="69"/>
      <c r="D1005" s="69"/>
      <c r="E1005" s="69"/>
      <c r="F1005" s="69"/>
      <c r="G1005" s="69"/>
      <c r="H1005" s="69"/>
      <c r="I1005" s="69"/>
      <c r="J1005" s="69"/>
      <c r="K1005" s="69"/>
      <c r="L1005" s="69"/>
      <c r="M1005" s="69"/>
      <c r="N1005" s="69"/>
      <c r="O1005" s="65"/>
      <c r="P1005" s="70" t="s">
        <v>6296</v>
      </c>
      <c r="Q1005" s="65"/>
      <c r="R1005" s="71">
        <v>40829</v>
      </c>
      <c r="S1005" s="65"/>
      <c r="T1005" s="70" t="s">
        <v>6297</v>
      </c>
      <c r="U1005" s="65"/>
    </row>
    <row r="1006" spans="1:21" ht="13.5" customHeight="1" x14ac:dyDescent="0.15">
      <c r="A1006" s="68"/>
      <c r="B1006" s="69"/>
      <c r="C1006" s="69"/>
      <c r="D1006" s="69"/>
      <c r="E1006" s="69"/>
      <c r="F1006" s="69"/>
      <c r="G1006" s="69"/>
      <c r="H1006" s="69"/>
      <c r="I1006" s="69"/>
      <c r="J1006" s="69"/>
      <c r="K1006" s="69"/>
      <c r="L1006" s="69"/>
      <c r="M1006" s="69"/>
      <c r="N1006" s="69"/>
      <c r="O1006" s="65"/>
      <c r="P1006" s="70" t="s">
        <v>6298</v>
      </c>
      <c r="Q1006" s="65"/>
      <c r="R1006" s="71">
        <v>43893</v>
      </c>
      <c r="S1006" s="65"/>
      <c r="T1006" s="70" t="s">
        <v>6299</v>
      </c>
      <c r="U1006" s="65"/>
    </row>
    <row r="1007" spans="1:21" ht="25.5" customHeight="1" x14ac:dyDescent="0.15">
      <c r="A1007" s="61">
        <v>2626</v>
      </c>
      <c r="B1007" s="67" t="s">
        <v>6300</v>
      </c>
      <c r="C1007" s="65"/>
      <c r="D1007" s="66">
        <v>4920</v>
      </c>
      <c r="E1007" s="69"/>
      <c r="F1007" s="65"/>
      <c r="G1007" s="67" t="s">
        <v>6301</v>
      </c>
      <c r="H1007" s="65"/>
      <c r="I1007" s="64">
        <v>40518</v>
      </c>
      <c r="J1007" s="65"/>
      <c r="K1007" s="54">
        <v>2402</v>
      </c>
      <c r="L1007" s="66">
        <v>2451</v>
      </c>
      <c r="M1007" s="65"/>
      <c r="N1007" s="73" t="s">
        <v>6302</v>
      </c>
      <c r="O1007" s="65"/>
      <c r="P1007" s="67" t="s">
        <v>6303</v>
      </c>
      <c r="Q1007" s="65"/>
      <c r="R1007" s="64">
        <v>40518</v>
      </c>
      <c r="S1007" s="65"/>
      <c r="T1007" s="67" t="s">
        <v>6304</v>
      </c>
      <c r="U1007" s="65"/>
    </row>
    <row r="1008" spans="1:21" ht="12.75" customHeight="1" x14ac:dyDescent="0.15">
      <c r="A1008" s="68"/>
      <c r="B1008" s="69"/>
      <c r="C1008" s="69"/>
      <c r="D1008" s="69"/>
      <c r="E1008" s="69"/>
      <c r="F1008" s="69"/>
      <c r="G1008" s="69"/>
      <c r="H1008" s="69"/>
      <c r="I1008" s="69"/>
      <c r="J1008" s="69"/>
      <c r="K1008" s="69"/>
      <c r="L1008" s="69"/>
      <c r="M1008" s="69"/>
      <c r="N1008" s="69"/>
      <c r="O1008" s="65"/>
      <c r="P1008" s="70" t="s">
        <v>6305</v>
      </c>
      <c r="Q1008" s="65"/>
      <c r="R1008" s="71">
        <v>41751</v>
      </c>
      <c r="S1008" s="65"/>
      <c r="T1008" s="70" t="s">
        <v>6306</v>
      </c>
      <c r="U1008" s="65"/>
    </row>
    <row r="1009" spans="1:21" ht="25.5" customHeight="1" x14ac:dyDescent="0.15">
      <c r="A1009" s="61">
        <v>2627</v>
      </c>
      <c r="B1009" s="67" t="s">
        <v>6307</v>
      </c>
      <c r="C1009" s="65"/>
      <c r="D1009" s="67" t="s">
        <v>6308</v>
      </c>
      <c r="E1009" s="69"/>
      <c r="F1009" s="65"/>
      <c r="G1009" s="67" t="s">
        <v>6309</v>
      </c>
      <c r="H1009" s="65"/>
      <c r="I1009" s="64">
        <v>40446</v>
      </c>
      <c r="J1009" s="65"/>
      <c r="K1009" s="54">
        <v>2208</v>
      </c>
      <c r="L1009" s="66">
        <v>2418</v>
      </c>
      <c r="M1009" s="65"/>
      <c r="N1009" s="70" t="s">
        <v>6310</v>
      </c>
      <c r="O1009" s="65"/>
      <c r="P1009" s="67" t="s">
        <v>6311</v>
      </c>
      <c r="Q1009" s="65"/>
      <c r="R1009" s="64">
        <v>40446</v>
      </c>
      <c r="S1009" s="65"/>
      <c r="T1009" s="67" t="s">
        <v>6312</v>
      </c>
      <c r="U1009" s="65"/>
    </row>
    <row r="1010" spans="1:21" ht="13.5" customHeight="1" x14ac:dyDescent="0.15">
      <c r="A1010" s="68"/>
      <c r="B1010" s="69"/>
      <c r="C1010" s="69"/>
      <c r="D1010" s="69"/>
      <c r="E1010" s="69"/>
      <c r="F1010" s="69"/>
      <c r="G1010" s="69"/>
      <c r="H1010" s="69"/>
      <c r="I1010" s="69"/>
      <c r="J1010" s="69"/>
      <c r="K1010" s="69"/>
      <c r="L1010" s="69"/>
      <c r="M1010" s="69"/>
      <c r="N1010" s="69"/>
      <c r="O1010" s="65"/>
      <c r="P1010" s="70" t="s">
        <v>6313</v>
      </c>
      <c r="Q1010" s="65"/>
      <c r="R1010" s="71">
        <v>40446</v>
      </c>
      <c r="S1010" s="65"/>
      <c r="T1010" s="70" t="s">
        <v>6314</v>
      </c>
      <c r="U1010" s="65"/>
    </row>
    <row r="1011" spans="1:21" ht="25.5" customHeight="1" x14ac:dyDescent="0.15">
      <c r="A1011" s="61">
        <v>2628</v>
      </c>
      <c r="B1011" s="67" t="s">
        <v>6315</v>
      </c>
      <c r="C1011" s="65"/>
      <c r="D1011" s="67" t="s">
        <v>6316</v>
      </c>
      <c r="E1011" s="69"/>
      <c r="F1011" s="65"/>
      <c r="G1011" s="67" t="s">
        <v>6317</v>
      </c>
      <c r="H1011" s="65"/>
      <c r="I1011" s="64">
        <v>40446</v>
      </c>
      <c r="J1011" s="65"/>
      <c r="K1011" s="54">
        <v>2208</v>
      </c>
      <c r="L1011" s="66">
        <v>2418</v>
      </c>
      <c r="M1011" s="65"/>
      <c r="N1011" s="73" t="s">
        <v>6318</v>
      </c>
      <c r="O1011" s="65"/>
      <c r="P1011" s="67" t="s">
        <v>6319</v>
      </c>
      <c r="Q1011" s="65"/>
      <c r="R1011" s="64">
        <v>40446</v>
      </c>
      <c r="S1011" s="65"/>
      <c r="T1011" s="67" t="s">
        <v>6320</v>
      </c>
      <c r="U1011" s="65"/>
    </row>
    <row r="1012" spans="1:21" ht="12.75" customHeight="1" x14ac:dyDescent="0.15">
      <c r="A1012" s="68"/>
      <c r="B1012" s="69"/>
      <c r="C1012" s="69"/>
      <c r="D1012" s="69"/>
      <c r="E1012" s="69"/>
      <c r="F1012" s="69"/>
      <c r="G1012" s="69"/>
      <c r="H1012" s="69"/>
      <c r="I1012" s="69"/>
      <c r="J1012" s="69"/>
      <c r="K1012" s="69"/>
      <c r="L1012" s="69"/>
      <c r="M1012" s="69"/>
      <c r="N1012" s="69"/>
      <c r="O1012" s="65"/>
      <c r="P1012" s="70" t="s">
        <v>6321</v>
      </c>
      <c r="Q1012" s="65"/>
      <c r="R1012" s="71">
        <v>40446</v>
      </c>
      <c r="S1012" s="65"/>
      <c r="T1012" s="70" t="s">
        <v>6322</v>
      </c>
      <c r="U1012" s="65"/>
    </row>
    <row r="1013" spans="1:21" ht="25.5" customHeight="1" x14ac:dyDescent="0.15">
      <c r="A1013" s="61">
        <v>2629</v>
      </c>
      <c r="B1013" s="67" t="s">
        <v>6323</v>
      </c>
      <c r="C1013" s="65"/>
      <c r="D1013" s="67" t="s">
        <v>6324</v>
      </c>
      <c r="E1013" s="69"/>
      <c r="F1013" s="65"/>
      <c r="G1013" s="67" t="s">
        <v>6325</v>
      </c>
      <c r="H1013" s="65"/>
      <c r="I1013" s="64">
        <v>40446</v>
      </c>
      <c r="J1013" s="65"/>
      <c r="K1013" s="54">
        <v>2208</v>
      </c>
      <c r="L1013" s="66">
        <v>2418</v>
      </c>
      <c r="M1013" s="65"/>
      <c r="N1013" s="70" t="s">
        <v>6326</v>
      </c>
      <c r="O1013" s="65"/>
      <c r="P1013" s="67" t="s">
        <v>6327</v>
      </c>
      <c r="Q1013" s="65"/>
      <c r="R1013" s="64">
        <v>40446</v>
      </c>
      <c r="S1013" s="65"/>
      <c r="T1013" s="67" t="s">
        <v>6328</v>
      </c>
      <c r="U1013" s="65"/>
    </row>
    <row r="1014" spans="1:21" ht="13.5" customHeight="1" x14ac:dyDescent="0.15">
      <c r="A1014" s="68"/>
      <c r="B1014" s="69"/>
      <c r="C1014" s="69"/>
      <c r="D1014" s="69"/>
      <c r="E1014" s="69"/>
      <c r="F1014" s="69"/>
      <c r="G1014" s="69"/>
      <c r="H1014" s="69"/>
      <c r="I1014" s="69"/>
      <c r="J1014" s="69"/>
      <c r="K1014" s="69"/>
      <c r="L1014" s="69"/>
      <c r="M1014" s="69"/>
      <c r="N1014" s="69"/>
      <c r="O1014" s="65"/>
      <c r="P1014" s="70" t="s">
        <v>6329</v>
      </c>
      <c r="Q1014" s="65"/>
      <c r="R1014" s="71">
        <v>40446</v>
      </c>
      <c r="S1014" s="65"/>
      <c r="T1014" s="70" t="s">
        <v>6330</v>
      </c>
      <c r="U1014" s="65"/>
    </row>
    <row r="1015" spans="1:21" ht="25.5" customHeight="1" x14ac:dyDescent="0.15">
      <c r="A1015" s="61">
        <v>2630</v>
      </c>
      <c r="B1015" s="67" t="s">
        <v>6331</v>
      </c>
      <c r="C1015" s="65"/>
      <c r="D1015" s="66">
        <v>5889</v>
      </c>
      <c r="E1015" s="69"/>
      <c r="F1015" s="65"/>
      <c r="G1015" s="67" t="s">
        <v>6332</v>
      </c>
      <c r="H1015" s="65"/>
      <c r="I1015" s="64">
        <v>40259</v>
      </c>
      <c r="J1015" s="65"/>
      <c r="K1015" s="54">
        <v>1121</v>
      </c>
      <c r="L1015" s="66">
        <v>1145</v>
      </c>
      <c r="M1015" s="65"/>
      <c r="N1015" s="73" t="s">
        <v>6333</v>
      </c>
      <c r="O1015" s="65"/>
      <c r="P1015" s="67" t="s">
        <v>6334</v>
      </c>
      <c r="Q1015" s="65"/>
      <c r="R1015" s="64">
        <v>40259</v>
      </c>
      <c r="S1015" s="65"/>
      <c r="T1015" s="67" t="s">
        <v>6335</v>
      </c>
      <c r="U1015" s="65"/>
    </row>
    <row r="1016" spans="1:21" ht="25.5" customHeight="1" x14ac:dyDescent="0.15">
      <c r="A1016" s="61">
        <v>2631</v>
      </c>
      <c r="B1016" s="67" t="s">
        <v>6336</v>
      </c>
      <c r="C1016" s="65"/>
      <c r="D1016" s="66">
        <v>4919</v>
      </c>
      <c r="E1016" s="69"/>
      <c r="F1016" s="65"/>
      <c r="G1016" s="67" t="s">
        <v>6337</v>
      </c>
      <c r="H1016" s="65"/>
      <c r="I1016" s="64">
        <v>40259</v>
      </c>
      <c r="J1016" s="65"/>
      <c r="K1016" s="54">
        <v>1121</v>
      </c>
      <c r="L1016" s="66">
        <v>1145</v>
      </c>
      <c r="M1016" s="65"/>
      <c r="N1016" s="73" t="s">
        <v>6338</v>
      </c>
      <c r="O1016" s="65"/>
      <c r="P1016" s="67" t="s">
        <v>6339</v>
      </c>
      <c r="Q1016" s="65"/>
      <c r="R1016" s="64">
        <v>40259</v>
      </c>
      <c r="S1016" s="65"/>
      <c r="T1016" s="67" t="s">
        <v>6340</v>
      </c>
      <c r="U1016" s="65"/>
    </row>
    <row r="1017" spans="1:21" ht="12.75" customHeight="1" x14ac:dyDescent="0.15">
      <c r="A1017" s="68"/>
      <c r="B1017" s="69"/>
      <c r="C1017" s="69"/>
      <c r="D1017" s="69"/>
      <c r="E1017" s="69"/>
      <c r="F1017" s="69"/>
      <c r="G1017" s="69"/>
      <c r="H1017" s="69"/>
      <c r="I1017" s="69"/>
      <c r="J1017" s="69"/>
      <c r="K1017" s="69"/>
      <c r="L1017" s="69"/>
      <c r="M1017" s="69"/>
      <c r="N1017" s="69"/>
      <c r="O1017" s="65"/>
      <c r="P1017" s="70" t="s">
        <v>6341</v>
      </c>
      <c r="Q1017" s="65"/>
      <c r="R1017" s="71">
        <v>41690</v>
      </c>
      <c r="S1017" s="65"/>
      <c r="T1017" s="70" t="s">
        <v>6342</v>
      </c>
      <c r="U1017" s="65"/>
    </row>
    <row r="1018" spans="1:21" ht="25.5" customHeight="1" x14ac:dyDescent="0.15">
      <c r="A1018" s="61">
        <v>2632</v>
      </c>
      <c r="B1018" s="67" t="s">
        <v>6343</v>
      </c>
      <c r="C1018" s="65"/>
      <c r="D1018" s="66">
        <v>201291</v>
      </c>
      <c r="E1018" s="69"/>
      <c r="F1018" s="65"/>
      <c r="G1018" s="67" t="s">
        <v>6344</v>
      </c>
      <c r="H1018" s="65"/>
      <c r="I1018" s="64">
        <v>40399</v>
      </c>
      <c r="J1018" s="65"/>
      <c r="K1018" s="54">
        <v>1130</v>
      </c>
      <c r="L1018" s="66">
        <v>2436</v>
      </c>
      <c r="M1018" s="65"/>
      <c r="N1018" s="70" t="s">
        <v>6345</v>
      </c>
      <c r="O1018" s="65"/>
      <c r="P1018" s="67" t="s">
        <v>6346</v>
      </c>
      <c r="Q1018" s="65"/>
      <c r="R1018" s="64">
        <v>40399</v>
      </c>
      <c r="S1018" s="65"/>
      <c r="T1018" s="67" t="s">
        <v>6347</v>
      </c>
      <c r="U1018" s="65"/>
    </row>
    <row r="1019" spans="1:21" ht="13.5" customHeight="1" x14ac:dyDescent="0.15">
      <c r="A1019" s="68"/>
      <c r="B1019" s="69"/>
      <c r="C1019" s="69"/>
      <c r="D1019" s="69"/>
      <c r="E1019" s="69"/>
      <c r="F1019" s="69"/>
      <c r="G1019" s="69"/>
      <c r="H1019" s="69"/>
      <c r="I1019" s="69"/>
      <c r="J1019" s="69"/>
      <c r="K1019" s="69"/>
      <c r="L1019" s="69"/>
      <c r="M1019" s="69"/>
      <c r="N1019" s="69"/>
      <c r="O1019" s="65"/>
      <c r="P1019" s="70" t="s">
        <v>6348</v>
      </c>
      <c r="Q1019" s="65"/>
      <c r="R1019" s="71">
        <v>40940</v>
      </c>
      <c r="S1019" s="65"/>
      <c r="T1019" s="70" t="s">
        <v>6349</v>
      </c>
      <c r="U1019" s="65"/>
    </row>
    <row r="1020" spans="1:21" ht="25.5" customHeight="1" x14ac:dyDescent="0.15">
      <c r="A1020" s="61">
        <v>2633</v>
      </c>
      <c r="B1020" s="67" t="s">
        <v>6350</v>
      </c>
      <c r="C1020" s="65"/>
      <c r="D1020" s="66">
        <v>104781</v>
      </c>
      <c r="E1020" s="69"/>
      <c r="F1020" s="65"/>
      <c r="G1020" s="67" t="s">
        <v>6351</v>
      </c>
      <c r="H1020" s="65"/>
      <c r="I1020" s="64">
        <v>40399</v>
      </c>
      <c r="J1020" s="65"/>
      <c r="K1020" s="54">
        <v>1130</v>
      </c>
      <c r="L1020" s="66">
        <v>2436</v>
      </c>
      <c r="M1020" s="65"/>
      <c r="N1020" s="73" t="s">
        <v>6352</v>
      </c>
      <c r="O1020" s="65"/>
      <c r="P1020" s="67" t="s">
        <v>6353</v>
      </c>
      <c r="Q1020" s="65"/>
      <c r="R1020" s="64">
        <v>40399</v>
      </c>
      <c r="S1020" s="65"/>
      <c r="T1020" s="67" t="s">
        <v>6354</v>
      </c>
      <c r="U1020" s="65"/>
    </row>
    <row r="1021" spans="1:21" ht="12.75" customHeight="1" x14ac:dyDescent="0.15">
      <c r="A1021" s="68"/>
      <c r="B1021" s="69"/>
      <c r="C1021" s="69"/>
      <c r="D1021" s="69"/>
      <c r="E1021" s="69"/>
      <c r="F1021" s="69"/>
      <c r="G1021" s="69"/>
      <c r="H1021" s="69"/>
      <c r="I1021" s="69"/>
      <c r="J1021" s="69"/>
      <c r="K1021" s="69"/>
      <c r="L1021" s="69"/>
      <c r="M1021" s="69"/>
      <c r="N1021" s="69"/>
      <c r="O1021" s="65"/>
      <c r="P1021" s="70" t="s">
        <v>6355</v>
      </c>
      <c r="Q1021" s="65"/>
      <c r="R1021" s="71">
        <v>40399</v>
      </c>
      <c r="S1021" s="65"/>
      <c r="T1021" s="70" t="s">
        <v>6356</v>
      </c>
      <c r="U1021" s="65"/>
    </row>
    <row r="1022" spans="1:21" ht="21" customHeight="1" x14ac:dyDescent="0.15">
      <c r="A1022" s="60" t="s">
        <v>6357</v>
      </c>
      <c r="B1022" s="72" t="s">
        <v>6358</v>
      </c>
      <c r="C1022" s="65"/>
      <c r="D1022" s="72" t="s">
        <v>6359</v>
      </c>
      <c r="E1022" s="69"/>
      <c r="F1022" s="65"/>
      <c r="G1022" s="72" t="s">
        <v>6360</v>
      </c>
      <c r="H1022" s="65"/>
      <c r="I1022" s="72" t="s">
        <v>6361</v>
      </c>
      <c r="J1022" s="65"/>
      <c r="K1022" s="60" t="s">
        <v>6362</v>
      </c>
      <c r="L1022" s="72" t="s">
        <v>6363</v>
      </c>
      <c r="M1022" s="65"/>
      <c r="N1022" s="72" t="s">
        <v>6364</v>
      </c>
      <c r="O1022" s="65"/>
      <c r="P1022" s="72" t="s">
        <v>6365</v>
      </c>
      <c r="Q1022" s="65"/>
      <c r="R1022" s="72" t="s">
        <v>6366</v>
      </c>
      <c r="S1022" s="65"/>
      <c r="T1022" s="72" t="s">
        <v>6367</v>
      </c>
      <c r="U1022" s="65"/>
    </row>
    <row r="1023" spans="1:21" ht="25.5" customHeight="1" x14ac:dyDescent="0.15">
      <c r="A1023" s="61">
        <v>2634</v>
      </c>
      <c r="B1023" s="67" t="s">
        <v>6368</v>
      </c>
      <c r="C1023" s="65"/>
      <c r="D1023" s="66">
        <v>7403</v>
      </c>
      <c r="E1023" s="69"/>
      <c r="F1023" s="65"/>
      <c r="G1023" s="67" t="s">
        <v>6369</v>
      </c>
      <c r="H1023" s="65"/>
      <c r="I1023" s="64">
        <v>40402</v>
      </c>
      <c r="J1023" s="65"/>
      <c r="K1023" s="54">
        <v>1131</v>
      </c>
      <c r="L1023" s="66">
        <v>2414</v>
      </c>
      <c r="M1023" s="65"/>
      <c r="N1023" s="70" t="s">
        <v>6370</v>
      </c>
      <c r="O1023" s="65"/>
      <c r="P1023" s="67" t="s">
        <v>6371</v>
      </c>
      <c r="Q1023" s="65"/>
      <c r="R1023" s="64">
        <v>40402</v>
      </c>
      <c r="S1023" s="65"/>
      <c r="T1023" s="67" t="s">
        <v>6372</v>
      </c>
      <c r="U1023" s="65"/>
    </row>
    <row r="1024" spans="1:21" ht="12.75" customHeight="1" x14ac:dyDescent="0.15">
      <c r="A1024" s="68"/>
      <c r="B1024" s="69"/>
      <c r="C1024" s="69"/>
      <c r="D1024" s="69"/>
      <c r="E1024" s="69"/>
      <c r="F1024" s="69"/>
      <c r="G1024" s="69"/>
      <c r="H1024" s="69"/>
      <c r="I1024" s="69"/>
      <c r="J1024" s="69"/>
      <c r="K1024" s="69"/>
      <c r="L1024" s="69"/>
      <c r="M1024" s="69"/>
      <c r="N1024" s="69"/>
      <c r="O1024" s="65"/>
      <c r="P1024" s="70" t="s">
        <v>6373</v>
      </c>
      <c r="Q1024" s="65"/>
      <c r="R1024" s="71">
        <v>41753</v>
      </c>
      <c r="S1024" s="65"/>
      <c r="T1024" s="70" t="s">
        <v>6374</v>
      </c>
      <c r="U1024" s="65"/>
    </row>
    <row r="1025" spans="1:21" ht="24.75" customHeight="1" x14ac:dyDescent="0.15">
      <c r="A1025" s="61">
        <v>2635</v>
      </c>
      <c r="B1025" s="67" t="s">
        <v>6375</v>
      </c>
      <c r="C1025" s="65"/>
      <c r="D1025" s="67" t="s">
        <v>6376</v>
      </c>
      <c r="E1025" s="69"/>
      <c r="F1025" s="65"/>
      <c r="G1025" s="67" t="s">
        <v>6377</v>
      </c>
      <c r="H1025" s="65"/>
      <c r="I1025" s="64">
        <v>40402</v>
      </c>
      <c r="J1025" s="65"/>
      <c r="K1025" s="54">
        <v>1131</v>
      </c>
      <c r="L1025" s="66">
        <v>2414</v>
      </c>
      <c r="M1025" s="65"/>
      <c r="N1025" s="70" t="s">
        <v>6378</v>
      </c>
      <c r="O1025" s="65"/>
      <c r="P1025" s="67" t="s">
        <v>6379</v>
      </c>
      <c r="Q1025" s="65"/>
      <c r="R1025" s="64">
        <v>40402</v>
      </c>
      <c r="S1025" s="65"/>
      <c r="T1025" s="67" t="s">
        <v>6380</v>
      </c>
      <c r="U1025" s="65"/>
    </row>
    <row r="1026" spans="1:21" ht="12.75" customHeight="1" x14ac:dyDescent="0.15">
      <c r="A1026" s="68"/>
      <c r="B1026" s="69"/>
      <c r="C1026" s="69"/>
      <c r="D1026" s="69"/>
      <c r="E1026" s="69"/>
      <c r="F1026" s="69"/>
      <c r="G1026" s="69"/>
      <c r="H1026" s="69"/>
      <c r="I1026" s="69"/>
      <c r="J1026" s="69"/>
      <c r="K1026" s="69"/>
      <c r="L1026" s="69"/>
      <c r="M1026" s="69"/>
      <c r="N1026" s="69"/>
      <c r="O1026" s="65"/>
      <c r="P1026" s="70" t="s">
        <v>6381</v>
      </c>
      <c r="Q1026" s="65"/>
      <c r="R1026" s="71">
        <v>41620</v>
      </c>
      <c r="S1026" s="65"/>
      <c r="T1026" s="70" t="s">
        <v>6382</v>
      </c>
      <c r="U1026" s="65"/>
    </row>
    <row r="1027" spans="1:21" ht="13.5" customHeight="1" x14ac:dyDescent="0.15">
      <c r="A1027" s="68"/>
      <c r="B1027" s="69"/>
      <c r="C1027" s="69"/>
      <c r="D1027" s="69"/>
      <c r="E1027" s="69"/>
      <c r="F1027" s="69"/>
      <c r="G1027" s="69"/>
      <c r="H1027" s="69"/>
      <c r="I1027" s="69"/>
      <c r="J1027" s="69"/>
      <c r="K1027" s="69"/>
      <c r="L1027" s="69"/>
      <c r="M1027" s="69"/>
      <c r="N1027" s="69"/>
      <c r="O1027" s="65"/>
      <c r="P1027" s="70" t="s">
        <v>6383</v>
      </c>
      <c r="Q1027" s="65"/>
      <c r="R1027" s="71">
        <v>42738</v>
      </c>
      <c r="S1027" s="65"/>
      <c r="T1027" s="70" t="s">
        <v>6384</v>
      </c>
      <c r="U1027" s="65"/>
    </row>
    <row r="1028" spans="1:21" ht="12.75" customHeight="1" x14ac:dyDescent="0.15">
      <c r="A1028" s="68"/>
      <c r="B1028" s="69"/>
      <c r="C1028" s="69"/>
      <c r="D1028" s="69"/>
      <c r="E1028" s="69"/>
      <c r="F1028" s="69"/>
      <c r="G1028" s="69"/>
      <c r="H1028" s="69"/>
      <c r="I1028" s="69"/>
      <c r="J1028" s="69"/>
      <c r="K1028" s="69"/>
      <c r="L1028" s="69"/>
      <c r="M1028" s="69"/>
      <c r="N1028" s="69"/>
      <c r="O1028" s="65"/>
      <c r="P1028" s="70" t="s">
        <v>6385</v>
      </c>
      <c r="Q1028" s="65"/>
      <c r="R1028" s="71">
        <v>43154</v>
      </c>
      <c r="S1028" s="65"/>
      <c r="T1028" s="70" t="s">
        <v>6386</v>
      </c>
      <c r="U1028" s="65"/>
    </row>
    <row r="1029" spans="1:21" ht="24.75" customHeight="1" x14ac:dyDescent="0.15">
      <c r="A1029" s="61">
        <v>2636</v>
      </c>
      <c r="B1029" s="67" t="s">
        <v>6387</v>
      </c>
      <c r="C1029" s="65"/>
      <c r="D1029" s="75"/>
      <c r="E1029" s="69"/>
      <c r="F1029" s="65"/>
      <c r="G1029" s="67" t="s">
        <v>6388</v>
      </c>
      <c r="H1029" s="65"/>
      <c r="I1029" s="64">
        <v>40518</v>
      </c>
      <c r="J1029" s="65"/>
      <c r="K1029" s="54">
        <v>2417</v>
      </c>
      <c r="L1029" s="66">
        <v>2423</v>
      </c>
      <c r="M1029" s="65"/>
      <c r="N1029" s="70" t="s">
        <v>6389</v>
      </c>
      <c r="O1029" s="65"/>
      <c r="P1029" s="67" t="s">
        <v>6390</v>
      </c>
      <c r="Q1029" s="65"/>
      <c r="R1029" s="64">
        <v>40518</v>
      </c>
      <c r="S1029" s="65"/>
      <c r="T1029" s="67" t="s">
        <v>6391</v>
      </c>
      <c r="U1029" s="65"/>
    </row>
    <row r="1030" spans="1:21" ht="12.75" customHeight="1" x14ac:dyDescent="0.15">
      <c r="A1030" s="68"/>
      <c r="B1030" s="69"/>
      <c r="C1030" s="69"/>
      <c r="D1030" s="69"/>
      <c r="E1030" s="69"/>
      <c r="F1030" s="69"/>
      <c r="G1030" s="69"/>
      <c r="H1030" s="69"/>
      <c r="I1030" s="69"/>
      <c r="J1030" s="69"/>
      <c r="K1030" s="69"/>
      <c r="L1030" s="69"/>
      <c r="M1030" s="69"/>
      <c r="N1030" s="69"/>
      <c r="O1030" s="65"/>
      <c r="P1030" s="70" t="s">
        <v>6392</v>
      </c>
      <c r="Q1030" s="65"/>
      <c r="R1030" s="71">
        <v>40685</v>
      </c>
      <c r="S1030" s="65"/>
      <c r="T1030" s="70" t="s">
        <v>6393</v>
      </c>
      <c r="U1030" s="65"/>
    </row>
    <row r="1031" spans="1:21" ht="25.5" customHeight="1" x14ac:dyDescent="0.15">
      <c r="A1031" s="61">
        <v>2637</v>
      </c>
      <c r="B1031" s="67" t="s">
        <v>6394</v>
      </c>
      <c r="C1031" s="65"/>
      <c r="D1031" s="66">
        <v>23548</v>
      </c>
      <c r="E1031" s="69"/>
      <c r="F1031" s="65"/>
      <c r="G1031" s="67" t="s">
        <v>6395</v>
      </c>
      <c r="H1031" s="65"/>
      <c r="I1031" s="64">
        <v>40578</v>
      </c>
      <c r="J1031" s="65"/>
      <c r="K1031" s="54">
        <v>2406</v>
      </c>
      <c r="L1031" s="66">
        <v>2608</v>
      </c>
      <c r="M1031" s="65"/>
      <c r="N1031" s="70" t="s">
        <v>6396</v>
      </c>
      <c r="O1031" s="65"/>
      <c r="P1031" s="67" t="s">
        <v>6397</v>
      </c>
      <c r="Q1031" s="65"/>
      <c r="R1031" s="64">
        <v>40578</v>
      </c>
      <c r="S1031" s="65"/>
      <c r="T1031" s="67" t="s">
        <v>6398</v>
      </c>
      <c r="U1031" s="65"/>
    </row>
    <row r="1032" spans="1:21" ht="13.5" customHeight="1" x14ac:dyDescent="0.15">
      <c r="A1032" s="68"/>
      <c r="B1032" s="69"/>
      <c r="C1032" s="69"/>
      <c r="D1032" s="69"/>
      <c r="E1032" s="69"/>
      <c r="F1032" s="69"/>
      <c r="G1032" s="69"/>
      <c r="H1032" s="69"/>
      <c r="I1032" s="69"/>
      <c r="J1032" s="69"/>
      <c r="K1032" s="69"/>
      <c r="L1032" s="69"/>
      <c r="M1032" s="69"/>
      <c r="N1032" s="69"/>
      <c r="O1032" s="65"/>
      <c r="P1032" s="70" t="s">
        <v>6399</v>
      </c>
      <c r="Q1032" s="65"/>
      <c r="R1032" s="71">
        <v>40842</v>
      </c>
      <c r="S1032" s="65"/>
      <c r="T1032" s="70" t="s">
        <v>6400</v>
      </c>
      <c r="U1032" s="65"/>
    </row>
    <row r="1033" spans="1:21" ht="12.75" customHeight="1" x14ac:dyDescent="0.15">
      <c r="A1033" s="68"/>
      <c r="B1033" s="69"/>
      <c r="C1033" s="69"/>
      <c r="D1033" s="69"/>
      <c r="E1033" s="69"/>
      <c r="F1033" s="69"/>
      <c r="G1033" s="69"/>
      <c r="H1033" s="69"/>
      <c r="I1033" s="69"/>
      <c r="J1033" s="69"/>
      <c r="K1033" s="69"/>
      <c r="L1033" s="69"/>
      <c r="M1033" s="69"/>
      <c r="N1033" s="69"/>
      <c r="O1033" s="65"/>
      <c r="P1033" s="70" t="s">
        <v>6401</v>
      </c>
      <c r="Q1033" s="65"/>
      <c r="R1033" s="71">
        <v>42193</v>
      </c>
      <c r="S1033" s="65"/>
      <c r="T1033" s="70" t="s">
        <v>6402</v>
      </c>
      <c r="U1033" s="65"/>
    </row>
    <row r="1034" spans="1:21" ht="25.5" customHeight="1" x14ac:dyDescent="0.15">
      <c r="A1034" s="61">
        <v>2638</v>
      </c>
      <c r="B1034" s="67" t="s">
        <v>6403</v>
      </c>
      <c r="C1034" s="65"/>
      <c r="D1034" s="66">
        <v>6379</v>
      </c>
      <c r="E1034" s="69"/>
      <c r="F1034" s="65"/>
      <c r="G1034" s="67" t="s">
        <v>6404</v>
      </c>
      <c r="H1034" s="65"/>
      <c r="I1034" s="64">
        <v>40708</v>
      </c>
      <c r="J1034" s="65"/>
      <c r="K1034" s="54">
        <v>1121</v>
      </c>
      <c r="L1034" s="66">
        <v>1145</v>
      </c>
      <c r="M1034" s="65"/>
      <c r="N1034" s="70" t="s">
        <v>6405</v>
      </c>
      <c r="O1034" s="65"/>
      <c r="P1034" s="67" t="s">
        <v>6406</v>
      </c>
      <c r="Q1034" s="65"/>
      <c r="R1034" s="64">
        <v>40708</v>
      </c>
      <c r="S1034" s="65"/>
      <c r="T1034" s="67" t="s">
        <v>6407</v>
      </c>
      <c r="U1034" s="65"/>
    </row>
    <row r="1035" spans="1:21" ht="25.5" customHeight="1" x14ac:dyDescent="0.15">
      <c r="A1035" s="61">
        <v>2639</v>
      </c>
      <c r="B1035" s="67" t="s">
        <v>6408</v>
      </c>
      <c r="C1035" s="65"/>
      <c r="D1035" s="66">
        <v>213146</v>
      </c>
      <c r="E1035" s="69"/>
      <c r="F1035" s="65"/>
      <c r="G1035" s="67" t="s">
        <v>6409</v>
      </c>
      <c r="H1035" s="65"/>
      <c r="I1035" s="64">
        <v>40708</v>
      </c>
      <c r="J1035" s="65"/>
      <c r="K1035" s="54">
        <v>1121</v>
      </c>
      <c r="L1035" s="66">
        <v>1145</v>
      </c>
      <c r="M1035" s="65"/>
      <c r="N1035" s="70" t="s">
        <v>6410</v>
      </c>
      <c r="O1035" s="65"/>
      <c r="P1035" s="67" t="s">
        <v>6411</v>
      </c>
      <c r="Q1035" s="65"/>
      <c r="R1035" s="64">
        <v>40708</v>
      </c>
      <c r="S1035" s="65"/>
      <c r="T1035" s="67" t="s">
        <v>6412</v>
      </c>
      <c r="U1035" s="65"/>
    </row>
    <row r="1036" spans="1:21" ht="13.5" customHeight="1" x14ac:dyDescent="0.15">
      <c r="A1036" s="68"/>
      <c r="B1036" s="69"/>
      <c r="C1036" s="69"/>
      <c r="D1036" s="69"/>
      <c r="E1036" s="69"/>
      <c r="F1036" s="69"/>
      <c r="G1036" s="69"/>
      <c r="H1036" s="69"/>
      <c r="I1036" s="69"/>
      <c r="J1036" s="69"/>
      <c r="K1036" s="69"/>
      <c r="L1036" s="69"/>
      <c r="M1036" s="69"/>
      <c r="N1036" s="69"/>
      <c r="O1036" s="65"/>
      <c r="P1036" s="70" t="s">
        <v>6413</v>
      </c>
      <c r="Q1036" s="65"/>
      <c r="R1036" s="71">
        <v>41612</v>
      </c>
      <c r="S1036" s="65"/>
      <c r="T1036" s="70" t="s">
        <v>6414</v>
      </c>
      <c r="U1036" s="65"/>
    </row>
    <row r="1037" spans="1:21" ht="25.5" customHeight="1" x14ac:dyDescent="0.15">
      <c r="A1037" s="61">
        <v>2640</v>
      </c>
      <c r="B1037" s="67" t="s">
        <v>6415</v>
      </c>
      <c r="C1037" s="65"/>
      <c r="D1037" s="67" t="s">
        <v>6416</v>
      </c>
      <c r="E1037" s="69"/>
      <c r="F1037" s="65"/>
      <c r="G1037" s="67" t="s">
        <v>6417</v>
      </c>
      <c r="H1037" s="65"/>
      <c r="I1037" s="64">
        <v>41008</v>
      </c>
      <c r="J1037" s="65"/>
      <c r="K1037" s="54">
        <v>2420</v>
      </c>
      <c r="L1037" s="66">
        <v>2608</v>
      </c>
      <c r="M1037" s="65"/>
      <c r="N1037" s="73" t="s">
        <v>6418</v>
      </c>
      <c r="O1037" s="65"/>
      <c r="P1037" s="67" t="s">
        <v>6419</v>
      </c>
      <c r="Q1037" s="65"/>
      <c r="R1037" s="64">
        <v>41008</v>
      </c>
      <c r="S1037" s="65"/>
      <c r="T1037" s="67" t="s">
        <v>6420</v>
      </c>
      <c r="U1037" s="65"/>
    </row>
    <row r="1038" spans="1:21" ht="12.75" customHeight="1" x14ac:dyDescent="0.15">
      <c r="A1038" s="68"/>
      <c r="B1038" s="69"/>
      <c r="C1038" s="69"/>
      <c r="D1038" s="69"/>
      <c r="E1038" s="69"/>
      <c r="F1038" s="69"/>
      <c r="G1038" s="69"/>
      <c r="H1038" s="69"/>
      <c r="I1038" s="69"/>
      <c r="J1038" s="69"/>
      <c r="K1038" s="69"/>
      <c r="L1038" s="69"/>
      <c r="M1038" s="69"/>
      <c r="N1038" s="69"/>
      <c r="O1038" s="65"/>
      <c r="P1038" s="70" t="s">
        <v>6421</v>
      </c>
      <c r="Q1038" s="65"/>
      <c r="R1038" s="71">
        <v>41773</v>
      </c>
      <c r="S1038" s="65"/>
      <c r="T1038" s="70" t="s">
        <v>6422</v>
      </c>
      <c r="U1038" s="65"/>
    </row>
    <row r="1039" spans="1:21" ht="25.5" customHeight="1" x14ac:dyDescent="0.15">
      <c r="A1039" s="61">
        <v>2641</v>
      </c>
      <c r="B1039" s="67" t="s">
        <v>6423</v>
      </c>
      <c r="C1039" s="65"/>
      <c r="D1039" s="66">
        <v>118015</v>
      </c>
      <c r="E1039" s="69"/>
      <c r="F1039" s="65"/>
      <c r="G1039" s="67" t="s">
        <v>6424</v>
      </c>
      <c r="H1039" s="65"/>
      <c r="I1039" s="64">
        <v>41008</v>
      </c>
      <c r="J1039" s="65"/>
      <c r="K1039" s="54">
        <v>2420</v>
      </c>
      <c r="L1039" s="66">
        <v>2608</v>
      </c>
      <c r="M1039" s="65"/>
      <c r="N1039" s="70" t="s">
        <v>6425</v>
      </c>
      <c r="O1039" s="65"/>
      <c r="P1039" s="67" t="s">
        <v>6426</v>
      </c>
      <c r="Q1039" s="65"/>
      <c r="R1039" s="64">
        <v>41008</v>
      </c>
      <c r="S1039" s="65"/>
      <c r="T1039" s="67" t="s">
        <v>6427</v>
      </c>
      <c r="U1039" s="65"/>
    </row>
    <row r="1040" spans="1:21" ht="13.5" customHeight="1" x14ac:dyDescent="0.15">
      <c r="A1040" s="68"/>
      <c r="B1040" s="69"/>
      <c r="C1040" s="69"/>
      <c r="D1040" s="69"/>
      <c r="E1040" s="69"/>
      <c r="F1040" s="69"/>
      <c r="G1040" s="69"/>
      <c r="H1040" s="69"/>
      <c r="I1040" s="69"/>
      <c r="J1040" s="69"/>
      <c r="K1040" s="69"/>
      <c r="L1040" s="69"/>
      <c r="M1040" s="69"/>
      <c r="N1040" s="69"/>
      <c r="O1040" s="65"/>
      <c r="P1040" s="70" t="s">
        <v>6428</v>
      </c>
      <c r="Q1040" s="65"/>
      <c r="R1040" s="71">
        <v>41801</v>
      </c>
      <c r="S1040" s="65"/>
      <c r="T1040" s="70" t="s">
        <v>6429</v>
      </c>
      <c r="U1040" s="65"/>
    </row>
    <row r="1041" spans="1:21" ht="12.75" customHeight="1" x14ac:dyDescent="0.15">
      <c r="A1041" s="68"/>
      <c r="B1041" s="69"/>
      <c r="C1041" s="69"/>
      <c r="D1041" s="69"/>
      <c r="E1041" s="69"/>
      <c r="F1041" s="69"/>
      <c r="G1041" s="69"/>
      <c r="H1041" s="69"/>
      <c r="I1041" s="69"/>
      <c r="J1041" s="69"/>
      <c r="K1041" s="69"/>
      <c r="L1041" s="69"/>
      <c r="M1041" s="69"/>
      <c r="N1041" s="69"/>
      <c r="O1041" s="65"/>
      <c r="P1041" s="70" t="s">
        <v>6430</v>
      </c>
      <c r="Q1041" s="65"/>
      <c r="R1041" s="71">
        <v>43243</v>
      </c>
      <c r="S1041" s="65"/>
      <c r="T1041" s="70" t="s">
        <v>6431</v>
      </c>
      <c r="U1041" s="65"/>
    </row>
    <row r="1042" spans="1:21" ht="24.75" customHeight="1" x14ac:dyDescent="0.15">
      <c r="A1042" s="61">
        <v>2642</v>
      </c>
      <c r="B1042" s="67" t="s">
        <v>6432</v>
      </c>
      <c r="C1042" s="65"/>
      <c r="D1042" s="66">
        <v>213145</v>
      </c>
      <c r="E1042" s="69"/>
      <c r="F1042" s="65"/>
      <c r="G1042" s="67" t="s">
        <v>6433</v>
      </c>
      <c r="H1042" s="65"/>
      <c r="I1042" s="64">
        <v>40843</v>
      </c>
      <c r="J1042" s="65"/>
      <c r="K1042" s="54">
        <v>2402</v>
      </c>
      <c r="L1042" s="66">
        <v>2451</v>
      </c>
      <c r="M1042" s="65"/>
      <c r="N1042" s="70" t="s">
        <v>6434</v>
      </c>
      <c r="O1042" s="65"/>
      <c r="P1042" s="67" t="s">
        <v>6435</v>
      </c>
      <c r="Q1042" s="65"/>
      <c r="R1042" s="64">
        <v>40843</v>
      </c>
      <c r="S1042" s="65"/>
      <c r="T1042" s="67" t="s">
        <v>6436</v>
      </c>
      <c r="U1042" s="65"/>
    </row>
    <row r="1043" spans="1:21" ht="12.75" customHeight="1" x14ac:dyDescent="0.15">
      <c r="A1043" s="68"/>
      <c r="B1043" s="69"/>
      <c r="C1043" s="69"/>
      <c r="D1043" s="69"/>
      <c r="E1043" s="69"/>
      <c r="F1043" s="69"/>
      <c r="G1043" s="69"/>
      <c r="H1043" s="69"/>
      <c r="I1043" s="69"/>
      <c r="J1043" s="69"/>
      <c r="K1043" s="69"/>
      <c r="L1043" s="69"/>
      <c r="M1043" s="69"/>
      <c r="N1043" s="69"/>
      <c r="O1043" s="65"/>
      <c r="P1043" s="70" t="s">
        <v>6437</v>
      </c>
      <c r="Q1043" s="65"/>
      <c r="R1043" s="71">
        <v>41601</v>
      </c>
      <c r="S1043" s="65"/>
      <c r="T1043" s="70" t="s">
        <v>6438</v>
      </c>
      <c r="U1043" s="65"/>
    </row>
    <row r="1044" spans="1:21" ht="25.5" customHeight="1" x14ac:dyDescent="0.15">
      <c r="A1044" s="61">
        <v>2643</v>
      </c>
      <c r="B1044" s="67" t="s">
        <v>6439</v>
      </c>
      <c r="C1044" s="65"/>
      <c r="D1044" s="67" t="s">
        <v>6440</v>
      </c>
      <c r="E1044" s="69"/>
      <c r="F1044" s="65"/>
      <c r="G1044" s="67" t="s">
        <v>6441</v>
      </c>
      <c r="H1044" s="65"/>
      <c r="I1044" s="64">
        <v>40886</v>
      </c>
      <c r="J1044" s="65"/>
      <c r="K1044" s="54">
        <v>2417</v>
      </c>
      <c r="L1044" s="66">
        <v>2423</v>
      </c>
      <c r="M1044" s="65"/>
      <c r="N1044" s="70" t="s">
        <v>6442</v>
      </c>
      <c r="O1044" s="65"/>
      <c r="P1044" s="67" t="s">
        <v>6443</v>
      </c>
      <c r="Q1044" s="65"/>
      <c r="R1044" s="64">
        <v>40886</v>
      </c>
      <c r="S1044" s="65"/>
      <c r="T1044" s="67" t="s">
        <v>6444</v>
      </c>
      <c r="U1044" s="65"/>
    </row>
    <row r="1045" spans="1:21" ht="12.75" customHeight="1" x14ac:dyDescent="0.15">
      <c r="A1045" s="68"/>
      <c r="B1045" s="69"/>
      <c r="C1045" s="69"/>
      <c r="D1045" s="69"/>
      <c r="E1045" s="69"/>
      <c r="F1045" s="69"/>
      <c r="G1045" s="69"/>
      <c r="H1045" s="69"/>
      <c r="I1045" s="69"/>
      <c r="J1045" s="69"/>
      <c r="K1045" s="69"/>
      <c r="L1045" s="69"/>
      <c r="M1045" s="69"/>
      <c r="N1045" s="69"/>
      <c r="O1045" s="65"/>
      <c r="P1045" s="70" t="s">
        <v>6445</v>
      </c>
      <c r="Q1045" s="65"/>
      <c r="R1045" s="71">
        <v>40888</v>
      </c>
      <c r="S1045" s="65"/>
      <c r="T1045" s="70" t="s">
        <v>6446</v>
      </c>
      <c r="U1045" s="65"/>
    </row>
    <row r="1046" spans="1:21" ht="25.5" customHeight="1" x14ac:dyDescent="0.15">
      <c r="A1046" s="61">
        <v>2644</v>
      </c>
      <c r="B1046" s="67" t="s">
        <v>6447</v>
      </c>
      <c r="C1046" s="65"/>
      <c r="D1046" s="67" t="s">
        <v>6448</v>
      </c>
      <c r="E1046" s="69"/>
      <c r="F1046" s="65"/>
      <c r="G1046" s="67" t="s">
        <v>6449</v>
      </c>
      <c r="H1046" s="65"/>
      <c r="I1046" s="64">
        <v>40886</v>
      </c>
      <c r="J1046" s="65"/>
      <c r="K1046" s="54">
        <v>2417</v>
      </c>
      <c r="L1046" s="66">
        <v>2423</v>
      </c>
      <c r="M1046" s="65"/>
      <c r="N1046" s="73" t="s">
        <v>6450</v>
      </c>
      <c r="O1046" s="65"/>
      <c r="P1046" s="67" t="s">
        <v>6451</v>
      </c>
      <c r="Q1046" s="65"/>
      <c r="R1046" s="64">
        <v>40886</v>
      </c>
      <c r="S1046" s="65"/>
      <c r="T1046" s="67" t="s">
        <v>6452</v>
      </c>
      <c r="U1046" s="65"/>
    </row>
    <row r="1047" spans="1:21" ht="12.75" customHeight="1" x14ac:dyDescent="0.15">
      <c r="A1047" s="68"/>
      <c r="B1047" s="69"/>
      <c r="C1047" s="69"/>
      <c r="D1047" s="69"/>
      <c r="E1047" s="69"/>
      <c r="F1047" s="69"/>
      <c r="G1047" s="69"/>
      <c r="H1047" s="69"/>
      <c r="I1047" s="69"/>
      <c r="J1047" s="69"/>
      <c r="K1047" s="69"/>
      <c r="L1047" s="69"/>
      <c r="M1047" s="69"/>
      <c r="N1047" s="69"/>
      <c r="O1047" s="65"/>
      <c r="P1047" s="70" t="s">
        <v>6453</v>
      </c>
      <c r="Q1047" s="65"/>
      <c r="R1047" s="71">
        <v>40889</v>
      </c>
      <c r="S1047" s="65"/>
      <c r="T1047" s="70" t="s">
        <v>6454</v>
      </c>
      <c r="U1047" s="65"/>
    </row>
    <row r="1048" spans="1:21" ht="25.5" customHeight="1" x14ac:dyDescent="0.15">
      <c r="A1048" s="61">
        <v>2645</v>
      </c>
      <c r="B1048" s="67" t="s">
        <v>6455</v>
      </c>
      <c r="C1048" s="65"/>
      <c r="D1048" s="67" t="s">
        <v>6456</v>
      </c>
      <c r="E1048" s="69"/>
      <c r="F1048" s="65"/>
      <c r="G1048" s="67" t="s">
        <v>6457</v>
      </c>
      <c r="H1048" s="65"/>
      <c r="I1048" s="64">
        <v>40884</v>
      </c>
      <c r="J1048" s="65"/>
      <c r="K1048" s="55" t="s">
        <v>6458</v>
      </c>
      <c r="L1048" s="66">
        <v>2414</v>
      </c>
      <c r="M1048" s="65"/>
      <c r="N1048" s="70" t="s">
        <v>6459</v>
      </c>
      <c r="O1048" s="65"/>
      <c r="P1048" s="67" t="s">
        <v>6460</v>
      </c>
      <c r="Q1048" s="65"/>
      <c r="R1048" s="64">
        <v>40884</v>
      </c>
      <c r="S1048" s="65"/>
      <c r="T1048" s="67" t="s">
        <v>6461</v>
      </c>
      <c r="U1048" s="65"/>
    </row>
    <row r="1049" spans="1:21" ht="13.5" customHeight="1" x14ac:dyDescent="0.15">
      <c r="A1049" s="68"/>
      <c r="B1049" s="69"/>
      <c r="C1049" s="69"/>
      <c r="D1049" s="69"/>
      <c r="E1049" s="69"/>
      <c r="F1049" s="69"/>
      <c r="G1049" s="69"/>
      <c r="H1049" s="69"/>
      <c r="I1049" s="69"/>
      <c r="J1049" s="69"/>
      <c r="K1049" s="69"/>
      <c r="L1049" s="69"/>
      <c r="M1049" s="69"/>
      <c r="N1049" s="69"/>
      <c r="O1049" s="65"/>
      <c r="P1049" s="70" t="s">
        <v>6462</v>
      </c>
      <c r="Q1049" s="65"/>
      <c r="R1049" s="71">
        <v>42024</v>
      </c>
      <c r="S1049" s="65"/>
      <c r="T1049" s="70" t="s">
        <v>6463</v>
      </c>
      <c r="U1049" s="65"/>
    </row>
    <row r="1050" spans="1:21" ht="25.5" customHeight="1" x14ac:dyDescent="0.15">
      <c r="A1050" s="61">
        <v>2646</v>
      </c>
      <c r="B1050" s="67" t="s">
        <v>6464</v>
      </c>
      <c r="C1050" s="65"/>
      <c r="D1050" s="66">
        <v>23550</v>
      </c>
      <c r="E1050" s="69"/>
      <c r="F1050" s="65"/>
      <c r="G1050" s="67" t="s">
        <v>6465</v>
      </c>
      <c r="H1050" s="65"/>
      <c r="I1050" s="64">
        <v>41390</v>
      </c>
      <c r="J1050" s="65"/>
      <c r="K1050" s="54">
        <v>2449</v>
      </c>
      <c r="L1050" s="66">
        <v>2632</v>
      </c>
      <c r="M1050" s="65"/>
      <c r="N1050" s="73" t="s">
        <v>6466</v>
      </c>
      <c r="O1050" s="65"/>
      <c r="P1050" s="67" t="s">
        <v>6467</v>
      </c>
      <c r="Q1050" s="65"/>
      <c r="R1050" s="64">
        <v>41390</v>
      </c>
      <c r="S1050" s="65"/>
      <c r="T1050" s="67" t="s">
        <v>6468</v>
      </c>
      <c r="U1050" s="65"/>
    </row>
    <row r="1051" spans="1:21" ht="12.75" customHeight="1" x14ac:dyDescent="0.15">
      <c r="A1051" s="68"/>
      <c r="B1051" s="69"/>
      <c r="C1051" s="69"/>
      <c r="D1051" s="69"/>
      <c r="E1051" s="69"/>
      <c r="F1051" s="69"/>
      <c r="G1051" s="69"/>
      <c r="H1051" s="69"/>
      <c r="I1051" s="69"/>
      <c r="J1051" s="69"/>
      <c r="K1051" s="69"/>
      <c r="L1051" s="69"/>
      <c r="M1051" s="69"/>
      <c r="N1051" s="69"/>
      <c r="O1051" s="65"/>
      <c r="P1051" s="70" t="s">
        <v>6469</v>
      </c>
      <c r="Q1051" s="65"/>
      <c r="R1051" s="71">
        <v>42192</v>
      </c>
      <c r="S1051" s="65"/>
      <c r="T1051" s="70" t="s">
        <v>6470</v>
      </c>
      <c r="U1051" s="65"/>
    </row>
    <row r="1052" spans="1:21" ht="21" customHeight="1" x14ac:dyDescent="0.15">
      <c r="A1052" s="60" t="s">
        <v>6471</v>
      </c>
      <c r="B1052" s="72" t="s">
        <v>6472</v>
      </c>
      <c r="C1052" s="65"/>
      <c r="D1052" s="72" t="s">
        <v>6473</v>
      </c>
      <c r="E1052" s="69"/>
      <c r="F1052" s="65"/>
      <c r="G1052" s="72" t="s">
        <v>6474</v>
      </c>
      <c r="H1052" s="65"/>
      <c r="I1052" s="72" t="s">
        <v>6475</v>
      </c>
      <c r="J1052" s="65"/>
      <c r="K1052" s="60" t="s">
        <v>6476</v>
      </c>
      <c r="L1052" s="72" t="s">
        <v>6477</v>
      </c>
      <c r="M1052" s="65"/>
      <c r="N1052" s="72" t="s">
        <v>6478</v>
      </c>
      <c r="O1052" s="65"/>
      <c r="P1052" s="72" t="s">
        <v>6479</v>
      </c>
      <c r="Q1052" s="65"/>
      <c r="R1052" s="72" t="s">
        <v>6480</v>
      </c>
      <c r="S1052" s="65"/>
      <c r="T1052" s="72" t="s">
        <v>6481</v>
      </c>
      <c r="U1052" s="65"/>
    </row>
    <row r="1053" spans="1:21" ht="25.5" customHeight="1" x14ac:dyDescent="0.15">
      <c r="A1053" s="61">
        <v>2647</v>
      </c>
      <c r="B1053" s="67" t="s">
        <v>6482</v>
      </c>
      <c r="C1053" s="65"/>
      <c r="D1053" s="66">
        <v>115018</v>
      </c>
      <c r="E1053" s="69"/>
      <c r="F1053" s="65"/>
      <c r="G1053" s="67" t="s">
        <v>6483</v>
      </c>
      <c r="H1053" s="65"/>
      <c r="I1053" s="64">
        <v>41390</v>
      </c>
      <c r="J1053" s="65"/>
      <c r="K1053" s="54">
        <v>2449</v>
      </c>
      <c r="L1053" s="66">
        <v>2632</v>
      </c>
      <c r="M1053" s="65"/>
      <c r="N1053" s="70" t="s">
        <v>6484</v>
      </c>
      <c r="O1053" s="65"/>
      <c r="P1053" s="67" t="s">
        <v>6485</v>
      </c>
      <c r="Q1053" s="65"/>
      <c r="R1053" s="64">
        <v>41390</v>
      </c>
      <c r="S1053" s="65"/>
      <c r="T1053" s="67" t="s">
        <v>6486</v>
      </c>
      <c r="U1053" s="65"/>
    </row>
    <row r="1054" spans="1:21" ht="12.75" customHeight="1" x14ac:dyDescent="0.15">
      <c r="A1054" s="68"/>
      <c r="B1054" s="69"/>
      <c r="C1054" s="69"/>
      <c r="D1054" s="69"/>
      <c r="E1054" s="69"/>
      <c r="F1054" s="69"/>
      <c r="G1054" s="69"/>
      <c r="H1054" s="69"/>
      <c r="I1054" s="69"/>
      <c r="J1054" s="69"/>
      <c r="K1054" s="69"/>
      <c r="L1054" s="69"/>
      <c r="M1054" s="69"/>
      <c r="N1054" s="69"/>
      <c r="O1054" s="65"/>
      <c r="P1054" s="70" t="s">
        <v>6487</v>
      </c>
      <c r="Q1054" s="65"/>
      <c r="R1054" s="71">
        <v>42151</v>
      </c>
      <c r="S1054" s="65"/>
      <c r="T1054" s="70" t="s">
        <v>6488</v>
      </c>
      <c r="U1054" s="65"/>
    </row>
    <row r="1055" spans="1:21" ht="12.75" customHeight="1" x14ac:dyDescent="0.15">
      <c r="A1055" s="68"/>
      <c r="B1055" s="69"/>
      <c r="C1055" s="69"/>
      <c r="D1055" s="69"/>
      <c r="E1055" s="69"/>
      <c r="F1055" s="69"/>
      <c r="G1055" s="69"/>
      <c r="H1055" s="69"/>
      <c r="I1055" s="69"/>
      <c r="J1055" s="69"/>
      <c r="K1055" s="69"/>
      <c r="L1055" s="69"/>
      <c r="M1055" s="69"/>
      <c r="N1055" s="69"/>
      <c r="O1055" s="65"/>
      <c r="P1055" s="70" t="s">
        <v>6489</v>
      </c>
      <c r="Q1055" s="65"/>
      <c r="R1055" s="71">
        <v>42810</v>
      </c>
      <c r="S1055" s="65"/>
      <c r="T1055" s="70" t="s">
        <v>6490</v>
      </c>
      <c r="U1055" s="65"/>
    </row>
    <row r="1056" spans="1:21" ht="25.5" customHeight="1" x14ac:dyDescent="0.15">
      <c r="A1056" s="61">
        <v>2648</v>
      </c>
      <c r="B1056" s="67" t="s">
        <v>6491</v>
      </c>
      <c r="C1056" s="65"/>
      <c r="D1056" s="66">
        <v>7102</v>
      </c>
      <c r="E1056" s="69"/>
      <c r="F1056" s="65"/>
      <c r="G1056" s="67" t="s">
        <v>6492</v>
      </c>
      <c r="H1056" s="65"/>
      <c r="I1056" s="64">
        <v>41080</v>
      </c>
      <c r="J1056" s="65"/>
      <c r="K1056" s="54">
        <v>2498</v>
      </c>
      <c r="L1056" s="66">
        <v>2502</v>
      </c>
      <c r="M1056" s="65"/>
      <c r="N1056" s="70" t="s">
        <v>6493</v>
      </c>
      <c r="O1056" s="65"/>
      <c r="P1056" s="67" t="s">
        <v>6494</v>
      </c>
      <c r="Q1056" s="65"/>
      <c r="R1056" s="64">
        <v>41080</v>
      </c>
      <c r="S1056" s="65"/>
      <c r="T1056" s="67" t="s">
        <v>6495</v>
      </c>
      <c r="U1056" s="65"/>
    </row>
    <row r="1057" spans="1:21" ht="13.5" customHeight="1" x14ac:dyDescent="0.15">
      <c r="A1057" s="68"/>
      <c r="B1057" s="69"/>
      <c r="C1057" s="69"/>
      <c r="D1057" s="69"/>
      <c r="E1057" s="69"/>
      <c r="F1057" s="69"/>
      <c r="G1057" s="69"/>
      <c r="H1057" s="69"/>
      <c r="I1057" s="69"/>
      <c r="J1057" s="69"/>
      <c r="K1057" s="69"/>
      <c r="L1057" s="69"/>
      <c r="M1057" s="69"/>
      <c r="N1057" s="69"/>
      <c r="O1057" s="65"/>
      <c r="P1057" s="70" t="s">
        <v>6496</v>
      </c>
      <c r="Q1057" s="65"/>
      <c r="R1057" s="71">
        <v>41093</v>
      </c>
      <c r="S1057" s="65"/>
      <c r="T1057" s="70" t="s">
        <v>6497</v>
      </c>
      <c r="U1057" s="65"/>
    </row>
    <row r="1058" spans="1:21" ht="25.5" customHeight="1" x14ac:dyDescent="0.15">
      <c r="A1058" s="61">
        <v>2649</v>
      </c>
      <c r="B1058" s="67" t="s">
        <v>6498</v>
      </c>
      <c r="C1058" s="65"/>
      <c r="D1058" s="66">
        <v>7832</v>
      </c>
      <c r="E1058" s="69"/>
      <c r="F1058" s="65"/>
      <c r="G1058" s="67" t="s">
        <v>6499</v>
      </c>
      <c r="H1058" s="65"/>
      <c r="I1058" s="64">
        <v>41080</v>
      </c>
      <c r="J1058" s="65"/>
      <c r="K1058" s="54">
        <v>2498</v>
      </c>
      <c r="L1058" s="66">
        <v>2502</v>
      </c>
      <c r="M1058" s="65"/>
      <c r="N1058" s="73" t="s">
        <v>6500</v>
      </c>
      <c r="O1058" s="65"/>
      <c r="P1058" s="67" t="s">
        <v>6501</v>
      </c>
      <c r="Q1058" s="65"/>
      <c r="R1058" s="64">
        <v>41080</v>
      </c>
      <c r="S1058" s="65"/>
      <c r="T1058" s="67" t="s">
        <v>6502</v>
      </c>
      <c r="U1058" s="65"/>
    </row>
    <row r="1059" spans="1:21" ht="12.75" customHeight="1" x14ac:dyDescent="0.15">
      <c r="A1059" s="68"/>
      <c r="B1059" s="69"/>
      <c r="C1059" s="69"/>
      <c r="D1059" s="69"/>
      <c r="E1059" s="69"/>
      <c r="F1059" s="69"/>
      <c r="G1059" s="69"/>
      <c r="H1059" s="69"/>
      <c r="I1059" s="69"/>
      <c r="J1059" s="69"/>
      <c r="K1059" s="69"/>
      <c r="L1059" s="69"/>
      <c r="M1059" s="69"/>
      <c r="N1059" s="69"/>
      <c r="O1059" s="65"/>
      <c r="P1059" s="70" t="s">
        <v>6503</v>
      </c>
      <c r="Q1059" s="65"/>
      <c r="R1059" s="71">
        <v>42257</v>
      </c>
      <c r="S1059" s="65"/>
      <c r="T1059" s="70" t="s">
        <v>6504</v>
      </c>
      <c r="U1059" s="65"/>
    </row>
    <row r="1060" spans="1:21" ht="25.5" customHeight="1" x14ac:dyDescent="0.15">
      <c r="A1060" s="61">
        <v>2650</v>
      </c>
      <c r="B1060" s="67" t="s">
        <v>6505</v>
      </c>
      <c r="C1060" s="65"/>
      <c r="D1060" s="66">
        <v>105000</v>
      </c>
      <c r="E1060" s="69"/>
      <c r="F1060" s="65"/>
      <c r="G1060" s="67" t="s">
        <v>6506</v>
      </c>
      <c r="H1060" s="65"/>
      <c r="I1060" s="64">
        <v>41300</v>
      </c>
      <c r="J1060" s="65"/>
      <c r="K1060" s="54">
        <v>1130</v>
      </c>
      <c r="L1060" s="66">
        <v>2436</v>
      </c>
      <c r="M1060" s="65"/>
      <c r="N1060" s="70" t="s">
        <v>6507</v>
      </c>
      <c r="O1060" s="65"/>
      <c r="P1060" s="67" t="s">
        <v>6508</v>
      </c>
      <c r="Q1060" s="65"/>
      <c r="R1060" s="64">
        <v>41300</v>
      </c>
      <c r="S1060" s="65"/>
      <c r="T1060" s="67" t="s">
        <v>6509</v>
      </c>
      <c r="U1060" s="65"/>
    </row>
    <row r="1061" spans="1:21" ht="12.75" customHeight="1" x14ac:dyDescent="0.15">
      <c r="A1061" s="68"/>
      <c r="B1061" s="69"/>
      <c r="C1061" s="69"/>
      <c r="D1061" s="69"/>
      <c r="E1061" s="69"/>
      <c r="F1061" s="69"/>
      <c r="G1061" s="69"/>
      <c r="H1061" s="69"/>
      <c r="I1061" s="69"/>
      <c r="J1061" s="69"/>
      <c r="K1061" s="69"/>
      <c r="L1061" s="69"/>
      <c r="M1061" s="69"/>
      <c r="N1061" s="69"/>
      <c r="O1061" s="65"/>
      <c r="P1061" s="70" t="s">
        <v>6510</v>
      </c>
      <c r="Q1061" s="65"/>
      <c r="R1061" s="71">
        <v>41300</v>
      </c>
      <c r="S1061" s="65"/>
      <c r="T1061" s="70" t="s">
        <v>6511</v>
      </c>
      <c r="U1061" s="65"/>
    </row>
    <row r="1062" spans="1:21" ht="25.5" customHeight="1" x14ac:dyDescent="0.15">
      <c r="A1062" s="61">
        <v>2651</v>
      </c>
      <c r="B1062" s="67" t="s">
        <v>6512</v>
      </c>
      <c r="C1062" s="65"/>
      <c r="D1062" s="66">
        <v>105001</v>
      </c>
      <c r="E1062" s="69"/>
      <c r="F1062" s="65"/>
      <c r="G1062" s="67" t="s">
        <v>6513</v>
      </c>
      <c r="H1062" s="65"/>
      <c r="I1062" s="64">
        <v>41300</v>
      </c>
      <c r="J1062" s="65"/>
      <c r="K1062" s="54">
        <v>1130</v>
      </c>
      <c r="L1062" s="66">
        <v>2436</v>
      </c>
      <c r="M1062" s="65"/>
      <c r="N1062" s="70" t="s">
        <v>6514</v>
      </c>
      <c r="O1062" s="65"/>
      <c r="P1062" s="67" t="s">
        <v>6515</v>
      </c>
      <c r="Q1062" s="65"/>
      <c r="R1062" s="64">
        <v>41300</v>
      </c>
      <c r="S1062" s="65"/>
      <c r="T1062" s="67" t="s">
        <v>6516</v>
      </c>
      <c r="U1062" s="65"/>
    </row>
    <row r="1063" spans="1:21" ht="12.75" customHeight="1" x14ac:dyDescent="0.15">
      <c r="A1063" s="68"/>
      <c r="B1063" s="69"/>
      <c r="C1063" s="69"/>
      <c r="D1063" s="69"/>
      <c r="E1063" s="69"/>
      <c r="F1063" s="69"/>
      <c r="G1063" s="69"/>
      <c r="H1063" s="69"/>
      <c r="I1063" s="69"/>
      <c r="J1063" s="69"/>
      <c r="K1063" s="69"/>
      <c r="L1063" s="69"/>
      <c r="M1063" s="69"/>
      <c r="N1063" s="69"/>
      <c r="O1063" s="65"/>
      <c r="P1063" s="70" t="s">
        <v>6517</v>
      </c>
      <c r="Q1063" s="65"/>
      <c r="R1063" s="71">
        <v>41300</v>
      </c>
      <c r="S1063" s="65"/>
      <c r="T1063" s="70" t="s">
        <v>6518</v>
      </c>
      <c r="U1063" s="65"/>
    </row>
    <row r="1064" spans="1:21" ht="24.75" customHeight="1" x14ac:dyDescent="0.15">
      <c r="A1064" s="61">
        <v>2652</v>
      </c>
      <c r="B1064" s="67" t="s">
        <v>6519</v>
      </c>
      <c r="C1064" s="65"/>
      <c r="D1064" s="66">
        <v>24485</v>
      </c>
      <c r="E1064" s="69"/>
      <c r="F1064" s="65"/>
      <c r="G1064" s="67" t="s">
        <v>6520</v>
      </c>
      <c r="H1064" s="65"/>
      <c r="I1064" s="64">
        <v>41507</v>
      </c>
      <c r="J1064" s="65"/>
      <c r="K1064" s="54">
        <v>2408</v>
      </c>
      <c r="L1064" s="66">
        <v>2418</v>
      </c>
      <c r="M1064" s="65"/>
      <c r="N1064" s="70" t="s">
        <v>6521</v>
      </c>
      <c r="O1064" s="65"/>
      <c r="P1064" s="67" t="s">
        <v>6522</v>
      </c>
      <c r="Q1064" s="65"/>
      <c r="R1064" s="64">
        <v>41507</v>
      </c>
      <c r="S1064" s="65"/>
      <c r="T1064" s="67" t="s">
        <v>6523</v>
      </c>
      <c r="U1064" s="65"/>
    </row>
    <row r="1065" spans="1:21" ht="12.75" customHeight="1" x14ac:dyDescent="0.15">
      <c r="A1065" s="68"/>
      <c r="B1065" s="69"/>
      <c r="C1065" s="69"/>
      <c r="D1065" s="69"/>
      <c r="E1065" s="69"/>
      <c r="F1065" s="69"/>
      <c r="G1065" s="69"/>
      <c r="H1065" s="69"/>
      <c r="I1065" s="69"/>
      <c r="J1065" s="69"/>
      <c r="K1065" s="69"/>
      <c r="L1065" s="69"/>
      <c r="M1065" s="69"/>
      <c r="N1065" s="69"/>
      <c r="O1065" s="65"/>
      <c r="P1065" s="70" t="s">
        <v>6524</v>
      </c>
      <c r="Q1065" s="65"/>
      <c r="R1065" s="71">
        <v>42894</v>
      </c>
      <c r="S1065" s="65"/>
      <c r="T1065" s="70" t="s">
        <v>6525</v>
      </c>
      <c r="U1065" s="65"/>
    </row>
    <row r="1066" spans="1:21" ht="25.5" customHeight="1" x14ac:dyDescent="0.15">
      <c r="A1066" s="61">
        <v>2653</v>
      </c>
      <c r="B1066" s="67" t="s">
        <v>6526</v>
      </c>
      <c r="C1066" s="65"/>
      <c r="D1066" s="67" t="s">
        <v>6527</v>
      </c>
      <c r="E1066" s="69"/>
      <c r="F1066" s="65"/>
      <c r="G1066" s="67" t="s">
        <v>6528</v>
      </c>
      <c r="H1066" s="65"/>
      <c r="I1066" s="64">
        <v>41873</v>
      </c>
      <c r="J1066" s="65"/>
      <c r="K1066" s="54">
        <v>2449</v>
      </c>
      <c r="L1066" s="66">
        <v>2632</v>
      </c>
      <c r="M1066" s="65"/>
      <c r="N1066" s="70" t="s">
        <v>6529</v>
      </c>
      <c r="O1066" s="65"/>
      <c r="P1066" s="67" t="s">
        <v>6530</v>
      </c>
      <c r="Q1066" s="65"/>
      <c r="R1066" s="64">
        <v>41873</v>
      </c>
      <c r="S1066" s="65"/>
      <c r="T1066" s="67" t="s">
        <v>6531</v>
      </c>
      <c r="U1066" s="65"/>
    </row>
    <row r="1067" spans="1:21" ht="12.75" customHeight="1" x14ac:dyDescent="0.15">
      <c r="A1067" s="68"/>
      <c r="B1067" s="69"/>
      <c r="C1067" s="69"/>
      <c r="D1067" s="69"/>
      <c r="E1067" s="69"/>
      <c r="F1067" s="69"/>
      <c r="G1067" s="69"/>
      <c r="H1067" s="69"/>
      <c r="I1067" s="69"/>
      <c r="J1067" s="69"/>
      <c r="K1067" s="69"/>
      <c r="L1067" s="69"/>
      <c r="M1067" s="69"/>
      <c r="N1067" s="69"/>
      <c r="O1067" s="65"/>
      <c r="P1067" s="70" t="s">
        <v>6532</v>
      </c>
      <c r="Q1067" s="65"/>
      <c r="R1067" s="71">
        <v>42268</v>
      </c>
      <c r="S1067" s="65"/>
      <c r="T1067" s="70" t="s">
        <v>6533</v>
      </c>
      <c r="U1067" s="65"/>
    </row>
    <row r="1068" spans="1:21" ht="12.75" customHeight="1" x14ac:dyDescent="0.15">
      <c r="A1068" s="68"/>
      <c r="B1068" s="69"/>
      <c r="C1068" s="69"/>
      <c r="D1068" s="69"/>
      <c r="E1068" s="69"/>
      <c r="F1068" s="69"/>
      <c r="G1068" s="69"/>
      <c r="H1068" s="69"/>
      <c r="I1068" s="69"/>
      <c r="J1068" s="69"/>
      <c r="K1068" s="69"/>
      <c r="L1068" s="69"/>
      <c r="M1068" s="69"/>
      <c r="N1068" s="69"/>
      <c r="O1068" s="65"/>
      <c r="P1068" s="70" t="s">
        <v>6534</v>
      </c>
      <c r="Q1068" s="65"/>
      <c r="R1068" s="71">
        <v>43452</v>
      </c>
      <c r="S1068" s="65"/>
      <c r="T1068" s="70" t="s">
        <v>6535</v>
      </c>
      <c r="U1068" s="65"/>
    </row>
    <row r="1069" spans="1:21" ht="12.75" customHeight="1" x14ac:dyDescent="0.15">
      <c r="A1069" s="68"/>
      <c r="B1069" s="69"/>
      <c r="C1069" s="69"/>
      <c r="D1069" s="69"/>
      <c r="E1069" s="69"/>
      <c r="F1069" s="69"/>
      <c r="G1069" s="69"/>
      <c r="H1069" s="69"/>
      <c r="I1069" s="69"/>
      <c r="J1069" s="69"/>
      <c r="K1069" s="69"/>
      <c r="L1069" s="69"/>
      <c r="M1069" s="69"/>
      <c r="N1069" s="69"/>
      <c r="O1069" s="65"/>
      <c r="P1069" s="70" t="s">
        <v>6536</v>
      </c>
      <c r="Q1069" s="65"/>
      <c r="R1069" s="71">
        <v>43774</v>
      </c>
      <c r="S1069" s="65"/>
      <c r="T1069" s="70" t="s">
        <v>6537</v>
      </c>
      <c r="U1069" s="65"/>
    </row>
    <row r="1070" spans="1:21" ht="25.5" customHeight="1" x14ac:dyDescent="0.15">
      <c r="A1070" s="61">
        <v>2654</v>
      </c>
      <c r="B1070" s="67" t="s">
        <v>6538</v>
      </c>
      <c r="C1070" s="65"/>
      <c r="D1070" s="66">
        <v>7508</v>
      </c>
      <c r="E1070" s="69"/>
      <c r="F1070" s="65"/>
      <c r="G1070" s="67" t="s">
        <v>6539</v>
      </c>
      <c r="H1070" s="65"/>
      <c r="I1070" s="64">
        <v>41873</v>
      </c>
      <c r="J1070" s="65"/>
      <c r="K1070" s="54">
        <v>2449</v>
      </c>
      <c r="L1070" s="66">
        <v>2632</v>
      </c>
      <c r="M1070" s="65"/>
      <c r="N1070" s="70" t="s">
        <v>6540</v>
      </c>
      <c r="O1070" s="65"/>
      <c r="P1070" s="67" t="s">
        <v>6541</v>
      </c>
      <c r="Q1070" s="65"/>
      <c r="R1070" s="64">
        <v>41873</v>
      </c>
      <c r="S1070" s="65"/>
      <c r="T1070" s="67" t="s">
        <v>6542</v>
      </c>
      <c r="U1070" s="65"/>
    </row>
    <row r="1071" spans="1:21" ht="12.75" customHeight="1" x14ac:dyDescent="0.15">
      <c r="A1071" s="68"/>
      <c r="B1071" s="69"/>
      <c r="C1071" s="69"/>
      <c r="D1071" s="69"/>
      <c r="E1071" s="69"/>
      <c r="F1071" s="69"/>
      <c r="G1071" s="69"/>
      <c r="H1071" s="69"/>
      <c r="I1071" s="69"/>
      <c r="J1071" s="69"/>
      <c r="K1071" s="69"/>
      <c r="L1071" s="69"/>
      <c r="M1071" s="69"/>
      <c r="N1071" s="69"/>
      <c r="O1071" s="65"/>
      <c r="P1071" s="70" t="s">
        <v>6543</v>
      </c>
      <c r="Q1071" s="65"/>
      <c r="R1071" s="71">
        <v>42270</v>
      </c>
      <c r="S1071" s="65"/>
      <c r="T1071" s="70" t="s">
        <v>6544</v>
      </c>
      <c r="U1071" s="65"/>
    </row>
    <row r="1072" spans="1:21" ht="24.75" customHeight="1" x14ac:dyDescent="0.15">
      <c r="A1072" s="61">
        <v>2655</v>
      </c>
      <c r="B1072" s="67" t="s">
        <v>6545</v>
      </c>
      <c r="C1072" s="65"/>
      <c r="D1072" s="67" t="s">
        <v>6546</v>
      </c>
      <c r="E1072" s="69"/>
      <c r="F1072" s="65"/>
      <c r="G1072" s="67" t="s">
        <v>6547</v>
      </c>
      <c r="H1072" s="65"/>
      <c r="I1072" s="64">
        <v>42026</v>
      </c>
      <c r="J1072" s="65"/>
      <c r="K1072" s="54">
        <v>2496</v>
      </c>
      <c r="L1072" s="66">
        <v>2403</v>
      </c>
      <c r="M1072" s="65"/>
      <c r="N1072" s="70" t="s">
        <v>6548</v>
      </c>
      <c r="O1072" s="65"/>
      <c r="P1072" s="67" t="s">
        <v>6549</v>
      </c>
      <c r="Q1072" s="65"/>
      <c r="R1072" s="64">
        <v>42026</v>
      </c>
      <c r="S1072" s="65"/>
      <c r="T1072" s="67" t="s">
        <v>6550</v>
      </c>
      <c r="U1072" s="65"/>
    </row>
    <row r="1073" spans="1:21" ht="12.75" customHeight="1" x14ac:dyDescent="0.15">
      <c r="A1073" s="68"/>
      <c r="B1073" s="69"/>
      <c r="C1073" s="69"/>
      <c r="D1073" s="69"/>
      <c r="E1073" s="69"/>
      <c r="F1073" s="69"/>
      <c r="G1073" s="69"/>
      <c r="H1073" s="69"/>
      <c r="I1073" s="69"/>
      <c r="J1073" s="69"/>
      <c r="K1073" s="69"/>
      <c r="L1073" s="69"/>
      <c r="M1073" s="69"/>
      <c r="N1073" s="69"/>
      <c r="O1073" s="65"/>
      <c r="P1073" s="70" t="s">
        <v>6551</v>
      </c>
      <c r="Q1073" s="65"/>
      <c r="R1073" s="71">
        <v>42026</v>
      </c>
      <c r="S1073" s="65"/>
      <c r="T1073" s="70" t="s">
        <v>6552</v>
      </c>
      <c r="U1073" s="65"/>
    </row>
    <row r="1074" spans="1:21" ht="25.5" customHeight="1" x14ac:dyDescent="0.15">
      <c r="A1074" s="61">
        <v>2656</v>
      </c>
      <c r="B1074" s="67" t="s">
        <v>6553</v>
      </c>
      <c r="C1074" s="65"/>
      <c r="D1074" s="75"/>
      <c r="E1074" s="69"/>
      <c r="F1074" s="65"/>
      <c r="G1074" s="67" t="s">
        <v>6554</v>
      </c>
      <c r="H1074" s="65"/>
      <c r="I1074" s="64">
        <v>42026</v>
      </c>
      <c r="J1074" s="65"/>
      <c r="K1074" s="54">
        <v>2496</v>
      </c>
      <c r="L1074" s="66">
        <v>2403</v>
      </c>
      <c r="M1074" s="65"/>
      <c r="N1074" s="70" t="s">
        <v>6555</v>
      </c>
      <c r="O1074" s="65"/>
      <c r="P1074" s="67" t="s">
        <v>6556</v>
      </c>
      <c r="Q1074" s="65"/>
      <c r="R1074" s="64">
        <v>42026</v>
      </c>
      <c r="S1074" s="65"/>
      <c r="T1074" s="67" t="s">
        <v>6557</v>
      </c>
      <c r="U1074" s="65"/>
    </row>
    <row r="1075" spans="1:21" ht="12.75" customHeight="1" x14ac:dyDescent="0.15">
      <c r="A1075" s="68"/>
      <c r="B1075" s="69"/>
      <c r="C1075" s="69"/>
      <c r="D1075" s="69"/>
      <c r="E1075" s="69"/>
      <c r="F1075" s="69"/>
      <c r="G1075" s="69"/>
      <c r="H1075" s="69"/>
      <c r="I1075" s="69"/>
      <c r="J1075" s="69"/>
      <c r="K1075" s="69"/>
      <c r="L1075" s="69"/>
      <c r="M1075" s="69"/>
      <c r="N1075" s="69"/>
      <c r="O1075" s="65"/>
      <c r="P1075" s="70" t="s">
        <v>6558</v>
      </c>
      <c r="Q1075" s="65"/>
      <c r="R1075" s="71">
        <v>42026</v>
      </c>
      <c r="S1075" s="65"/>
      <c r="T1075" s="70" t="s">
        <v>6559</v>
      </c>
      <c r="U1075" s="65"/>
    </row>
    <row r="1076" spans="1:21" ht="25.5" customHeight="1" x14ac:dyDescent="0.15">
      <c r="A1076" s="61">
        <v>2657</v>
      </c>
      <c r="B1076" s="67" t="s">
        <v>6560</v>
      </c>
      <c r="C1076" s="65"/>
      <c r="D1076" s="66">
        <v>5261</v>
      </c>
      <c r="E1076" s="69"/>
      <c r="F1076" s="65"/>
      <c r="G1076" s="67" t="s">
        <v>6561</v>
      </c>
      <c r="H1076" s="65"/>
      <c r="I1076" s="64">
        <v>42118</v>
      </c>
      <c r="J1076" s="65"/>
      <c r="K1076" s="54">
        <v>2631</v>
      </c>
      <c r="L1076" s="66">
        <v>2626</v>
      </c>
      <c r="M1076" s="65"/>
      <c r="N1076" s="73" t="s">
        <v>6562</v>
      </c>
      <c r="O1076" s="65"/>
      <c r="P1076" s="67" t="s">
        <v>6563</v>
      </c>
      <c r="Q1076" s="65"/>
      <c r="R1076" s="64">
        <v>42118</v>
      </c>
      <c r="S1076" s="65"/>
      <c r="T1076" s="67" t="s">
        <v>6564</v>
      </c>
      <c r="U1076" s="65"/>
    </row>
    <row r="1077" spans="1:21" ht="12.75" customHeight="1" x14ac:dyDescent="0.15">
      <c r="A1077" s="68"/>
      <c r="B1077" s="69"/>
      <c r="C1077" s="69"/>
      <c r="D1077" s="69"/>
      <c r="E1077" s="69"/>
      <c r="F1077" s="69"/>
      <c r="G1077" s="69"/>
      <c r="H1077" s="69"/>
      <c r="I1077" s="69"/>
      <c r="J1077" s="69"/>
      <c r="K1077" s="69"/>
      <c r="L1077" s="69"/>
      <c r="M1077" s="69"/>
      <c r="N1077" s="69"/>
      <c r="O1077" s="65"/>
      <c r="P1077" s="70" t="s">
        <v>6565</v>
      </c>
      <c r="Q1077" s="65"/>
      <c r="R1077" s="71">
        <v>42122</v>
      </c>
      <c r="S1077" s="65"/>
      <c r="T1077" s="70" t="s">
        <v>6566</v>
      </c>
      <c r="U1077" s="65"/>
    </row>
    <row r="1078" spans="1:21" ht="25.5" customHeight="1" x14ac:dyDescent="0.15">
      <c r="A1078" s="61">
        <v>2658</v>
      </c>
      <c r="B1078" s="67" t="s">
        <v>6567</v>
      </c>
      <c r="C1078" s="65"/>
      <c r="D1078" s="66">
        <v>5652</v>
      </c>
      <c r="E1078" s="69"/>
      <c r="F1078" s="65"/>
      <c r="G1078" s="67" t="s">
        <v>6568</v>
      </c>
      <c r="H1078" s="65"/>
      <c r="I1078" s="64">
        <v>42122</v>
      </c>
      <c r="J1078" s="65"/>
      <c r="K1078" s="54">
        <v>2631</v>
      </c>
      <c r="L1078" s="66">
        <v>2626</v>
      </c>
      <c r="M1078" s="65"/>
      <c r="N1078" s="70" t="s">
        <v>6569</v>
      </c>
      <c r="O1078" s="65"/>
      <c r="P1078" s="67" t="s">
        <v>6570</v>
      </c>
      <c r="Q1078" s="65"/>
      <c r="R1078" s="64">
        <v>42122</v>
      </c>
      <c r="S1078" s="65"/>
      <c r="T1078" s="67" t="s">
        <v>6571</v>
      </c>
      <c r="U1078" s="65"/>
    </row>
    <row r="1079" spans="1:21" ht="13.5" customHeight="1" x14ac:dyDescent="0.15">
      <c r="A1079" s="68"/>
      <c r="B1079" s="69"/>
      <c r="C1079" s="69"/>
      <c r="D1079" s="69"/>
      <c r="E1079" s="69"/>
      <c r="F1079" s="69"/>
      <c r="G1079" s="69"/>
      <c r="H1079" s="69"/>
      <c r="I1079" s="69"/>
      <c r="J1079" s="69"/>
      <c r="K1079" s="69"/>
      <c r="L1079" s="69"/>
      <c r="M1079" s="69"/>
      <c r="N1079" s="69"/>
      <c r="O1079" s="65"/>
      <c r="P1079" s="70" t="s">
        <v>6572</v>
      </c>
      <c r="Q1079" s="65"/>
      <c r="R1079" s="71">
        <v>42122</v>
      </c>
      <c r="S1079" s="65"/>
      <c r="T1079" s="70" t="s">
        <v>6573</v>
      </c>
      <c r="U1079" s="65"/>
    </row>
    <row r="1080" spans="1:21" ht="25.5" customHeight="1" x14ac:dyDescent="0.15">
      <c r="A1080" s="61">
        <v>2659</v>
      </c>
      <c r="B1080" s="67" t="s">
        <v>6574</v>
      </c>
      <c r="C1080" s="65"/>
      <c r="D1080" s="66">
        <v>216050</v>
      </c>
      <c r="E1080" s="69"/>
      <c r="F1080" s="65"/>
      <c r="G1080" s="67" t="s">
        <v>6575</v>
      </c>
      <c r="H1080" s="65"/>
      <c r="I1080" s="64">
        <v>42142</v>
      </c>
      <c r="J1080" s="65"/>
      <c r="K1080" s="54">
        <v>2450</v>
      </c>
      <c r="L1080" s="66">
        <v>2414</v>
      </c>
      <c r="M1080" s="65"/>
      <c r="N1080" s="73" t="s">
        <v>6576</v>
      </c>
      <c r="O1080" s="65"/>
      <c r="P1080" s="67" t="s">
        <v>6577</v>
      </c>
      <c r="Q1080" s="65"/>
      <c r="R1080" s="64">
        <v>42142</v>
      </c>
      <c r="S1080" s="65"/>
      <c r="T1080" s="67" t="s">
        <v>6578</v>
      </c>
      <c r="U1080" s="65"/>
    </row>
    <row r="1081" spans="1:21" ht="12.75" customHeight="1" x14ac:dyDescent="0.15">
      <c r="A1081" s="68"/>
      <c r="B1081" s="69"/>
      <c r="C1081" s="69"/>
      <c r="D1081" s="69"/>
      <c r="E1081" s="69"/>
      <c r="F1081" s="69"/>
      <c r="G1081" s="69"/>
      <c r="H1081" s="69"/>
      <c r="I1081" s="69"/>
      <c r="J1081" s="69"/>
      <c r="K1081" s="69"/>
      <c r="L1081" s="69"/>
      <c r="M1081" s="69"/>
      <c r="N1081" s="69"/>
      <c r="O1081" s="65"/>
      <c r="P1081" s="70" t="s">
        <v>6579</v>
      </c>
      <c r="Q1081" s="65"/>
      <c r="R1081" s="71">
        <v>42524</v>
      </c>
      <c r="S1081" s="65"/>
      <c r="T1081" s="70" t="s">
        <v>6580</v>
      </c>
      <c r="U1081" s="65"/>
    </row>
    <row r="1082" spans="1:21" ht="21" customHeight="1" x14ac:dyDescent="0.15">
      <c r="A1082" s="60" t="s">
        <v>6581</v>
      </c>
      <c r="B1082" s="72" t="s">
        <v>6582</v>
      </c>
      <c r="C1082" s="65"/>
      <c r="D1082" s="72" t="s">
        <v>6583</v>
      </c>
      <c r="E1082" s="69"/>
      <c r="F1082" s="65"/>
      <c r="G1082" s="72" t="s">
        <v>6584</v>
      </c>
      <c r="H1082" s="65"/>
      <c r="I1082" s="72" t="s">
        <v>6585</v>
      </c>
      <c r="J1082" s="65"/>
      <c r="K1082" s="60" t="s">
        <v>6586</v>
      </c>
      <c r="L1082" s="72" t="s">
        <v>6587</v>
      </c>
      <c r="M1082" s="65"/>
      <c r="N1082" s="72" t="s">
        <v>6588</v>
      </c>
      <c r="O1082" s="65"/>
      <c r="P1082" s="72" t="s">
        <v>6589</v>
      </c>
      <c r="Q1082" s="65"/>
      <c r="R1082" s="72" t="s">
        <v>6590</v>
      </c>
      <c r="S1082" s="65"/>
      <c r="T1082" s="72" t="s">
        <v>6591</v>
      </c>
      <c r="U1082" s="65"/>
    </row>
    <row r="1083" spans="1:21" ht="25.5" customHeight="1" x14ac:dyDescent="0.15">
      <c r="A1083" s="61">
        <v>2660</v>
      </c>
      <c r="B1083" s="67" t="s">
        <v>6592</v>
      </c>
      <c r="C1083" s="65"/>
      <c r="D1083" s="66">
        <v>150506</v>
      </c>
      <c r="E1083" s="69"/>
      <c r="F1083" s="65"/>
      <c r="G1083" s="67" t="s">
        <v>6593</v>
      </c>
      <c r="H1083" s="65"/>
      <c r="I1083" s="64">
        <v>42142</v>
      </c>
      <c r="J1083" s="65"/>
      <c r="K1083" s="54">
        <v>2450</v>
      </c>
      <c r="L1083" s="66">
        <v>2414</v>
      </c>
      <c r="M1083" s="65"/>
      <c r="N1083" s="70" t="s">
        <v>6594</v>
      </c>
      <c r="O1083" s="65"/>
      <c r="P1083" s="67" t="s">
        <v>6595</v>
      </c>
      <c r="Q1083" s="65"/>
      <c r="R1083" s="64">
        <v>42142</v>
      </c>
      <c r="S1083" s="65"/>
      <c r="T1083" s="67" t="s">
        <v>6596</v>
      </c>
      <c r="U1083" s="65"/>
    </row>
    <row r="1084" spans="1:21" ht="12.75" customHeight="1" x14ac:dyDescent="0.15">
      <c r="A1084" s="68"/>
      <c r="B1084" s="69"/>
      <c r="C1084" s="69"/>
      <c r="D1084" s="69"/>
      <c r="E1084" s="69"/>
      <c r="F1084" s="69"/>
      <c r="G1084" s="69"/>
      <c r="H1084" s="69"/>
      <c r="I1084" s="69"/>
      <c r="J1084" s="69"/>
      <c r="K1084" s="69"/>
      <c r="L1084" s="69"/>
      <c r="M1084" s="69"/>
      <c r="N1084" s="69"/>
      <c r="O1084" s="65"/>
      <c r="P1084" s="70" t="s">
        <v>6597</v>
      </c>
      <c r="Q1084" s="65"/>
      <c r="R1084" s="71">
        <v>42143</v>
      </c>
      <c r="S1084" s="65"/>
      <c r="T1084" s="70" t="s">
        <v>6598</v>
      </c>
      <c r="U1084" s="65"/>
    </row>
    <row r="1085" spans="1:21" ht="24.75" customHeight="1" x14ac:dyDescent="0.15">
      <c r="A1085" s="61">
        <v>2661</v>
      </c>
      <c r="B1085" s="67" t="s">
        <v>6599</v>
      </c>
      <c r="C1085" s="65"/>
      <c r="D1085" s="67" t="s">
        <v>6600</v>
      </c>
      <c r="E1085" s="69"/>
      <c r="F1085" s="65"/>
      <c r="G1085" s="67" t="s">
        <v>6601</v>
      </c>
      <c r="H1085" s="65"/>
      <c r="I1085" s="64">
        <v>42164</v>
      </c>
      <c r="J1085" s="65"/>
      <c r="K1085" s="54">
        <v>2639</v>
      </c>
      <c r="L1085" s="66">
        <v>2642</v>
      </c>
      <c r="M1085" s="65"/>
      <c r="N1085" s="70" t="s">
        <v>6602</v>
      </c>
      <c r="O1085" s="65"/>
      <c r="P1085" s="67" t="s">
        <v>6603</v>
      </c>
      <c r="Q1085" s="65"/>
      <c r="R1085" s="64">
        <v>42164</v>
      </c>
      <c r="S1085" s="65"/>
      <c r="T1085" s="67" t="s">
        <v>6604</v>
      </c>
      <c r="U1085" s="65"/>
    </row>
    <row r="1086" spans="1:21" ht="12.75" customHeight="1" x14ac:dyDescent="0.15">
      <c r="A1086" s="68"/>
      <c r="B1086" s="69"/>
      <c r="C1086" s="69"/>
      <c r="D1086" s="69"/>
      <c r="E1086" s="69"/>
      <c r="F1086" s="69"/>
      <c r="G1086" s="69"/>
      <c r="H1086" s="69"/>
      <c r="I1086" s="69"/>
      <c r="J1086" s="69"/>
      <c r="K1086" s="69"/>
      <c r="L1086" s="69"/>
      <c r="M1086" s="69"/>
      <c r="N1086" s="69"/>
      <c r="O1086" s="65"/>
      <c r="P1086" s="70" t="s">
        <v>6605</v>
      </c>
      <c r="Q1086" s="65"/>
      <c r="R1086" s="71">
        <v>42550</v>
      </c>
      <c r="S1086" s="65"/>
      <c r="T1086" s="70" t="s">
        <v>6606</v>
      </c>
      <c r="U1086" s="65"/>
    </row>
    <row r="1087" spans="1:21" ht="13.5" customHeight="1" x14ac:dyDescent="0.15">
      <c r="A1087" s="68"/>
      <c r="B1087" s="69"/>
      <c r="C1087" s="69"/>
      <c r="D1087" s="69"/>
      <c r="E1087" s="69"/>
      <c r="F1087" s="69"/>
      <c r="G1087" s="69"/>
      <c r="H1087" s="69"/>
      <c r="I1087" s="69"/>
      <c r="J1087" s="69"/>
      <c r="K1087" s="69"/>
      <c r="L1087" s="69"/>
      <c r="M1087" s="69"/>
      <c r="N1087" s="69"/>
      <c r="O1087" s="65"/>
      <c r="P1087" s="70" t="s">
        <v>6607</v>
      </c>
      <c r="Q1087" s="65"/>
      <c r="R1087" s="71">
        <v>42738</v>
      </c>
      <c r="S1087" s="65"/>
      <c r="T1087" s="70" t="s">
        <v>6608</v>
      </c>
      <c r="U1087" s="65"/>
    </row>
    <row r="1088" spans="1:21" ht="25.5" customHeight="1" x14ac:dyDescent="0.15">
      <c r="A1088" s="61">
        <v>2662</v>
      </c>
      <c r="B1088" s="67" t="s">
        <v>6609</v>
      </c>
      <c r="C1088" s="65"/>
      <c r="D1088" s="66">
        <v>215069</v>
      </c>
      <c r="E1088" s="69"/>
      <c r="F1088" s="65"/>
      <c r="G1088" s="67" t="s">
        <v>6610</v>
      </c>
      <c r="H1088" s="65"/>
      <c r="I1088" s="64">
        <v>42164</v>
      </c>
      <c r="J1088" s="65"/>
      <c r="K1088" s="54">
        <v>2639</v>
      </c>
      <c r="L1088" s="66">
        <v>2642</v>
      </c>
      <c r="M1088" s="65"/>
      <c r="N1088" s="73" t="s">
        <v>6611</v>
      </c>
      <c r="O1088" s="65"/>
      <c r="P1088" s="67" t="s">
        <v>6612</v>
      </c>
      <c r="Q1088" s="65"/>
      <c r="R1088" s="64">
        <v>42164</v>
      </c>
      <c r="S1088" s="65"/>
      <c r="T1088" s="67" t="s">
        <v>6613</v>
      </c>
      <c r="U1088" s="65"/>
    </row>
    <row r="1089" spans="1:21" ht="12.75" customHeight="1" x14ac:dyDescent="0.15">
      <c r="A1089" s="68"/>
      <c r="B1089" s="69"/>
      <c r="C1089" s="69"/>
      <c r="D1089" s="69"/>
      <c r="E1089" s="69"/>
      <c r="F1089" s="69"/>
      <c r="G1089" s="69"/>
      <c r="H1089" s="69"/>
      <c r="I1089" s="69"/>
      <c r="J1089" s="69"/>
      <c r="K1089" s="69"/>
      <c r="L1089" s="69"/>
      <c r="M1089" s="69"/>
      <c r="N1089" s="69"/>
      <c r="O1089" s="65"/>
      <c r="P1089" s="70" t="s">
        <v>6614</v>
      </c>
      <c r="Q1089" s="65"/>
      <c r="R1089" s="71">
        <v>42164</v>
      </c>
      <c r="S1089" s="65"/>
      <c r="T1089" s="70" t="s">
        <v>6615</v>
      </c>
      <c r="U1089" s="65"/>
    </row>
    <row r="1090" spans="1:21" ht="25.5" customHeight="1" x14ac:dyDescent="0.15">
      <c r="A1090" s="61">
        <v>2663</v>
      </c>
      <c r="B1090" s="67" t="s">
        <v>6616</v>
      </c>
      <c r="C1090" s="65"/>
      <c r="D1090" s="67" t="s">
        <v>6617</v>
      </c>
      <c r="E1090" s="69"/>
      <c r="F1090" s="65"/>
      <c r="G1090" s="67" t="s">
        <v>6618</v>
      </c>
      <c r="H1090" s="65"/>
      <c r="I1090" s="64">
        <v>42064</v>
      </c>
      <c r="J1090" s="65"/>
      <c r="K1090" s="54">
        <v>2623</v>
      </c>
      <c r="L1090" s="66">
        <v>2640</v>
      </c>
      <c r="M1090" s="65"/>
      <c r="N1090" s="70" t="s">
        <v>6619</v>
      </c>
      <c r="O1090" s="65"/>
      <c r="P1090" s="67" t="s">
        <v>6620</v>
      </c>
      <c r="Q1090" s="65"/>
      <c r="R1090" s="64">
        <v>42064</v>
      </c>
      <c r="S1090" s="65"/>
      <c r="T1090" s="67" t="s">
        <v>6621</v>
      </c>
      <c r="U1090" s="65"/>
    </row>
    <row r="1091" spans="1:21" ht="12.75" customHeight="1" x14ac:dyDescent="0.15">
      <c r="A1091" s="68"/>
      <c r="B1091" s="69"/>
      <c r="C1091" s="69"/>
      <c r="D1091" s="69"/>
      <c r="E1091" s="69"/>
      <c r="F1091" s="69"/>
      <c r="G1091" s="69"/>
      <c r="H1091" s="69"/>
      <c r="I1091" s="69"/>
      <c r="J1091" s="69"/>
      <c r="K1091" s="69"/>
      <c r="L1091" s="69"/>
      <c r="M1091" s="69"/>
      <c r="N1091" s="69"/>
      <c r="O1091" s="65"/>
      <c r="P1091" s="70" t="s">
        <v>6622</v>
      </c>
      <c r="Q1091" s="65"/>
      <c r="R1091" s="71">
        <v>42069</v>
      </c>
      <c r="S1091" s="65"/>
      <c r="T1091" s="70" t="s">
        <v>6623</v>
      </c>
      <c r="U1091" s="65"/>
    </row>
    <row r="1092" spans="1:21" ht="25.5" customHeight="1" x14ac:dyDescent="0.15">
      <c r="A1092" s="61">
        <v>2664</v>
      </c>
      <c r="B1092" s="67" t="s">
        <v>6624</v>
      </c>
      <c r="C1092" s="65"/>
      <c r="D1092" s="67" t="s">
        <v>6625</v>
      </c>
      <c r="E1092" s="69"/>
      <c r="F1092" s="65"/>
      <c r="G1092" s="67" t="s">
        <v>6626</v>
      </c>
      <c r="H1092" s="65"/>
      <c r="I1092" s="64">
        <v>42067</v>
      </c>
      <c r="J1092" s="65"/>
      <c r="K1092" s="54">
        <v>2623</v>
      </c>
      <c r="L1092" s="66">
        <v>2640</v>
      </c>
      <c r="M1092" s="65"/>
      <c r="N1092" s="70" t="s">
        <v>6627</v>
      </c>
      <c r="O1092" s="65"/>
      <c r="P1092" s="67" t="s">
        <v>6628</v>
      </c>
      <c r="Q1092" s="65"/>
      <c r="R1092" s="64">
        <v>42067</v>
      </c>
      <c r="S1092" s="65"/>
      <c r="T1092" s="67" t="s">
        <v>6629</v>
      </c>
      <c r="U1092" s="65"/>
    </row>
    <row r="1093" spans="1:21" ht="12.75" customHeight="1" x14ac:dyDescent="0.15">
      <c r="A1093" s="68"/>
      <c r="B1093" s="69"/>
      <c r="C1093" s="69"/>
      <c r="D1093" s="69"/>
      <c r="E1093" s="69"/>
      <c r="F1093" s="69"/>
      <c r="G1093" s="69"/>
      <c r="H1093" s="69"/>
      <c r="I1093" s="69"/>
      <c r="J1093" s="69"/>
      <c r="K1093" s="69"/>
      <c r="L1093" s="69"/>
      <c r="M1093" s="69"/>
      <c r="N1093" s="69"/>
      <c r="O1093" s="65"/>
      <c r="P1093" s="70" t="s">
        <v>6630</v>
      </c>
      <c r="Q1093" s="65"/>
      <c r="R1093" s="71">
        <v>42067</v>
      </c>
      <c r="S1093" s="65"/>
      <c r="T1093" s="70" t="s">
        <v>6631</v>
      </c>
      <c r="U1093" s="65"/>
    </row>
    <row r="1094" spans="1:21" ht="24.75" customHeight="1" x14ac:dyDescent="0.15">
      <c r="A1094" s="61">
        <v>2665</v>
      </c>
      <c r="B1094" s="67" t="s">
        <v>6632</v>
      </c>
      <c r="C1094" s="65"/>
      <c r="D1094" s="67" t="s">
        <v>6633</v>
      </c>
      <c r="E1094" s="69"/>
      <c r="F1094" s="65"/>
      <c r="G1094" s="67" t="s">
        <v>6634</v>
      </c>
      <c r="H1094" s="65"/>
      <c r="I1094" s="64">
        <v>42104</v>
      </c>
      <c r="J1094" s="65"/>
      <c r="K1094" s="54">
        <v>2417</v>
      </c>
      <c r="L1094" s="66">
        <v>2423</v>
      </c>
      <c r="M1094" s="65"/>
      <c r="N1094" s="70" t="s">
        <v>6635</v>
      </c>
      <c r="O1094" s="65"/>
      <c r="P1094" s="67" t="s">
        <v>6636</v>
      </c>
      <c r="Q1094" s="65"/>
      <c r="R1094" s="64">
        <v>42104</v>
      </c>
      <c r="S1094" s="65"/>
      <c r="T1094" s="67" t="s">
        <v>6637</v>
      </c>
      <c r="U1094" s="65"/>
    </row>
    <row r="1095" spans="1:21" ht="12.75" customHeight="1" x14ac:dyDescent="0.15">
      <c r="A1095" s="68"/>
      <c r="B1095" s="69"/>
      <c r="C1095" s="69"/>
      <c r="D1095" s="69"/>
      <c r="E1095" s="69"/>
      <c r="F1095" s="69"/>
      <c r="G1095" s="69"/>
      <c r="H1095" s="69"/>
      <c r="I1095" s="69"/>
      <c r="J1095" s="69"/>
      <c r="K1095" s="69"/>
      <c r="L1095" s="69"/>
      <c r="M1095" s="69"/>
      <c r="N1095" s="69"/>
      <c r="O1095" s="65"/>
      <c r="P1095" s="70" t="s">
        <v>6638</v>
      </c>
      <c r="Q1095" s="65"/>
      <c r="R1095" s="71">
        <v>42105</v>
      </c>
      <c r="S1095" s="65"/>
      <c r="T1095" s="70" t="s">
        <v>6639</v>
      </c>
      <c r="U1095" s="65"/>
    </row>
    <row r="1096" spans="1:21" ht="25.5" customHeight="1" x14ac:dyDescent="0.15">
      <c r="A1096" s="61">
        <v>2666</v>
      </c>
      <c r="B1096" s="67" t="s">
        <v>6640</v>
      </c>
      <c r="C1096" s="65"/>
      <c r="D1096" s="66">
        <v>117017</v>
      </c>
      <c r="E1096" s="69"/>
      <c r="F1096" s="65"/>
      <c r="G1096" s="67" t="s">
        <v>6641</v>
      </c>
      <c r="H1096" s="65"/>
      <c r="I1096" s="64">
        <v>42454</v>
      </c>
      <c r="J1096" s="65"/>
      <c r="K1096" s="54">
        <v>2639</v>
      </c>
      <c r="L1096" s="66">
        <v>2642</v>
      </c>
      <c r="M1096" s="65"/>
      <c r="N1096" s="70" t="s">
        <v>6642</v>
      </c>
      <c r="O1096" s="65"/>
      <c r="P1096" s="67" t="s">
        <v>6643</v>
      </c>
      <c r="Q1096" s="65"/>
      <c r="R1096" s="64">
        <v>42454</v>
      </c>
      <c r="S1096" s="65"/>
      <c r="T1096" s="67" t="s">
        <v>6644</v>
      </c>
      <c r="U1096" s="65"/>
    </row>
    <row r="1097" spans="1:21" ht="12.75" customHeight="1" x14ac:dyDescent="0.15">
      <c r="A1097" s="68"/>
      <c r="B1097" s="69"/>
      <c r="C1097" s="69"/>
      <c r="D1097" s="69"/>
      <c r="E1097" s="69"/>
      <c r="F1097" s="69"/>
      <c r="G1097" s="69"/>
      <c r="H1097" s="69"/>
      <c r="I1097" s="69"/>
      <c r="J1097" s="69"/>
      <c r="K1097" s="69"/>
      <c r="L1097" s="69"/>
      <c r="M1097" s="69"/>
      <c r="N1097" s="69"/>
      <c r="O1097" s="65"/>
      <c r="P1097" s="70" t="s">
        <v>6645</v>
      </c>
      <c r="Q1097" s="65"/>
      <c r="R1097" s="71">
        <v>42977</v>
      </c>
      <c r="S1097" s="65"/>
      <c r="T1097" s="70" t="s">
        <v>6646</v>
      </c>
      <c r="U1097" s="65"/>
    </row>
    <row r="1098" spans="1:21" ht="24.75" customHeight="1" x14ac:dyDescent="0.15">
      <c r="A1098" s="61">
        <v>2667</v>
      </c>
      <c r="B1098" s="67" t="s">
        <v>6647</v>
      </c>
      <c r="C1098" s="65"/>
      <c r="D1098" s="66">
        <v>101772</v>
      </c>
      <c r="E1098" s="69"/>
      <c r="F1098" s="65"/>
      <c r="G1098" s="67" t="s">
        <v>6648</v>
      </c>
      <c r="H1098" s="65"/>
      <c r="I1098" s="64">
        <v>42454</v>
      </c>
      <c r="J1098" s="65"/>
      <c r="K1098" s="54">
        <v>2639</v>
      </c>
      <c r="L1098" s="66">
        <v>2642</v>
      </c>
      <c r="M1098" s="65"/>
      <c r="N1098" s="70" t="s">
        <v>6649</v>
      </c>
      <c r="O1098" s="65"/>
      <c r="P1098" s="67" t="s">
        <v>6650</v>
      </c>
      <c r="Q1098" s="65"/>
      <c r="R1098" s="64">
        <v>42454</v>
      </c>
      <c r="S1098" s="65"/>
      <c r="T1098" s="67" t="s">
        <v>6651</v>
      </c>
      <c r="U1098" s="65"/>
    </row>
    <row r="1099" spans="1:21" ht="12.75" customHeight="1" x14ac:dyDescent="0.15">
      <c r="A1099" s="68"/>
      <c r="B1099" s="69"/>
      <c r="C1099" s="69"/>
      <c r="D1099" s="69"/>
      <c r="E1099" s="69"/>
      <c r="F1099" s="69"/>
      <c r="G1099" s="69"/>
      <c r="H1099" s="69"/>
      <c r="I1099" s="69"/>
      <c r="J1099" s="69"/>
      <c r="K1099" s="69"/>
      <c r="L1099" s="69"/>
      <c r="M1099" s="69"/>
      <c r="N1099" s="69"/>
      <c r="O1099" s="65"/>
      <c r="P1099" s="70" t="s">
        <v>6652</v>
      </c>
      <c r="Q1099" s="65"/>
      <c r="R1099" s="71">
        <v>42975</v>
      </c>
      <c r="S1099" s="65"/>
      <c r="T1099" s="70" t="s">
        <v>6653</v>
      </c>
      <c r="U1099" s="65"/>
    </row>
    <row r="1100" spans="1:21" ht="25.5" customHeight="1" x14ac:dyDescent="0.15">
      <c r="A1100" s="61">
        <v>2668</v>
      </c>
      <c r="B1100" s="67" t="s">
        <v>6654</v>
      </c>
      <c r="C1100" s="65"/>
      <c r="D1100" s="66">
        <v>23674</v>
      </c>
      <c r="E1100" s="69"/>
      <c r="F1100" s="65"/>
      <c r="G1100" s="67" t="s">
        <v>6655</v>
      </c>
      <c r="H1100" s="65"/>
      <c r="I1100" s="64">
        <v>42485</v>
      </c>
      <c r="J1100" s="65"/>
      <c r="K1100" s="54">
        <v>2646</v>
      </c>
      <c r="L1100" s="66">
        <v>2637</v>
      </c>
      <c r="M1100" s="65"/>
      <c r="N1100" s="70" t="s">
        <v>6656</v>
      </c>
      <c r="O1100" s="65"/>
      <c r="P1100" s="67" t="s">
        <v>6657</v>
      </c>
      <c r="Q1100" s="65"/>
      <c r="R1100" s="64">
        <v>42485</v>
      </c>
      <c r="S1100" s="65"/>
      <c r="T1100" s="67" t="s">
        <v>6658</v>
      </c>
      <c r="U1100" s="65"/>
    </row>
    <row r="1101" spans="1:21" ht="12.75" customHeight="1" x14ac:dyDescent="0.15">
      <c r="A1101" s="68"/>
      <c r="B1101" s="69"/>
      <c r="C1101" s="69"/>
      <c r="D1101" s="69"/>
      <c r="E1101" s="69"/>
      <c r="F1101" s="69"/>
      <c r="G1101" s="69"/>
      <c r="H1101" s="69"/>
      <c r="I1101" s="69"/>
      <c r="J1101" s="69"/>
      <c r="K1101" s="69"/>
      <c r="L1101" s="69"/>
      <c r="M1101" s="69"/>
      <c r="N1101" s="69"/>
      <c r="O1101" s="65"/>
      <c r="P1101" s="70" t="s">
        <v>6659</v>
      </c>
      <c r="Q1101" s="65"/>
      <c r="R1101" s="71">
        <v>42487</v>
      </c>
      <c r="S1101" s="65"/>
      <c r="T1101" s="70" t="s">
        <v>6660</v>
      </c>
      <c r="U1101" s="65"/>
    </row>
    <row r="1102" spans="1:21" ht="24.75" customHeight="1" x14ac:dyDescent="0.15">
      <c r="A1102" s="61">
        <v>2669</v>
      </c>
      <c r="B1102" s="67" t="s">
        <v>6661</v>
      </c>
      <c r="C1102" s="65"/>
      <c r="D1102" s="66">
        <v>23675</v>
      </c>
      <c r="E1102" s="69"/>
      <c r="F1102" s="65"/>
      <c r="G1102" s="67" t="s">
        <v>6662</v>
      </c>
      <c r="H1102" s="65"/>
      <c r="I1102" s="64">
        <v>42485</v>
      </c>
      <c r="J1102" s="65"/>
      <c r="K1102" s="54">
        <v>2646</v>
      </c>
      <c r="L1102" s="66">
        <v>2637</v>
      </c>
      <c r="M1102" s="65"/>
      <c r="N1102" s="70" t="s">
        <v>6663</v>
      </c>
      <c r="O1102" s="65"/>
      <c r="P1102" s="67" t="s">
        <v>6664</v>
      </c>
      <c r="Q1102" s="65"/>
      <c r="R1102" s="64">
        <v>42485</v>
      </c>
      <c r="S1102" s="65"/>
      <c r="T1102" s="67" t="s">
        <v>6665</v>
      </c>
      <c r="U1102" s="65"/>
    </row>
    <row r="1103" spans="1:21" ht="12.75" customHeight="1" x14ac:dyDescent="0.15">
      <c r="A1103" s="68"/>
      <c r="B1103" s="69"/>
      <c r="C1103" s="69"/>
      <c r="D1103" s="69"/>
      <c r="E1103" s="69"/>
      <c r="F1103" s="69"/>
      <c r="G1103" s="69"/>
      <c r="H1103" s="69"/>
      <c r="I1103" s="69"/>
      <c r="J1103" s="69"/>
      <c r="K1103" s="69"/>
      <c r="L1103" s="69"/>
      <c r="M1103" s="69"/>
      <c r="N1103" s="69"/>
      <c r="O1103" s="65"/>
      <c r="P1103" s="70" t="s">
        <v>6666</v>
      </c>
      <c r="Q1103" s="65"/>
      <c r="R1103" s="71">
        <v>42488</v>
      </c>
      <c r="S1103" s="65"/>
      <c r="T1103" s="70" t="s">
        <v>6667</v>
      </c>
      <c r="U1103" s="65"/>
    </row>
    <row r="1104" spans="1:21" ht="25.5" customHeight="1" x14ac:dyDescent="0.15">
      <c r="A1104" s="61">
        <v>2670</v>
      </c>
      <c r="B1104" s="67" t="s">
        <v>6668</v>
      </c>
      <c r="C1104" s="65"/>
      <c r="D1104" s="66">
        <v>201812</v>
      </c>
      <c r="E1104" s="69"/>
      <c r="F1104" s="65"/>
      <c r="G1104" s="67" t="s">
        <v>6669</v>
      </c>
      <c r="H1104" s="65"/>
      <c r="I1104" s="64">
        <v>42641</v>
      </c>
      <c r="J1104" s="65"/>
      <c r="K1104" s="54">
        <v>2449</v>
      </c>
      <c r="L1104" s="66">
        <v>2632</v>
      </c>
      <c r="M1104" s="65"/>
      <c r="N1104" s="70" t="s">
        <v>6670</v>
      </c>
      <c r="O1104" s="65"/>
      <c r="P1104" s="67" t="s">
        <v>6671</v>
      </c>
      <c r="Q1104" s="65"/>
      <c r="R1104" s="64">
        <v>42641</v>
      </c>
      <c r="S1104" s="65"/>
      <c r="T1104" s="67" t="s">
        <v>6672</v>
      </c>
      <c r="U1104" s="65"/>
    </row>
    <row r="1105" spans="1:21" ht="13.5" customHeight="1" x14ac:dyDescent="0.15">
      <c r="A1105" s="68"/>
      <c r="B1105" s="69"/>
      <c r="C1105" s="69"/>
      <c r="D1105" s="69"/>
      <c r="E1105" s="69"/>
      <c r="F1105" s="69"/>
      <c r="G1105" s="69"/>
      <c r="H1105" s="69"/>
      <c r="I1105" s="69"/>
      <c r="J1105" s="69"/>
      <c r="K1105" s="69"/>
      <c r="L1105" s="69"/>
      <c r="M1105" s="69"/>
      <c r="N1105" s="69"/>
      <c r="O1105" s="65"/>
      <c r="P1105" s="70" t="s">
        <v>6673</v>
      </c>
      <c r="Q1105" s="65"/>
      <c r="R1105" s="71">
        <v>42642</v>
      </c>
      <c r="S1105" s="65"/>
      <c r="T1105" s="70" t="s">
        <v>6674</v>
      </c>
      <c r="U1105" s="65"/>
    </row>
    <row r="1106" spans="1:21" ht="25.5" customHeight="1" x14ac:dyDescent="0.15">
      <c r="A1106" s="61">
        <v>2671</v>
      </c>
      <c r="B1106" s="67" t="s">
        <v>6675</v>
      </c>
      <c r="C1106" s="65"/>
      <c r="D1106" s="66">
        <v>117022</v>
      </c>
      <c r="E1106" s="69"/>
      <c r="F1106" s="65"/>
      <c r="G1106" s="67" t="s">
        <v>6676</v>
      </c>
      <c r="H1106" s="65"/>
      <c r="I1106" s="64">
        <v>42641</v>
      </c>
      <c r="J1106" s="65"/>
      <c r="K1106" s="54">
        <v>2449</v>
      </c>
      <c r="L1106" s="66">
        <v>2632</v>
      </c>
      <c r="M1106" s="65"/>
      <c r="N1106" s="73" t="s">
        <v>6677</v>
      </c>
      <c r="O1106" s="65"/>
      <c r="P1106" s="67" t="s">
        <v>6678</v>
      </c>
      <c r="Q1106" s="65"/>
      <c r="R1106" s="64">
        <v>42641</v>
      </c>
      <c r="S1106" s="65"/>
      <c r="T1106" s="67" t="s">
        <v>6679</v>
      </c>
      <c r="U1106" s="65"/>
    </row>
    <row r="1107" spans="1:21" ht="12.75" customHeight="1" x14ac:dyDescent="0.15">
      <c r="A1107" s="68"/>
      <c r="B1107" s="69"/>
      <c r="C1107" s="69"/>
      <c r="D1107" s="69"/>
      <c r="E1107" s="69"/>
      <c r="F1107" s="69"/>
      <c r="G1107" s="69"/>
      <c r="H1107" s="69"/>
      <c r="I1107" s="69"/>
      <c r="J1107" s="69"/>
      <c r="K1107" s="69"/>
      <c r="L1107" s="69"/>
      <c r="M1107" s="69"/>
      <c r="N1107" s="69"/>
      <c r="O1107" s="65"/>
      <c r="P1107" s="70" t="s">
        <v>6680</v>
      </c>
      <c r="Q1107" s="65"/>
      <c r="R1107" s="71">
        <v>43033</v>
      </c>
      <c r="S1107" s="65"/>
      <c r="T1107" s="70" t="s">
        <v>6681</v>
      </c>
      <c r="U1107" s="65"/>
    </row>
    <row r="1108" spans="1:21" ht="25.5" customHeight="1" x14ac:dyDescent="0.15">
      <c r="A1108" s="61">
        <v>2672</v>
      </c>
      <c r="B1108" s="67" t="s">
        <v>6682</v>
      </c>
      <c r="C1108" s="65"/>
      <c r="D1108" s="66">
        <v>201811</v>
      </c>
      <c r="E1108" s="69"/>
      <c r="F1108" s="65"/>
      <c r="G1108" s="67" t="s">
        <v>6683</v>
      </c>
      <c r="H1108" s="65"/>
      <c r="I1108" s="64">
        <v>42641</v>
      </c>
      <c r="J1108" s="65"/>
      <c r="K1108" s="54">
        <v>2449</v>
      </c>
      <c r="L1108" s="66">
        <v>2632</v>
      </c>
      <c r="M1108" s="65"/>
      <c r="N1108" s="70" t="s">
        <v>6684</v>
      </c>
      <c r="O1108" s="65"/>
      <c r="P1108" s="67" t="s">
        <v>6685</v>
      </c>
      <c r="Q1108" s="65"/>
      <c r="R1108" s="64">
        <v>42641</v>
      </c>
      <c r="S1108" s="65"/>
      <c r="T1108" s="67" t="s">
        <v>6686</v>
      </c>
      <c r="U1108" s="65"/>
    </row>
    <row r="1109" spans="1:21" ht="13.5" customHeight="1" x14ac:dyDescent="0.15">
      <c r="A1109" s="68"/>
      <c r="B1109" s="69"/>
      <c r="C1109" s="69"/>
      <c r="D1109" s="69"/>
      <c r="E1109" s="69"/>
      <c r="F1109" s="69"/>
      <c r="G1109" s="69"/>
      <c r="H1109" s="69"/>
      <c r="I1109" s="69"/>
      <c r="J1109" s="69"/>
      <c r="K1109" s="69"/>
      <c r="L1109" s="69"/>
      <c r="M1109" s="69"/>
      <c r="N1109" s="69"/>
      <c r="O1109" s="65"/>
      <c r="P1109" s="70" t="s">
        <v>6687</v>
      </c>
      <c r="Q1109" s="65"/>
      <c r="R1109" s="71">
        <v>42653</v>
      </c>
      <c r="S1109" s="65"/>
      <c r="T1109" s="70" t="s">
        <v>6688</v>
      </c>
      <c r="U1109" s="65"/>
    </row>
    <row r="1110" spans="1:21" ht="25.5" customHeight="1" x14ac:dyDescent="0.15">
      <c r="A1110" s="61">
        <v>2673</v>
      </c>
      <c r="B1110" s="67" t="s">
        <v>6689</v>
      </c>
      <c r="C1110" s="65"/>
      <c r="D1110" s="67" t="s">
        <v>6690</v>
      </c>
      <c r="E1110" s="69"/>
      <c r="F1110" s="65"/>
      <c r="G1110" s="67" t="s">
        <v>6691</v>
      </c>
      <c r="H1110" s="65"/>
      <c r="I1110" s="64">
        <v>42720</v>
      </c>
      <c r="J1110" s="65"/>
      <c r="K1110" s="54">
        <v>2649</v>
      </c>
      <c r="L1110" s="66">
        <v>2638</v>
      </c>
      <c r="M1110" s="65"/>
      <c r="N1110" s="73" t="s">
        <v>6692</v>
      </c>
      <c r="O1110" s="65"/>
      <c r="P1110" s="67" t="s">
        <v>6693</v>
      </c>
      <c r="Q1110" s="65"/>
      <c r="R1110" s="64">
        <v>42720</v>
      </c>
      <c r="S1110" s="65"/>
      <c r="T1110" s="67" t="s">
        <v>6694</v>
      </c>
      <c r="U1110" s="65"/>
    </row>
    <row r="1111" spans="1:21" ht="21" customHeight="1" x14ac:dyDescent="0.15">
      <c r="A1111" s="60" t="s">
        <v>6695</v>
      </c>
      <c r="B1111" s="72" t="s">
        <v>6696</v>
      </c>
      <c r="C1111" s="65"/>
      <c r="D1111" s="72" t="s">
        <v>6697</v>
      </c>
      <c r="E1111" s="69"/>
      <c r="F1111" s="65"/>
      <c r="G1111" s="72" t="s">
        <v>6698</v>
      </c>
      <c r="H1111" s="65"/>
      <c r="I1111" s="72" t="s">
        <v>6699</v>
      </c>
      <c r="J1111" s="65"/>
      <c r="K1111" s="60" t="s">
        <v>6700</v>
      </c>
      <c r="L1111" s="72" t="s">
        <v>6701</v>
      </c>
      <c r="M1111" s="65"/>
      <c r="N1111" s="72" t="s">
        <v>6702</v>
      </c>
      <c r="O1111" s="65"/>
      <c r="P1111" s="72" t="s">
        <v>6703</v>
      </c>
      <c r="Q1111" s="65"/>
      <c r="R1111" s="72" t="s">
        <v>6704</v>
      </c>
      <c r="S1111" s="65"/>
      <c r="T1111" s="72" t="s">
        <v>6705</v>
      </c>
      <c r="U1111" s="65"/>
    </row>
    <row r="1112" spans="1:21" ht="13.5" customHeight="1" x14ac:dyDescent="0.15">
      <c r="A1112" s="68"/>
      <c r="B1112" s="69"/>
      <c r="C1112" s="69"/>
      <c r="D1112" s="69"/>
      <c r="E1112" s="69"/>
      <c r="F1112" s="69"/>
      <c r="G1112" s="69"/>
      <c r="H1112" s="69"/>
      <c r="I1112" s="69"/>
      <c r="J1112" s="69"/>
      <c r="K1112" s="69"/>
      <c r="L1112" s="69"/>
      <c r="M1112" s="69"/>
      <c r="N1112" s="69"/>
      <c r="O1112" s="65"/>
      <c r="P1112" s="70" t="s">
        <v>6706</v>
      </c>
      <c r="Q1112" s="65"/>
      <c r="R1112" s="71">
        <v>43130</v>
      </c>
      <c r="S1112" s="65"/>
      <c r="T1112" s="70" t="s">
        <v>6707</v>
      </c>
      <c r="U1112" s="65"/>
    </row>
    <row r="1113" spans="1:21" ht="12.75" customHeight="1" x14ac:dyDescent="0.15">
      <c r="A1113" s="68"/>
      <c r="B1113" s="69"/>
      <c r="C1113" s="69"/>
      <c r="D1113" s="69"/>
      <c r="E1113" s="69"/>
      <c r="F1113" s="69"/>
      <c r="G1113" s="69"/>
      <c r="H1113" s="69"/>
      <c r="I1113" s="69"/>
      <c r="J1113" s="69"/>
      <c r="K1113" s="69"/>
      <c r="L1113" s="69"/>
      <c r="M1113" s="69"/>
      <c r="N1113" s="69"/>
      <c r="O1113" s="65"/>
      <c r="P1113" s="70" t="s">
        <v>6708</v>
      </c>
      <c r="Q1113" s="65"/>
      <c r="R1113" s="71">
        <v>43773</v>
      </c>
      <c r="S1113" s="65"/>
      <c r="T1113" s="70" t="s">
        <v>6709</v>
      </c>
      <c r="U1113" s="65"/>
    </row>
    <row r="1114" spans="1:21" ht="24.75" customHeight="1" x14ac:dyDescent="0.15">
      <c r="A1114" s="61">
        <v>2674</v>
      </c>
      <c r="B1114" s="67" t="s">
        <v>6710</v>
      </c>
      <c r="C1114" s="65"/>
      <c r="D1114" s="67" t="s">
        <v>6711</v>
      </c>
      <c r="E1114" s="69"/>
      <c r="F1114" s="65"/>
      <c r="G1114" s="67" t="s">
        <v>6712</v>
      </c>
      <c r="H1114" s="65"/>
      <c r="I1114" s="64">
        <v>42720</v>
      </c>
      <c r="J1114" s="65"/>
      <c r="K1114" s="54">
        <v>2649</v>
      </c>
      <c r="L1114" s="66">
        <v>2638</v>
      </c>
      <c r="M1114" s="65"/>
      <c r="N1114" s="70" t="s">
        <v>6713</v>
      </c>
      <c r="O1114" s="65"/>
      <c r="P1114" s="67" t="s">
        <v>6714</v>
      </c>
      <c r="Q1114" s="65"/>
      <c r="R1114" s="64">
        <v>42720</v>
      </c>
      <c r="S1114" s="65"/>
      <c r="T1114" s="67" t="s">
        <v>6715</v>
      </c>
      <c r="U1114" s="65"/>
    </row>
    <row r="1115" spans="1:21" ht="12.75" customHeight="1" x14ac:dyDescent="0.15">
      <c r="A1115" s="68"/>
      <c r="B1115" s="69"/>
      <c r="C1115" s="69"/>
      <c r="D1115" s="69"/>
      <c r="E1115" s="69"/>
      <c r="F1115" s="69"/>
      <c r="G1115" s="69"/>
      <c r="H1115" s="69"/>
      <c r="I1115" s="69"/>
      <c r="J1115" s="69"/>
      <c r="K1115" s="69"/>
      <c r="L1115" s="69"/>
      <c r="M1115" s="69"/>
      <c r="N1115" s="69"/>
      <c r="O1115" s="65"/>
      <c r="P1115" s="70" t="s">
        <v>6716</v>
      </c>
      <c r="Q1115" s="65"/>
      <c r="R1115" s="71">
        <v>43216</v>
      </c>
      <c r="S1115" s="65"/>
      <c r="T1115" s="70" t="s">
        <v>6717</v>
      </c>
      <c r="U1115" s="65"/>
    </row>
    <row r="1116" spans="1:21" ht="25.5" customHeight="1" x14ac:dyDescent="0.15">
      <c r="A1116" s="61">
        <v>2675</v>
      </c>
      <c r="B1116" s="67" t="s">
        <v>6718</v>
      </c>
      <c r="C1116" s="65"/>
      <c r="D1116" s="66">
        <v>7506</v>
      </c>
      <c r="E1116" s="69"/>
      <c r="F1116" s="65"/>
      <c r="G1116" s="67" t="s">
        <v>6719</v>
      </c>
      <c r="H1116" s="65"/>
      <c r="I1116" s="64">
        <v>42677</v>
      </c>
      <c r="J1116" s="65"/>
      <c r="K1116" s="54">
        <v>2631</v>
      </c>
      <c r="L1116" s="66">
        <v>2626</v>
      </c>
      <c r="M1116" s="65"/>
      <c r="N1116" s="70" t="s">
        <v>6720</v>
      </c>
      <c r="O1116" s="65"/>
      <c r="P1116" s="67" t="s">
        <v>6721</v>
      </c>
      <c r="Q1116" s="65"/>
      <c r="R1116" s="64">
        <v>42677</v>
      </c>
      <c r="S1116" s="65"/>
      <c r="T1116" s="67" t="s">
        <v>6722</v>
      </c>
      <c r="U1116" s="65"/>
    </row>
    <row r="1117" spans="1:21" ht="12.75" customHeight="1" x14ac:dyDescent="0.15">
      <c r="A1117" s="68"/>
      <c r="B1117" s="69"/>
      <c r="C1117" s="69"/>
      <c r="D1117" s="69"/>
      <c r="E1117" s="69"/>
      <c r="F1117" s="69"/>
      <c r="G1117" s="69"/>
      <c r="H1117" s="69"/>
      <c r="I1117" s="69"/>
      <c r="J1117" s="69"/>
      <c r="K1117" s="69"/>
      <c r="L1117" s="69"/>
      <c r="M1117" s="69"/>
      <c r="N1117" s="69"/>
      <c r="O1117" s="65"/>
      <c r="P1117" s="70" t="s">
        <v>6723</v>
      </c>
      <c r="Q1117" s="65"/>
      <c r="R1117" s="71">
        <v>42683</v>
      </c>
      <c r="S1117" s="65"/>
      <c r="T1117" s="70" t="s">
        <v>6724</v>
      </c>
      <c r="U1117" s="65"/>
    </row>
    <row r="1118" spans="1:21" ht="24.75" customHeight="1" x14ac:dyDescent="0.15">
      <c r="A1118" s="61">
        <v>2676</v>
      </c>
      <c r="B1118" s="67" t="s">
        <v>6725</v>
      </c>
      <c r="C1118" s="65"/>
      <c r="D1118" s="66">
        <v>105322</v>
      </c>
      <c r="E1118" s="69"/>
      <c r="F1118" s="65"/>
      <c r="G1118" s="67" t="s">
        <v>6726</v>
      </c>
      <c r="H1118" s="65"/>
      <c r="I1118" s="64">
        <v>42677</v>
      </c>
      <c r="J1118" s="65"/>
      <c r="K1118" s="54">
        <v>2631</v>
      </c>
      <c r="L1118" s="66">
        <v>2626</v>
      </c>
      <c r="M1118" s="65"/>
      <c r="N1118" s="70" t="s">
        <v>6727</v>
      </c>
      <c r="O1118" s="65"/>
      <c r="P1118" s="67" t="s">
        <v>6728</v>
      </c>
      <c r="Q1118" s="65"/>
      <c r="R1118" s="64">
        <v>42677</v>
      </c>
      <c r="S1118" s="65"/>
      <c r="T1118" s="67" t="s">
        <v>6729</v>
      </c>
      <c r="U1118" s="65"/>
    </row>
    <row r="1119" spans="1:21" ht="12.75" customHeight="1" x14ac:dyDescent="0.15">
      <c r="A1119" s="68"/>
      <c r="B1119" s="69"/>
      <c r="C1119" s="69"/>
      <c r="D1119" s="69"/>
      <c r="E1119" s="69"/>
      <c r="F1119" s="69"/>
      <c r="G1119" s="69"/>
      <c r="H1119" s="69"/>
      <c r="I1119" s="69"/>
      <c r="J1119" s="69"/>
      <c r="K1119" s="69"/>
      <c r="L1119" s="69"/>
      <c r="M1119" s="69"/>
      <c r="N1119" s="69"/>
      <c r="O1119" s="65"/>
      <c r="P1119" s="70" t="s">
        <v>6730</v>
      </c>
      <c r="Q1119" s="65"/>
      <c r="R1119" s="71">
        <v>43034</v>
      </c>
      <c r="S1119" s="65"/>
      <c r="T1119" s="70" t="s">
        <v>6731</v>
      </c>
      <c r="U1119" s="65"/>
    </row>
    <row r="1120" spans="1:21" ht="25.5" customHeight="1" x14ac:dyDescent="0.15">
      <c r="A1120" s="61">
        <v>2677</v>
      </c>
      <c r="B1120" s="67" t="s">
        <v>6732</v>
      </c>
      <c r="C1120" s="65"/>
      <c r="D1120" s="66">
        <v>24709</v>
      </c>
      <c r="E1120" s="69"/>
      <c r="F1120" s="65"/>
      <c r="G1120" s="67" t="s">
        <v>6733</v>
      </c>
      <c r="H1120" s="65"/>
      <c r="I1120" s="64">
        <v>42753</v>
      </c>
      <c r="J1120" s="65"/>
      <c r="K1120" s="54">
        <v>2496</v>
      </c>
      <c r="L1120" s="66">
        <v>2502</v>
      </c>
      <c r="M1120" s="65"/>
      <c r="N1120" s="70" t="s">
        <v>6734</v>
      </c>
      <c r="O1120" s="65"/>
      <c r="P1120" s="67" t="s">
        <v>6735</v>
      </c>
      <c r="Q1120" s="65"/>
      <c r="R1120" s="64">
        <v>42753</v>
      </c>
      <c r="S1120" s="65"/>
      <c r="T1120" s="67" t="s">
        <v>6736</v>
      </c>
      <c r="U1120" s="65"/>
    </row>
    <row r="1121" spans="1:21" ht="13.5" customHeight="1" x14ac:dyDescent="0.15">
      <c r="A1121" s="68"/>
      <c r="B1121" s="69"/>
      <c r="C1121" s="69"/>
      <c r="D1121" s="69"/>
      <c r="E1121" s="69"/>
      <c r="F1121" s="69"/>
      <c r="G1121" s="69"/>
      <c r="H1121" s="69"/>
      <c r="I1121" s="69"/>
      <c r="J1121" s="69"/>
      <c r="K1121" s="69"/>
      <c r="L1121" s="69"/>
      <c r="M1121" s="69"/>
      <c r="N1121" s="69"/>
      <c r="O1121" s="65"/>
      <c r="P1121" s="70" t="s">
        <v>6737</v>
      </c>
      <c r="Q1121" s="65"/>
      <c r="R1121" s="71">
        <v>42992</v>
      </c>
      <c r="S1121" s="65"/>
      <c r="T1121" s="70" t="s">
        <v>6738</v>
      </c>
      <c r="U1121" s="65"/>
    </row>
    <row r="1122" spans="1:21" ht="25.5" customHeight="1" x14ac:dyDescent="0.15">
      <c r="A1122" s="61">
        <v>2678</v>
      </c>
      <c r="B1122" s="67" t="s">
        <v>6739</v>
      </c>
      <c r="C1122" s="65"/>
      <c r="D1122" s="66">
        <v>266</v>
      </c>
      <c r="E1122" s="69"/>
      <c r="F1122" s="65"/>
      <c r="G1122" s="67" t="s">
        <v>6740</v>
      </c>
      <c r="H1122" s="65"/>
      <c r="I1122" s="64">
        <v>42753</v>
      </c>
      <c r="J1122" s="65"/>
      <c r="K1122" s="54">
        <v>2496</v>
      </c>
      <c r="L1122" s="66">
        <v>2502</v>
      </c>
      <c r="M1122" s="65"/>
      <c r="N1122" s="73" t="s">
        <v>6741</v>
      </c>
      <c r="O1122" s="65"/>
      <c r="P1122" s="67" t="s">
        <v>6742</v>
      </c>
      <c r="Q1122" s="65"/>
      <c r="R1122" s="64">
        <v>42753</v>
      </c>
      <c r="S1122" s="65"/>
      <c r="T1122" s="67" t="s">
        <v>6743</v>
      </c>
      <c r="U1122" s="65"/>
    </row>
    <row r="1123" spans="1:21" ht="12.75" customHeight="1" x14ac:dyDescent="0.15">
      <c r="A1123" s="68"/>
      <c r="B1123" s="69"/>
      <c r="C1123" s="69"/>
      <c r="D1123" s="69"/>
      <c r="E1123" s="69"/>
      <c r="F1123" s="69"/>
      <c r="G1123" s="69"/>
      <c r="H1123" s="69"/>
      <c r="I1123" s="69"/>
      <c r="J1123" s="69"/>
      <c r="K1123" s="69"/>
      <c r="L1123" s="69"/>
      <c r="M1123" s="69"/>
      <c r="N1123" s="69"/>
      <c r="O1123" s="65"/>
      <c r="P1123" s="70" t="s">
        <v>6744</v>
      </c>
      <c r="Q1123" s="65"/>
      <c r="R1123" s="71">
        <v>42754</v>
      </c>
      <c r="S1123" s="65"/>
      <c r="T1123" s="70" t="s">
        <v>6745</v>
      </c>
      <c r="U1123" s="65"/>
    </row>
    <row r="1124" spans="1:21" ht="25.5" customHeight="1" x14ac:dyDescent="0.15">
      <c r="A1124" s="61">
        <v>2679</v>
      </c>
      <c r="B1124" s="67" t="s">
        <v>6746</v>
      </c>
      <c r="C1124" s="65"/>
      <c r="D1124" s="66">
        <v>100503</v>
      </c>
      <c r="E1124" s="69"/>
      <c r="F1124" s="65"/>
      <c r="G1124" s="67" t="s">
        <v>6747</v>
      </c>
      <c r="H1124" s="65"/>
      <c r="I1124" s="64">
        <v>42771</v>
      </c>
      <c r="J1124" s="65"/>
      <c r="K1124" s="54">
        <v>2639</v>
      </c>
      <c r="L1124" s="66">
        <v>2642</v>
      </c>
      <c r="M1124" s="65"/>
      <c r="N1124" s="70" t="s">
        <v>6748</v>
      </c>
      <c r="O1124" s="65"/>
      <c r="P1124" s="67" t="s">
        <v>6749</v>
      </c>
      <c r="Q1124" s="65"/>
      <c r="R1124" s="64">
        <v>42771</v>
      </c>
      <c r="S1124" s="65"/>
      <c r="T1124" s="67" t="s">
        <v>6750</v>
      </c>
      <c r="U1124" s="65"/>
    </row>
    <row r="1125" spans="1:21" ht="13.5" customHeight="1" x14ac:dyDescent="0.15">
      <c r="A1125" s="68"/>
      <c r="B1125" s="69"/>
      <c r="C1125" s="69"/>
      <c r="D1125" s="69"/>
      <c r="E1125" s="69"/>
      <c r="F1125" s="69"/>
      <c r="G1125" s="69"/>
      <c r="H1125" s="69"/>
      <c r="I1125" s="69"/>
      <c r="J1125" s="69"/>
      <c r="K1125" s="69"/>
      <c r="L1125" s="69"/>
      <c r="M1125" s="69"/>
      <c r="N1125" s="69"/>
      <c r="O1125" s="65"/>
      <c r="P1125" s="70" t="s">
        <v>6751</v>
      </c>
      <c r="Q1125" s="65"/>
      <c r="R1125" s="71">
        <v>43657</v>
      </c>
      <c r="S1125" s="65"/>
      <c r="T1125" s="70" t="s">
        <v>6752</v>
      </c>
      <c r="U1125" s="65"/>
    </row>
    <row r="1126" spans="1:21" ht="25.5" customHeight="1" x14ac:dyDescent="0.15">
      <c r="A1126" s="61">
        <v>2680</v>
      </c>
      <c r="B1126" s="67" t="s">
        <v>6753</v>
      </c>
      <c r="C1126" s="65"/>
      <c r="D1126" s="66">
        <v>217010</v>
      </c>
      <c r="E1126" s="69"/>
      <c r="F1126" s="65"/>
      <c r="G1126" s="67" t="s">
        <v>6754</v>
      </c>
      <c r="H1126" s="65"/>
      <c r="I1126" s="64">
        <v>42771</v>
      </c>
      <c r="J1126" s="65"/>
      <c r="K1126" s="54">
        <v>2639</v>
      </c>
      <c r="L1126" s="66">
        <v>2642</v>
      </c>
      <c r="M1126" s="65"/>
      <c r="N1126" s="73" t="s">
        <v>6755</v>
      </c>
      <c r="O1126" s="65"/>
      <c r="P1126" s="67" t="s">
        <v>6756</v>
      </c>
      <c r="Q1126" s="65"/>
      <c r="R1126" s="64">
        <v>42771</v>
      </c>
      <c r="S1126" s="65"/>
      <c r="T1126" s="67" t="s">
        <v>6757</v>
      </c>
      <c r="U1126" s="65"/>
    </row>
    <row r="1127" spans="1:21" ht="12.75" customHeight="1" x14ac:dyDescent="0.15">
      <c r="A1127" s="68"/>
      <c r="B1127" s="69"/>
      <c r="C1127" s="69"/>
      <c r="D1127" s="69"/>
      <c r="E1127" s="69"/>
      <c r="F1127" s="69"/>
      <c r="G1127" s="69"/>
      <c r="H1127" s="69"/>
      <c r="I1127" s="69"/>
      <c r="J1127" s="69"/>
      <c r="K1127" s="69"/>
      <c r="L1127" s="69"/>
      <c r="M1127" s="69"/>
      <c r="N1127" s="69"/>
      <c r="O1127" s="65"/>
      <c r="P1127" s="70" t="s">
        <v>6758</v>
      </c>
      <c r="Q1127" s="65"/>
      <c r="R1127" s="71">
        <v>42771</v>
      </c>
      <c r="S1127" s="65"/>
      <c r="T1127" s="70" t="s">
        <v>6759</v>
      </c>
      <c r="U1127" s="65"/>
    </row>
    <row r="1128" spans="1:21" ht="25.5" customHeight="1" x14ac:dyDescent="0.15">
      <c r="A1128" s="61">
        <v>2681</v>
      </c>
      <c r="B1128" s="67" t="s">
        <v>6760</v>
      </c>
      <c r="C1128" s="65"/>
      <c r="D1128" s="66">
        <v>23782</v>
      </c>
      <c r="E1128" s="69"/>
      <c r="F1128" s="65"/>
      <c r="G1128" s="67" t="s">
        <v>6761</v>
      </c>
      <c r="H1128" s="65"/>
      <c r="I1128" s="64">
        <v>42795</v>
      </c>
      <c r="J1128" s="65"/>
      <c r="K1128" s="54">
        <v>2646</v>
      </c>
      <c r="L1128" s="66">
        <v>2637</v>
      </c>
      <c r="M1128" s="65"/>
      <c r="N1128" s="70" t="s">
        <v>6762</v>
      </c>
      <c r="O1128" s="65"/>
      <c r="P1128" s="67" t="s">
        <v>6763</v>
      </c>
      <c r="Q1128" s="65"/>
      <c r="R1128" s="64">
        <v>42795</v>
      </c>
      <c r="S1128" s="65"/>
      <c r="T1128" s="67" t="s">
        <v>6764</v>
      </c>
      <c r="U1128" s="65"/>
    </row>
    <row r="1129" spans="1:21" ht="13.5" customHeight="1" x14ac:dyDescent="0.15">
      <c r="A1129" s="68"/>
      <c r="B1129" s="69"/>
      <c r="C1129" s="69"/>
      <c r="D1129" s="69"/>
      <c r="E1129" s="69"/>
      <c r="F1129" s="69"/>
      <c r="G1129" s="69"/>
      <c r="H1129" s="69"/>
      <c r="I1129" s="69"/>
      <c r="J1129" s="69"/>
      <c r="K1129" s="69"/>
      <c r="L1129" s="69"/>
      <c r="M1129" s="69"/>
      <c r="N1129" s="69"/>
      <c r="O1129" s="65"/>
      <c r="P1129" s="70" t="s">
        <v>6765</v>
      </c>
      <c r="Q1129" s="65"/>
      <c r="R1129" s="71">
        <v>42822</v>
      </c>
      <c r="S1129" s="65"/>
      <c r="T1129" s="70" t="s">
        <v>6766</v>
      </c>
      <c r="U1129" s="65"/>
    </row>
    <row r="1130" spans="1:21" ht="25.5" customHeight="1" x14ac:dyDescent="0.15">
      <c r="A1130" s="61">
        <v>2682</v>
      </c>
      <c r="B1130" s="67" t="s">
        <v>6767</v>
      </c>
      <c r="C1130" s="65"/>
      <c r="D1130" s="67" t="s">
        <v>6768</v>
      </c>
      <c r="E1130" s="69"/>
      <c r="F1130" s="65"/>
      <c r="G1130" s="67" t="s">
        <v>6769</v>
      </c>
      <c r="H1130" s="65"/>
      <c r="I1130" s="64">
        <v>42955</v>
      </c>
      <c r="J1130" s="65"/>
      <c r="K1130" s="54">
        <v>2634</v>
      </c>
      <c r="L1130" s="66">
        <v>2654</v>
      </c>
      <c r="M1130" s="65"/>
      <c r="N1130" s="73" t="s">
        <v>6770</v>
      </c>
      <c r="O1130" s="65"/>
      <c r="P1130" s="67" t="s">
        <v>6771</v>
      </c>
      <c r="Q1130" s="65"/>
      <c r="R1130" s="64">
        <v>42955</v>
      </c>
      <c r="S1130" s="65"/>
      <c r="T1130" s="67" t="s">
        <v>6772</v>
      </c>
      <c r="U1130" s="65"/>
    </row>
    <row r="1131" spans="1:21" ht="12.75" customHeight="1" x14ac:dyDescent="0.15">
      <c r="A1131" s="68"/>
      <c r="B1131" s="69"/>
      <c r="C1131" s="69"/>
      <c r="D1131" s="69"/>
      <c r="E1131" s="69"/>
      <c r="F1131" s="69"/>
      <c r="G1131" s="69"/>
      <c r="H1131" s="69"/>
      <c r="I1131" s="69"/>
      <c r="J1131" s="69"/>
      <c r="K1131" s="69"/>
      <c r="L1131" s="69"/>
      <c r="M1131" s="69"/>
      <c r="N1131" s="69"/>
      <c r="O1131" s="65"/>
      <c r="P1131" s="70" t="s">
        <v>6773</v>
      </c>
      <c r="Q1131" s="65"/>
      <c r="R1131" s="71">
        <v>43510</v>
      </c>
      <c r="S1131" s="65"/>
      <c r="T1131" s="70" t="s">
        <v>6774</v>
      </c>
      <c r="U1131" s="65"/>
    </row>
    <row r="1132" spans="1:21" ht="25.5" customHeight="1" x14ac:dyDescent="0.15">
      <c r="A1132" s="61">
        <v>2683</v>
      </c>
      <c r="B1132" s="67" t="s">
        <v>6775</v>
      </c>
      <c r="C1132" s="65"/>
      <c r="D1132" s="67" t="s">
        <v>6776</v>
      </c>
      <c r="E1132" s="69"/>
      <c r="F1132" s="65"/>
      <c r="G1132" s="67" t="s">
        <v>6777</v>
      </c>
      <c r="H1132" s="65"/>
      <c r="I1132" s="64">
        <v>42955</v>
      </c>
      <c r="J1132" s="65"/>
      <c r="K1132" s="54">
        <v>2634</v>
      </c>
      <c r="L1132" s="66">
        <v>2654</v>
      </c>
      <c r="M1132" s="65"/>
      <c r="N1132" s="70" t="s">
        <v>6778</v>
      </c>
      <c r="O1132" s="65"/>
      <c r="P1132" s="67" t="s">
        <v>6779</v>
      </c>
      <c r="Q1132" s="65"/>
      <c r="R1132" s="64">
        <v>42955</v>
      </c>
      <c r="S1132" s="65"/>
      <c r="T1132" s="67" t="s">
        <v>6780</v>
      </c>
      <c r="U1132" s="65"/>
    </row>
    <row r="1133" spans="1:21" ht="13.5" customHeight="1" x14ac:dyDescent="0.15">
      <c r="A1133" s="68"/>
      <c r="B1133" s="69"/>
      <c r="C1133" s="69"/>
      <c r="D1133" s="69"/>
      <c r="E1133" s="69"/>
      <c r="F1133" s="69"/>
      <c r="G1133" s="69"/>
      <c r="H1133" s="69"/>
      <c r="I1133" s="69"/>
      <c r="J1133" s="69"/>
      <c r="K1133" s="69"/>
      <c r="L1133" s="69"/>
      <c r="M1133" s="69"/>
      <c r="N1133" s="69"/>
      <c r="O1133" s="65"/>
      <c r="P1133" s="70" t="s">
        <v>6781</v>
      </c>
      <c r="Q1133" s="65"/>
      <c r="R1133" s="71">
        <v>43599</v>
      </c>
      <c r="S1133" s="65"/>
      <c r="T1133" s="70" t="s">
        <v>6782</v>
      </c>
      <c r="U1133" s="65"/>
    </row>
    <row r="1134" spans="1:21" ht="25.5" customHeight="1" x14ac:dyDescent="0.15">
      <c r="A1134" s="61">
        <v>2684</v>
      </c>
      <c r="B1134" s="67" t="s">
        <v>6783</v>
      </c>
      <c r="C1134" s="65"/>
      <c r="D1134" s="66">
        <v>23921</v>
      </c>
      <c r="E1134" s="69"/>
      <c r="F1134" s="65"/>
      <c r="G1134" s="67" t="s">
        <v>6784</v>
      </c>
      <c r="H1134" s="65"/>
      <c r="I1134" s="64">
        <v>43067</v>
      </c>
      <c r="J1134" s="65"/>
      <c r="K1134" s="54">
        <v>2646</v>
      </c>
      <c r="L1134" s="66">
        <v>2637</v>
      </c>
      <c r="M1134" s="65"/>
      <c r="N1134" s="73" t="s">
        <v>6785</v>
      </c>
      <c r="O1134" s="65"/>
      <c r="P1134" s="67" t="s">
        <v>6786</v>
      </c>
      <c r="Q1134" s="65"/>
      <c r="R1134" s="64">
        <v>43067</v>
      </c>
      <c r="S1134" s="65"/>
      <c r="T1134" s="67" t="s">
        <v>6787</v>
      </c>
      <c r="U1134" s="65"/>
    </row>
    <row r="1135" spans="1:21" ht="12.75" customHeight="1" x14ac:dyDescent="0.15">
      <c r="A1135" s="68"/>
      <c r="B1135" s="69"/>
      <c r="C1135" s="69"/>
      <c r="D1135" s="69"/>
      <c r="E1135" s="69"/>
      <c r="F1135" s="69"/>
      <c r="G1135" s="69"/>
      <c r="H1135" s="69"/>
      <c r="I1135" s="69"/>
      <c r="J1135" s="69"/>
      <c r="K1135" s="69"/>
      <c r="L1135" s="69"/>
      <c r="M1135" s="69"/>
      <c r="N1135" s="69"/>
      <c r="O1135" s="65"/>
      <c r="P1135" s="70" t="s">
        <v>6788</v>
      </c>
      <c r="Q1135" s="65"/>
      <c r="R1135" s="71">
        <v>43069</v>
      </c>
      <c r="S1135" s="65"/>
      <c r="T1135" s="70" t="s">
        <v>6789</v>
      </c>
      <c r="U1135" s="65"/>
    </row>
    <row r="1136" spans="1:21" ht="25.5" customHeight="1" x14ac:dyDescent="0.15">
      <c r="A1136" s="61">
        <v>2685</v>
      </c>
      <c r="B1136" s="67" t="s">
        <v>6790</v>
      </c>
      <c r="C1136" s="65"/>
      <c r="D1136" s="66">
        <v>100504</v>
      </c>
      <c r="E1136" s="69"/>
      <c r="F1136" s="65"/>
      <c r="G1136" s="67" t="s">
        <v>6791</v>
      </c>
      <c r="H1136" s="65"/>
      <c r="I1136" s="64">
        <v>43067</v>
      </c>
      <c r="J1136" s="65"/>
      <c r="K1136" s="54">
        <v>2646</v>
      </c>
      <c r="L1136" s="66">
        <v>2637</v>
      </c>
      <c r="M1136" s="65"/>
      <c r="N1136" s="73" t="s">
        <v>6792</v>
      </c>
      <c r="O1136" s="65"/>
      <c r="P1136" s="67" t="s">
        <v>6793</v>
      </c>
      <c r="Q1136" s="65"/>
      <c r="R1136" s="64">
        <v>43067</v>
      </c>
      <c r="S1136" s="65"/>
      <c r="T1136" s="67" t="s">
        <v>6794</v>
      </c>
      <c r="U1136" s="65"/>
    </row>
    <row r="1137" spans="1:21" ht="12.75" customHeight="1" x14ac:dyDescent="0.15">
      <c r="A1137" s="68"/>
      <c r="B1137" s="69"/>
      <c r="C1137" s="69"/>
      <c r="D1137" s="69"/>
      <c r="E1137" s="69"/>
      <c r="F1137" s="69"/>
      <c r="G1137" s="69"/>
      <c r="H1137" s="69"/>
      <c r="I1137" s="69"/>
      <c r="J1137" s="69"/>
      <c r="K1137" s="69"/>
      <c r="L1137" s="69"/>
      <c r="M1137" s="69"/>
      <c r="N1137" s="69"/>
      <c r="O1137" s="65"/>
      <c r="P1137" s="70" t="s">
        <v>6795</v>
      </c>
      <c r="Q1137" s="65"/>
      <c r="R1137" s="71">
        <v>43657</v>
      </c>
      <c r="S1137" s="65"/>
      <c r="T1137" s="70" t="s">
        <v>6796</v>
      </c>
      <c r="U1137" s="65"/>
    </row>
    <row r="1138" spans="1:21" ht="25.5" customHeight="1" x14ac:dyDescent="0.15">
      <c r="A1138" s="61">
        <v>2686</v>
      </c>
      <c r="B1138" s="67" t="s">
        <v>6797</v>
      </c>
      <c r="C1138" s="65"/>
      <c r="D1138" s="66">
        <v>218073</v>
      </c>
      <c r="E1138" s="69"/>
      <c r="F1138" s="65"/>
      <c r="G1138" s="67" t="s">
        <v>6798</v>
      </c>
      <c r="H1138" s="65"/>
      <c r="I1138" s="64">
        <v>43247</v>
      </c>
      <c r="J1138" s="65"/>
      <c r="K1138" s="54">
        <v>2639</v>
      </c>
      <c r="L1138" s="66">
        <v>2659</v>
      </c>
      <c r="M1138" s="65"/>
      <c r="N1138" s="70" t="s">
        <v>6799</v>
      </c>
      <c r="O1138" s="65"/>
      <c r="P1138" s="67" t="s">
        <v>6800</v>
      </c>
      <c r="Q1138" s="65"/>
      <c r="R1138" s="64">
        <v>43247</v>
      </c>
      <c r="S1138" s="65"/>
      <c r="T1138" s="67" t="s">
        <v>6801</v>
      </c>
      <c r="U1138" s="65"/>
    </row>
    <row r="1139" spans="1:21" ht="12.75" customHeight="1" x14ac:dyDescent="0.15">
      <c r="A1139" s="68"/>
      <c r="B1139" s="69"/>
      <c r="C1139" s="69"/>
      <c r="D1139" s="69"/>
      <c r="E1139" s="69"/>
      <c r="F1139" s="69"/>
      <c r="G1139" s="69"/>
      <c r="H1139" s="69"/>
      <c r="I1139" s="69"/>
      <c r="J1139" s="69"/>
      <c r="K1139" s="69"/>
      <c r="L1139" s="69"/>
      <c r="M1139" s="69"/>
      <c r="N1139" s="69"/>
      <c r="O1139" s="65"/>
      <c r="P1139" s="70" t="s">
        <v>6802</v>
      </c>
      <c r="Q1139" s="65"/>
      <c r="R1139" s="71">
        <v>43255</v>
      </c>
      <c r="S1139" s="65"/>
      <c r="T1139" s="70" t="s">
        <v>6803</v>
      </c>
      <c r="U1139" s="65"/>
    </row>
    <row r="1140" spans="1:21" ht="21" customHeight="1" x14ac:dyDescent="0.15">
      <c r="A1140" s="60" t="s">
        <v>6804</v>
      </c>
      <c r="B1140" s="72" t="s">
        <v>6805</v>
      </c>
      <c r="C1140" s="65"/>
      <c r="D1140" s="72" t="s">
        <v>6806</v>
      </c>
      <c r="E1140" s="69"/>
      <c r="F1140" s="65"/>
      <c r="G1140" s="72" t="s">
        <v>6807</v>
      </c>
      <c r="H1140" s="65"/>
      <c r="I1140" s="72" t="s">
        <v>6808</v>
      </c>
      <c r="J1140" s="65"/>
      <c r="K1140" s="60" t="s">
        <v>6809</v>
      </c>
      <c r="L1140" s="72" t="s">
        <v>6810</v>
      </c>
      <c r="M1140" s="65"/>
      <c r="N1140" s="72" t="s">
        <v>6811</v>
      </c>
      <c r="O1140" s="65"/>
      <c r="P1140" s="72" t="s">
        <v>6812</v>
      </c>
      <c r="Q1140" s="65"/>
      <c r="R1140" s="72" t="s">
        <v>6813</v>
      </c>
      <c r="S1140" s="65"/>
      <c r="T1140" s="72" t="s">
        <v>6814</v>
      </c>
      <c r="U1140" s="65"/>
    </row>
    <row r="1141" spans="1:21" ht="25.5" customHeight="1" x14ac:dyDescent="0.15">
      <c r="A1141" s="61">
        <v>2687</v>
      </c>
      <c r="B1141" s="67" t="s">
        <v>6815</v>
      </c>
      <c r="C1141" s="65"/>
      <c r="D1141" s="66">
        <v>218074</v>
      </c>
      <c r="E1141" s="69"/>
      <c r="F1141" s="65"/>
      <c r="G1141" s="67" t="s">
        <v>6816</v>
      </c>
      <c r="H1141" s="65"/>
      <c r="I1141" s="64">
        <v>43247</v>
      </c>
      <c r="J1141" s="65"/>
      <c r="K1141" s="54">
        <v>2639</v>
      </c>
      <c r="L1141" s="66">
        <v>2659</v>
      </c>
      <c r="M1141" s="65"/>
      <c r="N1141" s="70" t="s">
        <v>6817</v>
      </c>
      <c r="O1141" s="65"/>
      <c r="P1141" s="67" t="s">
        <v>6818</v>
      </c>
      <c r="Q1141" s="65"/>
      <c r="R1141" s="64">
        <v>43247</v>
      </c>
      <c r="S1141" s="65"/>
      <c r="T1141" s="67" t="s">
        <v>6819</v>
      </c>
      <c r="U1141" s="65"/>
    </row>
    <row r="1142" spans="1:21" ht="12.75" customHeight="1" x14ac:dyDescent="0.15">
      <c r="A1142" s="68"/>
      <c r="B1142" s="69"/>
      <c r="C1142" s="69"/>
      <c r="D1142" s="69"/>
      <c r="E1142" s="69"/>
      <c r="F1142" s="69"/>
      <c r="G1142" s="69"/>
      <c r="H1142" s="69"/>
      <c r="I1142" s="69"/>
      <c r="J1142" s="69"/>
      <c r="K1142" s="69"/>
      <c r="L1142" s="69"/>
      <c r="M1142" s="69"/>
      <c r="N1142" s="69"/>
      <c r="O1142" s="65"/>
      <c r="P1142" s="70" t="s">
        <v>6820</v>
      </c>
      <c r="Q1142" s="65"/>
      <c r="R1142" s="71">
        <v>43247</v>
      </c>
      <c r="S1142" s="65"/>
      <c r="T1142" s="70" t="s">
        <v>6821</v>
      </c>
      <c r="U1142" s="65"/>
    </row>
    <row r="1143" spans="1:21" ht="24.75" customHeight="1" x14ac:dyDescent="0.15">
      <c r="A1143" s="61">
        <v>2688</v>
      </c>
      <c r="B1143" s="67" t="s">
        <v>6822</v>
      </c>
      <c r="C1143" s="65"/>
      <c r="D1143" s="66">
        <v>1000071</v>
      </c>
      <c r="E1143" s="69"/>
      <c r="F1143" s="65"/>
      <c r="G1143" s="67" t="s">
        <v>6823</v>
      </c>
      <c r="H1143" s="65"/>
      <c r="I1143" s="64">
        <v>43496</v>
      </c>
      <c r="J1143" s="65"/>
      <c r="K1143" s="54">
        <v>2653</v>
      </c>
      <c r="L1143" s="66">
        <v>2607</v>
      </c>
      <c r="M1143" s="65"/>
      <c r="N1143" s="70" t="s">
        <v>6824</v>
      </c>
      <c r="O1143" s="65"/>
      <c r="P1143" s="67" t="s">
        <v>6825</v>
      </c>
      <c r="Q1143" s="65"/>
      <c r="R1143" s="64">
        <v>43496</v>
      </c>
      <c r="S1143" s="65"/>
      <c r="T1143" s="67" t="s">
        <v>6826</v>
      </c>
      <c r="U1143" s="65"/>
    </row>
    <row r="1144" spans="1:21" ht="12.75" customHeight="1" x14ac:dyDescent="0.15">
      <c r="A1144" s="68"/>
      <c r="B1144" s="69"/>
      <c r="C1144" s="69"/>
      <c r="D1144" s="69"/>
      <c r="E1144" s="69"/>
      <c r="F1144" s="69"/>
      <c r="G1144" s="69"/>
      <c r="H1144" s="69"/>
      <c r="I1144" s="69"/>
      <c r="J1144" s="69"/>
      <c r="K1144" s="69"/>
      <c r="L1144" s="69"/>
      <c r="M1144" s="69"/>
      <c r="N1144" s="69"/>
      <c r="O1144" s="65"/>
      <c r="P1144" s="70" t="s">
        <v>6827</v>
      </c>
      <c r="Q1144" s="65"/>
      <c r="R1144" s="71">
        <v>43496</v>
      </c>
      <c r="S1144" s="65"/>
      <c r="T1144" s="70" t="s">
        <v>6828</v>
      </c>
      <c r="U1144" s="65"/>
    </row>
    <row r="1145" spans="1:21" ht="25.5" customHeight="1" x14ac:dyDescent="0.15">
      <c r="A1145" s="61">
        <v>2689</v>
      </c>
      <c r="B1145" s="67" t="s">
        <v>6829</v>
      </c>
      <c r="C1145" s="65"/>
      <c r="D1145" s="66">
        <v>200616</v>
      </c>
      <c r="E1145" s="69"/>
      <c r="F1145" s="65"/>
      <c r="G1145" s="67" t="s">
        <v>6830</v>
      </c>
      <c r="H1145" s="65"/>
      <c r="I1145" s="64">
        <v>43613</v>
      </c>
      <c r="J1145" s="65"/>
      <c r="K1145" s="54">
        <v>2639</v>
      </c>
      <c r="L1145" s="66">
        <v>2659</v>
      </c>
      <c r="M1145" s="65"/>
      <c r="N1145" s="70" t="s">
        <v>6831</v>
      </c>
      <c r="O1145" s="65"/>
      <c r="P1145" s="67" t="s">
        <v>6832</v>
      </c>
      <c r="Q1145" s="65"/>
      <c r="R1145" s="64">
        <v>43613</v>
      </c>
      <c r="S1145" s="65"/>
      <c r="T1145" s="67" t="s">
        <v>6833</v>
      </c>
      <c r="U1145" s="65"/>
    </row>
    <row r="1146" spans="1:21" ht="13.5" customHeight="1" x14ac:dyDescent="0.15">
      <c r="A1146" s="68"/>
      <c r="B1146" s="69"/>
      <c r="C1146" s="69"/>
      <c r="D1146" s="69"/>
      <c r="E1146" s="69"/>
      <c r="F1146" s="69"/>
      <c r="G1146" s="69"/>
      <c r="H1146" s="69"/>
      <c r="I1146" s="69"/>
      <c r="J1146" s="69"/>
      <c r="K1146" s="69"/>
      <c r="L1146" s="69"/>
      <c r="M1146" s="69"/>
      <c r="N1146" s="69"/>
      <c r="O1146" s="65"/>
      <c r="P1146" s="70" t="s">
        <v>6834</v>
      </c>
      <c r="Q1146" s="65"/>
      <c r="R1146" s="71">
        <v>44007</v>
      </c>
      <c r="S1146" s="65"/>
      <c r="T1146" s="70" t="s">
        <v>6835</v>
      </c>
      <c r="U1146" s="65"/>
    </row>
    <row r="1147" spans="1:21" ht="25.5" customHeight="1" x14ac:dyDescent="0.15">
      <c r="A1147" s="61">
        <v>2690</v>
      </c>
      <c r="B1147" s="67" t="s">
        <v>6836</v>
      </c>
      <c r="C1147" s="65"/>
      <c r="D1147" s="66">
        <v>200617</v>
      </c>
      <c r="E1147" s="69"/>
      <c r="F1147" s="65"/>
      <c r="G1147" s="67" t="s">
        <v>6837</v>
      </c>
      <c r="H1147" s="65"/>
      <c r="I1147" s="64">
        <v>43613</v>
      </c>
      <c r="J1147" s="65"/>
      <c r="K1147" s="54">
        <v>2639</v>
      </c>
      <c r="L1147" s="66">
        <v>2659</v>
      </c>
      <c r="M1147" s="65"/>
      <c r="N1147" s="73" t="s">
        <v>6838</v>
      </c>
      <c r="O1147" s="65"/>
      <c r="P1147" s="67" t="s">
        <v>6839</v>
      </c>
      <c r="Q1147" s="65"/>
      <c r="R1147" s="64">
        <v>43613</v>
      </c>
      <c r="S1147" s="65"/>
      <c r="T1147" s="67" t="s">
        <v>6840</v>
      </c>
      <c r="U1147" s="65"/>
    </row>
    <row r="1148" spans="1:21" ht="12.75" customHeight="1" x14ac:dyDescent="0.15">
      <c r="A1148" s="68"/>
      <c r="B1148" s="69"/>
      <c r="C1148" s="69"/>
      <c r="D1148" s="69"/>
      <c r="E1148" s="69"/>
      <c r="F1148" s="69"/>
      <c r="G1148" s="69"/>
      <c r="H1148" s="69"/>
      <c r="I1148" s="69"/>
      <c r="J1148" s="69"/>
      <c r="K1148" s="69"/>
      <c r="L1148" s="69"/>
      <c r="M1148" s="69"/>
      <c r="N1148" s="69"/>
      <c r="O1148" s="65"/>
      <c r="P1148" s="70" t="s">
        <v>6841</v>
      </c>
      <c r="Q1148" s="65"/>
      <c r="R1148" s="71">
        <v>44007</v>
      </c>
      <c r="S1148" s="65"/>
      <c r="T1148" s="70" t="s">
        <v>6842</v>
      </c>
      <c r="U1148" s="65"/>
    </row>
    <row r="1149" spans="1:21" ht="25.5" customHeight="1" x14ac:dyDescent="0.15">
      <c r="A1149" s="61">
        <v>2691</v>
      </c>
      <c r="B1149" s="67" t="s">
        <v>6843</v>
      </c>
      <c r="C1149" s="65"/>
      <c r="D1149" s="66">
        <v>102059</v>
      </c>
      <c r="E1149" s="69"/>
      <c r="F1149" s="65"/>
      <c r="G1149" s="67" t="s">
        <v>6844</v>
      </c>
      <c r="H1149" s="65"/>
      <c r="I1149" s="64">
        <v>43601</v>
      </c>
      <c r="J1149" s="65"/>
      <c r="K1149" s="54">
        <v>2667</v>
      </c>
      <c r="L1149" s="66">
        <v>2608</v>
      </c>
      <c r="M1149" s="65"/>
      <c r="N1149" s="70" t="s">
        <v>6845</v>
      </c>
      <c r="O1149" s="65"/>
      <c r="P1149" s="67" t="s">
        <v>6846</v>
      </c>
      <c r="Q1149" s="65"/>
      <c r="R1149" s="64">
        <v>43601</v>
      </c>
      <c r="S1149" s="65"/>
      <c r="T1149" s="67" t="s">
        <v>6847</v>
      </c>
      <c r="U1149" s="65"/>
    </row>
    <row r="1150" spans="1:21" ht="12.75" customHeight="1" x14ac:dyDescent="0.15">
      <c r="A1150" s="68"/>
      <c r="B1150" s="69"/>
      <c r="C1150" s="69"/>
      <c r="D1150" s="69"/>
      <c r="E1150" s="69"/>
      <c r="F1150" s="69"/>
      <c r="G1150" s="69"/>
      <c r="H1150" s="69"/>
      <c r="I1150" s="69"/>
      <c r="J1150" s="69"/>
      <c r="K1150" s="69"/>
      <c r="L1150" s="69"/>
      <c r="M1150" s="69"/>
      <c r="N1150" s="69"/>
      <c r="O1150" s="65"/>
      <c r="P1150" s="70" t="s">
        <v>6848</v>
      </c>
      <c r="Q1150" s="65"/>
      <c r="R1150" s="71">
        <v>43601</v>
      </c>
      <c r="S1150" s="65"/>
      <c r="T1150" s="70" t="s">
        <v>6849</v>
      </c>
      <c r="U1150" s="65"/>
    </row>
    <row r="1151" spans="1:21" ht="25.5" customHeight="1" x14ac:dyDescent="0.15">
      <c r="A1151" s="61">
        <v>2692</v>
      </c>
      <c r="B1151" s="67" t="s">
        <v>6850</v>
      </c>
      <c r="C1151" s="65"/>
      <c r="D1151" s="66">
        <v>23127</v>
      </c>
      <c r="E1151" s="69"/>
      <c r="F1151" s="65"/>
      <c r="G1151" s="67" t="s">
        <v>6851</v>
      </c>
      <c r="H1151" s="65"/>
      <c r="I1151" s="64">
        <v>40446</v>
      </c>
      <c r="J1151" s="65"/>
      <c r="K1151" s="54">
        <v>2415</v>
      </c>
      <c r="L1151" s="66">
        <v>2416</v>
      </c>
      <c r="M1151" s="65"/>
      <c r="N1151" s="73" t="s">
        <v>6852</v>
      </c>
      <c r="O1151" s="65"/>
      <c r="P1151" s="67" t="s">
        <v>6853</v>
      </c>
      <c r="Q1151" s="65"/>
      <c r="R1151" s="64">
        <v>40446</v>
      </c>
      <c r="S1151" s="65"/>
      <c r="T1151" s="67" t="s">
        <v>6854</v>
      </c>
      <c r="U1151" s="65"/>
    </row>
    <row r="1152" spans="1:21" ht="12.75" customHeight="1" x14ac:dyDescent="0.15">
      <c r="A1152" s="68"/>
      <c r="B1152" s="69"/>
      <c r="C1152" s="69"/>
      <c r="D1152" s="69"/>
      <c r="E1152" s="69"/>
      <c r="F1152" s="69"/>
      <c r="G1152" s="69"/>
      <c r="H1152" s="69"/>
      <c r="I1152" s="69"/>
      <c r="J1152" s="69"/>
      <c r="K1152" s="69"/>
      <c r="L1152" s="69"/>
      <c r="M1152" s="69"/>
      <c r="N1152" s="69"/>
      <c r="O1152" s="65"/>
      <c r="P1152" s="70" t="s">
        <v>6855</v>
      </c>
      <c r="Q1152" s="65"/>
      <c r="R1152" s="71">
        <v>40446</v>
      </c>
      <c r="S1152" s="65"/>
      <c r="T1152" s="70" t="s">
        <v>6856</v>
      </c>
      <c r="U1152" s="65"/>
    </row>
    <row r="1153" spans="1:21" ht="25.5" customHeight="1" x14ac:dyDescent="0.15">
      <c r="A1153" s="61">
        <v>2693</v>
      </c>
      <c r="B1153" s="67" t="s">
        <v>6857</v>
      </c>
      <c r="C1153" s="65"/>
      <c r="D1153" s="67" t="s">
        <v>6858</v>
      </c>
      <c r="E1153" s="69"/>
      <c r="F1153" s="65"/>
      <c r="G1153" s="67" t="s">
        <v>6859</v>
      </c>
      <c r="H1153" s="65"/>
      <c r="I1153" s="64">
        <v>40518</v>
      </c>
      <c r="J1153" s="65"/>
      <c r="K1153" s="54">
        <v>2417</v>
      </c>
      <c r="L1153" s="66">
        <v>2423</v>
      </c>
      <c r="M1153" s="65"/>
      <c r="N1153" s="70" t="s">
        <v>6860</v>
      </c>
      <c r="O1153" s="65"/>
      <c r="P1153" s="67" t="s">
        <v>6861</v>
      </c>
      <c r="Q1153" s="65"/>
      <c r="R1153" s="64">
        <v>40518</v>
      </c>
      <c r="S1153" s="65"/>
      <c r="T1153" s="67" t="s">
        <v>6862</v>
      </c>
      <c r="U1153" s="65"/>
    </row>
    <row r="1154" spans="1:21" ht="13.5" customHeight="1" x14ac:dyDescent="0.15">
      <c r="A1154" s="68"/>
      <c r="B1154" s="69"/>
      <c r="C1154" s="69"/>
      <c r="D1154" s="69"/>
      <c r="E1154" s="69"/>
      <c r="F1154" s="69"/>
      <c r="G1154" s="69"/>
      <c r="H1154" s="69"/>
      <c r="I1154" s="69"/>
      <c r="J1154" s="69"/>
      <c r="K1154" s="69"/>
      <c r="L1154" s="69"/>
      <c r="M1154" s="69"/>
      <c r="N1154" s="69"/>
      <c r="O1154" s="65"/>
      <c r="P1154" s="70" t="s">
        <v>6863</v>
      </c>
      <c r="Q1154" s="65"/>
      <c r="R1154" s="71">
        <v>40518</v>
      </c>
      <c r="S1154" s="65"/>
      <c r="T1154" s="70" t="s">
        <v>6864</v>
      </c>
      <c r="U1154" s="65"/>
    </row>
    <row r="1155" spans="1:21" ht="25.5" customHeight="1" x14ac:dyDescent="0.15">
      <c r="A1155" s="61">
        <v>2694</v>
      </c>
      <c r="B1155" s="67" t="s">
        <v>6865</v>
      </c>
      <c r="C1155" s="65"/>
      <c r="D1155" s="66">
        <v>23128</v>
      </c>
      <c r="E1155" s="69"/>
      <c r="F1155" s="65"/>
      <c r="G1155" s="67" t="s">
        <v>6866</v>
      </c>
      <c r="H1155" s="65"/>
      <c r="I1155" s="64">
        <v>40448</v>
      </c>
      <c r="J1155" s="65"/>
      <c r="K1155" s="54">
        <v>2415</v>
      </c>
      <c r="L1155" s="66">
        <v>2416</v>
      </c>
      <c r="M1155" s="65"/>
      <c r="N1155" s="73" t="s">
        <v>6867</v>
      </c>
      <c r="O1155" s="65"/>
      <c r="P1155" s="67" t="s">
        <v>6868</v>
      </c>
      <c r="Q1155" s="65"/>
      <c r="R1155" s="64">
        <v>40448</v>
      </c>
      <c r="S1155" s="65"/>
      <c r="T1155" s="67" t="s">
        <v>6869</v>
      </c>
      <c r="U1155" s="65"/>
    </row>
    <row r="1156" spans="1:21" ht="12.75" customHeight="1" x14ac:dyDescent="0.15">
      <c r="A1156" s="68"/>
      <c r="B1156" s="69"/>
      <c r="C1156" s="69"/>
      <c r="D1156" s="69"/>
      <c r="E1156" s="69"/>
      <c r="F1156" s="69"/>
      <c r="G1156" s="69"/>
      <c r="H1156" s="69"/>
      <c r="I1156" s="69"/>
      <c r="J1156" s="69"/>
      <c r="K1156" s="69"/>
      <c r="L1156" s="69"/>
      <c r="M1156" s="69"/>
      <c r="N1156" s="69"/>
      <c r="O1156" s="65"/>
      <c r="P1156" s="70" t="s">
        <v>6870</v>
      </c>
      <c r="Q1156" s="65"/>
      <c r="R1156" s="71">
        <v>40448</v>
      </c>
      <c r="S1156" s="65"/>
      <c r="T1156" s="70" t="s">
        <v>6871</v>
      </c>
      <c r="U1156" s="65"/>
    </row>
    <row r="1157" spans="1:21" ht="25.5" customHeight="1" x14ac:dyDescent="0.15">
      <c r="A1157" s="61">
        <v>2695</v>
      </c>
      <c r="B1157" s="67" t="s">
        <v>6872</v>
      </c>
      <c r="C1157" s="65"/>
      <c r="D1157" s="66">
        <v>100653</v>
      </c>
      <c r="E1157" s="69"/>
      <c r="F1157" s="65"/>
      <c r="G1157" s="67" t="s">
        <v>6873</v>
      </c>
      <c r="H1157" s="65"/>
      <c r="I1157" s="64">
        <v>39772</v>
      </c>
      <c r="J1157" s="65"/>
      <c r="K1157" s="54">
        <v>2408</v>
      </c>
      <c r="L1157" s="66">
        <v>2400</v>
      </c>
      <c r="M1157" s="65"/>
      <c r="N1157" s="70" t="s">
        <v>6874</v>
      </c>
      <c r="O1157" s="65"/>
      <c r="P1157" s="67" t="s">
        <v>6875</v>
      </c>
      <c r="Q1157" s="65"/>
      <c r="R1157" s="64">
        <v>39772</v>
      </c>
      <c r="S1157" s="65"/>
      <c r="T1157" s="67" t="s">
        <v>6876</v>
      </c>
      <c r="U1157" s="65"/>
    </row>
    <row r="1158" spans="1:21" ht="13.5" customHeight="1" x14ac:dyDescent="0.15">
      <c r="A1158" s="68"/>
      <c r="B1158" s="69"/>
      <c r="C1158" s="69"/>
      <c r="D1158" s="69"/>
      <c r="E1158" s="69"/>
      <c r="F1158" s="69"/>
      <c r="G1158" s="69"/>
      <c r="H1158" s="69"/>
      <c r="I1158" s="69"/>
      <c r="J1158" s="69"/>
      <c r="K1158" s="69"/>
      <c r="L1158" s="69"/>
      <c r="M1158" s="69"/>
      <c r="N1158" s="69"/>
      <c r="O1158" s="65"/>
      <c r="P1158" s="70" t="s">
        <v>6877</v>
      </c>
      <c r="Q1158" s="65"/>
      <c r="R1158" s="71">
        <v>39773</v>
      </c>
      <c r="S1158" s="65"/>
      <c r="T1158" s="70" t="s">
        <v>6878</v>
      </c>
      <c r="U1158" s="65"/>
    </row>
    <row r="1159" spans="1:21" ht="25.5" customHeight="1" x14ac:dyDescent="0.15">
      <c r="A1159" s="61">
        <v>2696</v>
      </c>
      <c r="B1159" s="67" t="s">
        <v>6879</v>
      </c>
      <c r="C1159" s="65"/>
      <c r="D1159" s="66">
        <v>100507</v>
      </c>
      <c r="E1159" s="69"/>
      <c r="F1159" s="65"/>
      <c r="G1159" s="67" t="s">
        <v>6880</v>
      </c>
      <c r="H1159" s="65"/>
      <c r="I1159" s="64">
        <v>39541</v>
      </c>
      <c r="J1159" s="65"/>
      <c r="K1159" s="54">
        <v>2408</v>
      </c>
      <c r="L1159" s="66">
        <v>2400</v>
      </c>
      <c r="M1159" s="65"/>
      <c r="N1159" s="73" t="s">
        <v>6881</v>
      </c>
      <c r="O1159" s="65"/>
      <c r="P1159" s="67" t="s">
        <v>6882</v>
      </c>
      <c r="Q1159" s="65"/>
      <c r="R1159" s="64">
        <v>39541</v>
      </c>
      <c r="S1159" s="65"/>
      <c r="T1159" s="67" t="s">
        <v>6883</v>
      </c>
      <c r="U1159" s="65"/>
    </row>
    <row r="1160" spans="1:21" ht="12.75" customHeight="1" x14ac:dyDescent="0.15">
      <c r="A1160" s="68"/>
      <c r="B1160" s="69"/>
      <c r="C1160" s="69"/>
      <c r="D1160" s="69"/>
      <c r="E1160" s="69"/>
      <c r="F1160" s="69"/>
      <c r="G1160" s="69"/>
      <c r="H1160" s="69"/>
      <c r="I1160" s="69"/>
      <c r="J1160" s="69"/>
      <c r="K1160" s="69"/>
      <c r="L1160" s="69"/>
      <c r="M1160" s="69"/>
      <c r="N1160" s="69"/>
      <c r="O1160" s="65"/>
      <c r="P1160" s="70" t="s">
        <v>6884</v>
      </c>
      <c r="Q1160" s="65"/>
      <c r="R1160" s="71">
        <v>39541</v>
      </c>
      <c r="S1160" s="65"/>
      <c r="T1160" s="70" t="s">
        <v>6885</v>
      </c>
      <c r="U1160" s="65"/>
    </row>
    <row r="1161" spans="1:21" ht="25.5" customHeight="1" x14ac:dyDescent="0.15">
      <c r="A1161" s="61">
        <v>2697</v>
      </c>
      <c r="B1161" s="67" t="s">
        <v>6886</v>
      </c>
      <c r="C1161" s="65"/>
      <c r="D1161" s="66">
        <v>100508</v>
      </c>
      <c r="E1161" s="69"/>
      <c r="F1161" s="65"/>
      <c r="G1161" s="67" t="s">
        <v>6887</v>
      </c>
      <c r="H1161" s="65"/>
      <c r="I1161" s="64">
        <v>39541</v>
      </c>
      <c r="J1161" s="65"/>
      <c r="K1161" s="54">
        <v>2408</v>
      </c>
      <c r="L1161" s="66">
        <v>2400</v>
      </c>
      <c r="M1161" s="65"/>
      <c r="N1161" s="70" t="s">
        <v>6888</v>
      </c>
      <c r="O1161" s="65"/>
      <c r="P1161" s="67" t="s">
        <v>6889</v>
      </c>
      <c r="Q1161" s="65"/>
      <c r="R1161" s="64">
        <v>39541</v>
      </c>
      <c r="S1161" s="65"/>
      <c r="T1161" s="67" t="s">
        <v>6890</v>
      </c>
      <c r="U1161" s="65"/>
    </row>
    <row r="1162" spans="1:21" ht="12.75" customHeight="1" x14ac:dyDescent="0.15">
      <c r="A1162" s="68"/>
      <c r="B1162" s="69"/>
      <c r="C1162" s="69"/>
      <c r="D1162" s="69"/>
      <c r="E1162" s="69"/>
      <c r="F1162" s="69"/>
      <c r="G1162" s="69"/>
      <c r="H1162" s="69"/>
      <c r="I1162" s="69"/>
      <c r="J1162" s="69"/>
      <c r="K1162" s="69"/>
      <c r="L1162" s="69"/>
      <c r="M1162" s="69"/>
      <c r="N1162" s="69"/>
      <c r="O1162" s="65"/>
      <c r="P1162" s="70" t="s">
        <v>6891</v>
      </c>
      <c r="Q1162" s="65"/>
      <c r="R1162" s="71">
        <v>39541</v>
      </c>
      <c r="S1162" s="65"/>
      <c r="T1162" s="70" t="s">
        <v>6892</v>
      </c>
      <c r="U1162" s="65"/>
    </row>
    <row r="1163" spans="1:21" ht="25.5" customHeight="1" x14ac:dyDescent="0.15">
      <c r="A1163" s="61">
        <v>2698</v>
      </c>
      <c r="B1163" s="67" t="s">
        <v>6893</v>
      </c>
      <c r="C1163" s="65"/>
      <c r="D1163" s="66">
        <v>100423</v>
      </c>
      <c r="E1163" s="69"/>
      <c r="F1163" s="65"/>
      <c r="G1163" s="67" t="s">
        <v>6894</v>
      </c>
      <c r="H1163" s="65"/>
      <c r="I1163" s="64">
        <v>39248</v>
      </c>
      <c r="J1163" s="65"/>
      <c r="K1163" s="54">
        <v>2408</v>
      </c>
      <c r="L1163" s="66">
        <v>2400</v>
      </c>
      <c r="M1163" s="65"/>
      <c r="N1163" s="70" t="s">
        <v>6895</v>
      </c>
      <c r="O1163" s="65"/>
      <c r="P1163" s="67" t="s">
        <v>6896</v>
      </c>
      <c r="Q1163" s="65"/>
      <c r="R1163" s="64">
        <v>39248</v>
      </c>
      <c r="S1163" s="65"/>
      <c r="T1163" s="67" t="s">
        <v>6897</v>
      </c>
      <c r="U1163" s="65"/>
    </row>
    <row r="1164" spans="1:21" ht="12.75" customHeight="1" x14ac:dyDescent="0.15">
      <c r="A1164" s="68"/>
      <c r="B1164" s="69"/>
      <c r="C1164" s="69"/>
      <c r="D1164" s="69"/>
      <c r="E1164" s="69"/>
      <c r="F1164" s="69"/>
      <c r="G1164" s="69"/>
      <c r="H1164" s="69"/>
      <c r="I1164" s="69"/>
      <c r="J1164" s="69"/>
      <c r="K1164" s="69"/>
      <c r="L1164" s="69"/>
      <c r="M1164" s="69"/>
      <c r="N1164" s="69"/>
      <c r="O1164" s="65"/>
      <c r="P1164" s="70" t="s">
        <v>6898</v>
      </c>
      <c r="Q1164" s="65"/>
      <c r="R1164" s="71">
        <v>39249</v>
      </c>
      <c r="S1164" s="65"/>
      <c r="T1164" s="70" t="s">
        <v>6899</v>
      </c>
      <c r="U1164" s="65"/>
    </row>
    <row r="1165" spans="1:21" ht="24.75" customHeight="1" x14ac:dyDescent="0.15">
      <c r="A1165" s="61">
        <v>2699</v>
      </c>
      <c r="B1165" s="67" t="s">
        <v>6900</v>
      </c>
      <c r="C1165" s="65"/>
      <c r="D1165" s="66">
        <v>100424</v>
      </c>
      <c r="E1165" s="69"/>
      <c r="F1165" s="65"/>
      <c r="G1165" s="67" t="s">
        <v>6901</v>
      </c>
      <c r="H1165" s="65"/>
      <c r="I1165" s="64">
        <v>39248</v>
      </c>
      <c r="J1165" s="65"/>
      <c r="K1165" s="54">
        <v>2408</v>
      </c>
      <c r="L1165" s="66">
        <v>2400</v>
      </c>
      <c r="M1165" s="65"/>
      <c r="N1165" s="70" t="s">
        <v>6902</v>
      </c>
      <c r="O1165" s="65"/>
      <c r="P1165" s="67" t="s">
        <v>6903</v>
      </c>
      <c r="Q1165" s="65"/>
      <c r="R1165" s="64">
        <v>39248</v>
      </c>
      <c r="S1165" s="65"/>
      <c r="T1165" s="67" t="s">
        <v>6904</v>
      </c>
      <c r="U1165" s="65"/>
    </row>
    <row r="1166" spans="1:21" ht="12.75" customHeight="1" x14ac:dyDescent="0.15">
      <c r="A1166" s="68"/>
      <c r="B1166" s="69"/>
      <c r="C1166" s="69"/>
      <c r="D1166" s="69"/>
      <c r="E1166" s="69"/>
      <c r="F1166" s="69"/>
      <c r="G1166" s="69"/>
      <c r="H1166" s="69"/>
      <c r="I1166" s="69"/>
      <c r="J1166" s="69"/>
      <c r="K1166" s="69"/>
      <c r="L1166" s="69"/>
      <c r="M1166" s="69"/>
      <c r="N1166" s="69"/>
      <c r="O1166" s="65"/>
      <c r="P1166" s="70" t="s">
        <v>6905</v>
      </c>
      <c r="Q1166" s="65"/>
      <c r="R1166" s="71">
        <v>39249</v>
      </c>
      <c r="S1166" s="65"/>
      <c r="T1166" s="70" t="s">
        <v>6906</v>
      </c>
      <c r="U1166" s="65"/>
    </row>
    <row r="1167" spans="1:21" ht="25.5" customHeight="1" x14ac:dyDescent="0.15">
      <c r="A1167" s="61">
        <v>2700</v>
      </c>
      <c r="B1167" s="67" t="s">
        <v>6907</v>
      </c>
      <c r="C1167" s="65"/>
      <c r="D1167" s="67" t="s">
        <v>6908</v>
      </c>
      <c r="E1167" s="69"/>
      <c r="F1167" s="65"/>
      <c r="G1167" s="67" t="s">
        <v>6909</v>
      </c>
      <c r="H1167" s="65"/>
      <c r="I1167" s="64">
        <v>39193</v>
      </c>
      <c r="J1167" s="65"/>
      <c r="K1167" s="54">
        <v>1125</v>
      </c>
      <c r="L1167" s="66">
        <v>1124</v>
      </c>
      <c r="M1167" s="65"/>
      <c r="N1167" s="70" t="s">
        <v>6910</v>
      </c>
      <c r="O1167" s="65"/>
      <c r="P1167" s="67" t="s">
        <v>6911</v>
      </c>
      <c r="Q1167" s="65"/>
      <c r="R1167" s="64">
        <v>39193</v>
      </c>
      <c r="S1167" s="65"/>
      <c r="T1167" s="67" t="s">
        <v>6912</v>
      </c>
      <c r="U1167" s="65"/>
    </row>
    <row r="1168" spans="1:21" ht="12.75" customHeight="1" x14ac:dyDescent="0.15">
      <c r="A1168" s="68"/>
      <c r="B1168" s="69"/>
      <c r="C1168" s="69"/>
      <c r="D1168" s="69"/>
      <c r="E1168" s="69"/>
      <c r="F1168" s="69"/>
      <c r="G1168" s="69"/>
      <c r="H1168" s="69"/>
      <c r="I1168" s="69"/>
      <c r="J1168" s="69"/>
      <c r="K1168" s="69"/>
      <c r="L1168" s="69"/>
      <c r="M1168" s="69"/>
      <c r="N1168" s="69"/>
      <c r="O1168" s="65"/>
      <c r="P1168" s="70" t="s">
        <v>6913</v>
      </c>
      <c r="Q1168" s="65"/>
      <c r="R1168" s="71">
        <v>39195</v>
      </c>
      <c r="S1168" s="65"/>
      <c r="T1168" s="70" t="s">
        <v>6914</v>
      </c>
      <c r="U1168" s="65"/>
    </row>
    <row r="1169" spans="1:21" ht="21" customHeight="1" x14ac:dyDescent="0.15">
      <c r="A1169" s="60" t="s">
        <v>6915</v>
      </c>
      <c r="B1169" s="72" t="s">
        <v>6916</v>
      </c>
      <c r="C1169" s="65"/>
      <c r="D1169" s="72" t="s">
        <v>6917</v>
      </c>
      <c r="E1169" s="69"/>
      <c r="F1169" s="65"/>
      <c r="G1169" s="72" t="s">
        <v>6918</v>
      </c>
      <c r="H1169" s="65"/>
      <c r="I1169" s="72" t="s">
        <v>6919</v>
      </c>
      <c r="J1169" s="65"/>
      <c r="K1169" s="60" t="s">
        <v>6920</v>
      </c>
      <c r="L1169" s="72" t="s">
        <v>6921</v>
      </c>
      <c r="M1169" s="65"/>
      <c r="N1169" s="72" t="s">
        <v>6922</v>
      </c>
      <c r="O1169" s="65"/>
      <c r="P1169" s="72" t="s">
        <v>6923</v>
      </c>
      <c r="Q1169" s="65"/>
      <c r="R1169" s="72" t="s">
        <v>6924</v>
      </c>
      <c r="S1169" s="65"/>
      <c r="T1169" s="72" t="s">
        <v>6925</v>
      </c>
      <c r="U1169" s="65"/>
    </row>
    <row r="1170" spans="1:21" ht="25.5" customHeight="1" x14ac:dyDescent="0.15">
      <c r="A1170" s="61">
        <v>2701</v>
      </c>
      <c r="B1170" s="67" t="s">
        <v>6926</v>
      </c>
      <c r="C1170" s="65"/>
      <c r="D1170" s="67" t="s">
        <v>6927</v>
      </c>
      <c r="E1170" s="69"/>
      <c r="F1170" s="65"/>
      <c r="G1170" s="67" t="s">
        <v>6928</v>
      </c>
      <c r="H1170" s="65"/>
      <c r="I1170" s="64">
        <v>39193</v>
      </c>
      <c r="J1170" s="65"/>
      <c r="K1170" s="54">
        <v>1125</v>
      </c>
      <c r="L1170" s="66">
        <v>1124</v>
      </c>
      <c r="M1170" s="65"/>
      <c r="N1170" s="70" t="s">
        <v>6929</v>
      </c>
      <c r="O1170" s="65"/>
      <c r="P1170" s="67" t="s">
        <v>6930</v>
      </c>
      <c r="Q1170" s="65"/>
      <c r="R1170" s="64">
        <v>39193</v>
      </c>
      <c r="S1170" s="65"/>
      <c r="T1170" s="67" t="s">
        <v>6931</v>
      </c>
      <c r="U1170" s="65"/>
    </row>
    <row r="1171" spans="1:21" ht="12.75" customHeight="1" x14ac:dyDescent="0.15">
      <c r="A1171" s="68"/>
      <c r="B1171" s="69"/>
      <c r="C1171" s="69"/>
      <c r="D1171" s="69"/>
      <c r="E1171" s="69"/>
      <c r="F1171" s="69"/>
      <c r="G1171" s="69"/>
      <c r="H1171" s="69"/>
      <c r="I1171" s="69"/>
      <c r="J1171" s="69"/>
      <c r="K1171" s="69"/>
      <c r="L1171" s="69"/>
      <c r="M1171" s="69"/>
      <c r="N1171" s="69"/>
      <c r="O1171" s="65"/>
      <c r="P1171" s="70" t="s">
        <v>6932</v>
      </c>
      <c r="Q1171" s="65"/>
      <c r="R1171" s="71">
        <v>39195</v>
      </c>
      <c r="S1171" s="65"/>
      <c r="T1171" s="70" t="s">
        <v>6933</v>
      </c>
      <c r="U1171" s="65"/>
    </row>
    <row r="1172" spans="1:21" ht="24.75" customHeight="1" x14ac:dyDescent="0.15">
      <c r="A1172" s="61">
        <v>2702</v>
      </c>
      <c r="B1172" s="67" t="s">
        <v>6934</v>
      </c>
      <c r="C1172" s="65"/>
      <c r="D1172" s="67" t="s">
        <v>6935</v>
      </c>
      <c r="E1172" s="69"/>
      <c r="F1172" s="65"/>
      <c r="G1172" s="67" t="s">
        <v>6936</v>
      </c>
      <c r="H1172" s="65"/>
      <c r="I1172" s="64">
        <v>39193</v>
      </c>
      <c r="J1172" s="65"/>
      <c r="K1172" s="54">
        <v>1125</v>
      </c>
      <c r="L1172" s="66">
        <v>1124</v>
      </c>
      <c r="M1172" s="65"/>
      <c r="N1172" s="70" t="s">
        <v>6937</v>
      </c>
      <c r="O1172" s="65"/>
      <c r="P1172" s="67" t="s">
        <v>6938</v>
      </c>
      <c r="Q1172" s="65"/>
      <c r="R1172" s="64">
        <v>39193</v>
      </c>
      <c r="S1172" s="65"/>
      <c r="T1172" s="67" t="s">
        <v>6939</v>
      </c>
      <c r="U1172" s="65"/>
    </row>
    <row r="1173" spans="1:21" ht="12.75" customHeight="1" x14ac:dyDescent="0.15">
      <c r="A1173" s="68"/>
      <c r="B1173" s="69"/>
      <c r="C1173" s="69"/>
      <c r="D1173" s="69"/>
      <c r="E1173" s="69"/>
      <c r="F1173" s="69"/>
      <c r="G1173" s="69"/>
      <c r="H1173" s="69"/>
      <c r="I1173" s="69"/>
      <c r="J1173" s="69"/>
      <c r="K1173" s="69"/>
      <c r="L1173" s="69"/>
      <c r="M1173" s="69"/>
      <c r="N1173" s="69"/>
      <c r="O1173" s="65"/>
      <c r="P1173" s="70" t="s">
        <v>6940</v>
      </c>
      <c r="Q1173" s="65"/>
      <c r="R1173" s="71">
        <v>39193</v>
      </c>
      <c r="S1173" s="65"/>
      <c r="T1173" s="70" t="s">
        <v>6941</v>
      </c>
      <c r="U1173" s="65"/>
    </row>
    <row r="1174" spans="1:21" ht="25.5" customHeight="1" x14ac:dyDescent="0.15">
      <c r="A1174" s="61">
        <v>2703</v>
      </c>
      <c r="B1174" s="67" t="s">
        <v>6942</v>
      </c>
      <c r="C1174" s="65"/>
      <c r="D1174" s="67" t="s">
        <v>6943</v>
      </c>
      <c r="E1174" s="69"/>
      <c r="F1174" s="65"/>
      <c r="G1174" s="67" t="s">
        <v>6944</v>
      </c>
      <c r="H1174" s="65"/>
      <c r="I1174" s="64">
        <v>38710</v>
      </c>
      <c r="J1174" s="65"/>
      <c r="K1174" s="54">
        <v>1138</v>
      </c>
      <c r="L1174" s="66">
        <v>2413</v>
      </c>
      <c r="M1174" s="65"/>
      <c r="N1174" s="70" t="s">
        <v>6945</v>
      </c>
      <c r="O1174" s="65"/>
      <c r="P1174" s="67" t="s">
        <v>6946</v>
      </c>
      <c r="Q1174" s="65"/>
      <c r="R1174" s="64">
        <v>38710</v>
      </c>
      <c r="S1174" s="65"/>
      <c r="T1174" s="67" t="s">
        <v>6947</v>
      </c>
      <c r="U1174" s="65"/>
    </row>
    <row r="1175" spans="1:21" ht="13.5" customHeight="1" x14ac:dyDescent="0.15">
      <c r="A1175" s="68"/>
      <c r="B1175" s="69"/>
      <c r="C1175" s="69"/>
      <c r="D1175" s="69"/>
      <c r="E1175" s="69"/>
      <c r="F1175" s="69"/>
      <c r="G1175" s="69"/>
      <c r="H1175" s="69"/>
      <c r="I1175" s="69"/>
      <c r="J1175" s="69"/>
      <c r="K1175" s="69"/>
      <c r="L1175" s="69"/>
      <c r="M1175" s="69"/>
      <c r="N1175" s="69"/>
      <c r="O1175" s="65"/>
      <c r="P1175" s="70" t="s">
        <v>6948</v>
      </c>
      <c r="Q1175" s="65"/>
      <c r="R1175" s="71">
        <v>38710</v>
      </c>
      <c r="S1175" s="65"/>
      <c r="T1175" s="70" t="s">
        <v>6949</v>
      </c>
      <c r="U1175" s="65"/>
    </row>
    <row r="1176" spans="1:21" ht="25.5" customHeight="1" x14ac:dyDescent="0.15">
      <c r="A1176" s="61">
        <v>2704</v>
      </c>
      <c r="B1176" s="67" t="s">
        <v>6950</v>
      </c>
      <c r="C1176" s="65"/>
      <c r="D1176" s="67" t="s">
        <v>6951</v>
      </c>
      <c r="E1176" s="69"/>
      <c r="F1176" s="65"/>
      <c r="G1176" s="67" t="s">
        <v>6952</v>
      </c>
      <c r="H1176" s="65"/>
      <c r="I1176" s="64">
        <v>38710</v>
      </c>
      <c r="J1176" s="65"/>
      <c r="K1176" s="54">
        <v>1138</v>
      </c>
      <c r="L1176" s="66">
        <v>2413</v>
      </c>
      <c r="M1176" s="65"/>
      <c r="N1176" s="73" t="s">
        <v>6953</v>
      </c>
      <c r="O1176" s="65"/>
      <c r="P1176" s="67" t="s">
        <v>6954</v>
      </c>
      <c r="Q1176" s="65"/>
      <c r="R1176" s="64">
        <v>38710</v>
      </c>
      <c r="S1176" s="65"/>
      <c r="T1176" s="67" t="s">
        <v>6955</v>
      </c>
      <c r="U1176" s="65"/>
    </row>
    <row r="1177" spans="1:21" ht="12.75" customHeight="1" x14ac:dyDescent="0.15">
      <c r="A1177" s="68"/>
      <c r="B1177" s="69"/>
      <c r="C1177" s="69"/>
      <c r="D1177" s="69"/>
      <c r="E1177" s="69"/>
      <c r="F1177" s="69"/>
      <c r="G1177" s="69"/>
      <c r="H1177" s="69"/>
      <c r="I1177" s="69"/>
      <c r="J1177" s="69"/>
      <c r="K1177" s="69"/>
      <c r="L1177" s="69"/>
      <c r="M1177" s="69"/>
      <c r="N1177" s="69"/>
      <c r="O1177" s="65"/>
      <c r="P1177" s="70" t="s">
        <v>6956</v>
      </c>
      <c r="Q1177" s="65"/>
      <c r="R1177" s="71">
        <v>38710</v>
      </c>
      <c r="S1177" s="65"/>
      <c r="T1177" s="70" t="s">
        <v>6957</v>
      </c>
      <c r="U1177" s="65"/>
    </row>
    <row r="1178" spans="1:21" ht="25.5" customHeight="1" x14ac:dyDescent="0.15">
      <c r="A1178" s="61">
        <v>2705</v>
      </c>
      <c r="B1178" s="67" t="s">
        <v>6958</v>
      </c>
      <c r="C1178" s="65"/>
      <c r="D1178" s="66">
        <v>9229</v>
      </c>
      <c r="E1178" s="69"/>
      <c r="F1178" s="65"/>
      <c r="G1178" s="67" t="s">
        <v>6959</v>
      </c>
      <c r="H1178" s="65"/>
      <c r="I1178" s="64">
        <v>43846</v>
      </c>
      <c r="J1178" s="65"/>
      <c r="K1178" s="54">
        <v>2649</v>
      </c>
      <c r="L1178" s="66">
        <v>2630</v>
      </c>
      <c r="M1178" s="65"/>
      <c r="N1178" s="70" t="s">
        <v>6960</v>
      </c>
      <c r="O1178" s="65"/>
      <c r="P1178" s="67" t="s">
        <v>6961</v>
      </c>
      <c r="Q1178" s="65"/>
      <c r="R1178" s="64">
        <v>43846</v>
      </c>
      <c r="S1178" s="65"/>
      <c r="T1178" s="67" t="s">
        <v>6962</v>
      </c>
      <c r="U1178" s="65"/>
    </row>
    <row r="1179" spans="1:21" ht="12.75" customHeight="1" x14ac:dyDescent="0.15">
      <c r="A1179" s="68"/>
      <c r="B1179" s="69"/>
      <c r="C1179" s="69"/>
      <c r="D1179" s="69"/>
      <c r="E1179" s="69"/>
      <c r="F1179" s="69"/>
      <c r="G1179" s="69"/>
      <c r="H1179" s="69"/>
      <c r="I1179" s="69"/>
      <c r="J1179" s="69"/>
      <c r="K1179" s="69"/>
      <c r="L1179" s="69"/>
      <c r="M1179" s="69"/>
      <c r="N1179" s="69"/>
      <c r="O1179" s="65"/>
      <c r="P1179" s="70" t="s">
        <v>6963</v>
      </c>
      <c r="Q1179" s="65"/>
      <c r="R1179" s="71">
        <v>43863</v>
      </c>
      <c r="S1179" s="65"/>
      <c r="T1179" s="70" t="s">
        <v>6964</v>
      </c>
      <c r="U1179" s="65"/>
    </row>
    <row r="1180" spans="1:21" ht="25.5" customHeight="1" x14ac:dyDescent="0.15">
      <c r="A1180" s="61">
        <v>2706</v>
      </c>
      <c r="B1180" s="67" t="s">
        <v>6965</v>
      </c>
      <c r="C1180" s="65"/>
      <c r="D1180" s="67" t="s">
        <v>6966</v>
      </c>
      <c r="E1180" s="69"/>
      <c r="F1180" s="65"/>
      <c r="G1180" s="67" t="s">
        <v>6967</v>
      </c>
      <c r="H1180" s="65"/>
      <c r="I1180" s="64">
        <v>43901</v>
      </c>
      <c r="J1180" s="65"/>
      <c r="K1180" s="54">
        <v>2623</v>
      </c>
      <c r="L1180" s="66">
        <v>2640</v>
      </c>
      <c r="M1180" s="65"/>
      <c r="N1180" s="73" t="s">
        <v>6968</v>
      </c>
      <c r="O1180" s="65"/>
      <c r="P1180" s="67" t="s">
        <v>6969</v>
      </c>
      <c r="Q1180" s="65"/>
      <c r="R1180" s="64">
        <v>43901</v>
      </c>
      <c r="S1180" s="65"/>
      <c r="T1180" s="67" t="s">
        <v>6970</v>
      </c>
      <c r="U1180" s="65"/>
    </row>
    <row r="1181" spans="1:21" ht="12.75" customHeight="1" x14ac:dyDescent="0.15">
      <c r="A1181" s="68"/>
      <c r="B1181" s="69"/>
      <c r="C1181" s="69"/>
      <c r="D1181" s="69"/>
      <c r="E1181" s="69"/>
      <c r="F1181" s="69"/>
      <c r="G1181" s="69"/>
      <c r="H1181" s="69"/>
      <c r="I1181" s="69"/>
      <c r="J1181" s="69"/>
      <c r="K1181" s="69"/>
      <c r="L1181" s="69"/>
      <c r="M1181" s="69"/>
      <c r="N1181" s="69"/>
      <c r="O1181" s="65"/>
      <c r="P1181" s="70" t="s">
        <v>6971</v>
      </c>
      <c r="Q1181" s="65"/>
      <c r="R1181" s="71">
        <v>43901</v>
      </c>
      <c r="S1181" s="65"/>
      <c r="T1181" s="70" t="s">
        <v>6972</v>
      </c>
      <c r="U1181" s="65"/>
    </row>
    <row r="1182" spans="1:21" ht="25.5" customHeight="1" x14ac:dyDescent="0.15">
      <c r="A1182" s="61">
        <v>2707</v>
      </c>
      <c r="B1182" s="67" t="s">
        <v>6973</v>
      </c>
      <c r="C1182" s="65"/>
      <c r="D1182" s="66">
        <v>9545</v>
      </c>
      <c r="E1182" s="69"/>
      <c r="F1182" s="65"/>
      <c r="G1182" s="67" t="s">
        <v>6974</v>
      </c>
      <c r="H1182" s="65"/>
      <c r="I1182" s="64">
        <v>44069</v>
      </c>
      <c r="J1182" s="65"/>
      <c r="K1182" s="54">
        <v>2631</v>
      </c>
      <c r="L1182" s="66">
        <v>2626</v>
      </c>
      <c r="M1182" s="65"/>
      <c r="N1182" s="70" t="s">
        <v>6975</v>
      </c>
      <c r="O1182" s="65"/>
      <c r="P1182" s="67" t="s">
        <v>6976</v>
      </c>
      <c r="Q1182" s="65"/>
      <c r="R1182" s="64">
        <v>44069</v>
      </c>
      <c r="S1182" s="65"/>
      <c r="T1182" s="67" t="s">
        <v>6977</v>
      </c>
      <c r="U1182" s="65"/>
    </row>
    <row r="1183" spans="1:21" ht="25.5" customHeight="1" x14ac:dyDescent="0.15">
      <c r="A1183" s="61">
        <v>2708</v>
      </c>
      <c r="B1183" s="67" t="s">
        <v>6978</v>
      </c>
      <c r="C1183" s="65"/>
      <c r="D1183" s="66">
        <v>9546</v>
      </c>
      <c r="E1183" s="69"/>
      <c r="F1183" s="65"/>
      <c r="G1183" s="67" t="s">
        <v>6979</v>
      </c>
      <c r="H1183" s="65"/>
      <c r="I1183" s="64">
        <v>44069</v>
      </c>
      <c r="J1183" s="65"/>
      <c r="K1183" s="54">
        <v>2631</v>
      </c>
      <c r="L1183" s="66">
        <v>2626</v>
      </c>
      <c r="M1183" s="65"/>
      <c r="N1183" s="70" t="s">
        <v>6980</v>
      </c>
      <c r="O1183" s="65"/>
      <c r="P1183" s="67" t="s">
        <v>6981</v>
      </c>
      <c r="Q1183" s="65"/>
      <c r="R1183" s="64">
        <v>44069</v>
      </c>
      <c r="S1183" s="65"/>
      <c r="T1183" s="67" t="s">
        <v>6982</v>
      </c>
      <c r="U1183" s="65"/>
    </row>
    <row r="1184" spans="1:21" ht="25.5" customHeight="1" x14ac:dyDescent="0.15">
      <c r="A1184" s="61">
        <v>2709</v>
      </c>
      <c r="B1184" s="67" t="s">
        <v>6983</v>
      </c>
      <c r="C1184" s="65"/>
      <c r="D1184" s="66">
        <v>120029</v>
      </c>
      <c r="E1184" s="69"/>
      <c r="F1184" s="65"/>
      <c r="G1184" s="67" t="s">
        <v>6984</v>
      </c>
      <c r="H1184" s="65"/>
      <c r="I1184" s="64">
        <v>44131</v>
      </c>
      <c r="J1184" s="65"/>
      <c r="K1184" s="54">
        <v>2641</v>
      </c>
      <c r="L1184" s="66">
        <v>2502</v>
      </c>
      <c r="M1184" s="65"/>
      <c r="N1184" s="73" t="s">
        <v>6985</v>
      </c>
      <c r="O1184" s="65"/>
      <c r="P1184" s="67" t="s">
        <v>6986</v>
      </c>
      <c r="Q1184" s="65"/>
      <c r="R1184" s="64">
        <v>44131</v>
      </c>
      <c r="S1184" s="65"/>
      <c r="T1184" s="67" t="s">
        <v>6987</v>
      </c>
      <c r="U1184" s="65"/>
    </row>
    <row r="1185" spans="1:21" ht="12.75" customHeight="1" x14ac:dyDescent="0.15">
      <c r="A1185" s="68"/>
      <c r="B1185" s="69"/>
      <c r="C1185" s="69"/>
      <c r="D1185" s="69"/>
      <c r="E1185" s="69"/>
      <c r="F1185" s="69"/>
      <c r="G1185" s="69"/>
      <c r="H1185" s="69"/>
      <c r="I1185" s="69"/>
      <c r="J1185" s="69"/>
      <c r="K1185" s="69"/>
      <c r="L1185" s="69"/>
      <c r="M1185" s="69"/>
      <c r="N1185" s="69"/>
      <c r="O1185" s="65"/>
      <c r="P1185" s="70" t="s">
        <v>6988</v>
      </c>
      <c r="Q1185" s="65"/>
      <c r="R1185" s="71">
        <v>44133</v>
      </c>
      <c r="S1185" s="65"/>
      <c r="T1185" s="70" t="s">
        <v>6989</v>
      </c>
      <c r="U1185" s="65"/>
    </row>
    <row r="1186" spans="1:21" ht="25.5" customHeight="1" x14ac:dyDescent="0.15">
      <c r="A1186" s="61">
        <v>2710</v>
      </c>
      <c r="B1186" s="67" t="s">
        <v>6990</v>
      </c>
      <c r="C1186" s="65"/>
      <c r="D1186" s="66">
        <v>9458</v>
      </c>
      <c r="E1186" s="69"/>
      <c r="F1186" s="65"/>
      <c r="G1186" s="67" t="s">
        <v>6991</v>
      </c>
      <c r="H1186" s="65"/>
      <c r="I1186" s="64">
        <v>44169</v>
      </c>
      <c r="J1186" s="65"/>
      <c r="K1186" s="54">
        <v>2649</v>
      </c>
      <c r="L1186" s="66">
        <v>2638</v>
      </c>
      <c r="M1186" s="65"/>
      <c r="N1186" s="70" t="s">
        <v>6992</v>
      </c>
      <c r="O1186" s="65"/>
      <c r="P1186" s="67" t="s">
        <v>6993</v>
      </c>
      <c r="Q1186" s="65"/>
      <c r="R1186" s="64">
        <v>44169</v>
      </c>
      <c r="S1186" s="65"/>
      <c r="T1186" s="67" t="s">
        <v>6994</v>
      </c>
      <c r="U1186" s="65"/>
    </row>
    <row r="1187" spans="1:21" ht="13.5" customHeight="1" x14ac:dyDescent="0.15">
      <c r="A1187" s="68"/>
      <c r="B1187" s="69"/>
      <c r="C1187" s="69"/>
      <c r="D1187" s="69"/>
      <c r="E1187" s="69"/>
      <c r="F1187" s="69"/>
      <c r="G1187" s="69"/>
      <c r="H1187" s="69"/>
      <c r="I1187" s="69"/>
      <c r="J1187" s="69"/>
      <c r="K1187" s="69"/>
      <c r="L1187" s="69"/>
      <c r="M1187" s="69"/>
      <c r="N1187" s="69"/>
      <c r="O1187" s="65"/>
      <c r="P1187" s="70" t="s">
        <v>6995</v>
      </c>
      <c r="Q1187" s="65"/>
      <c r="R1187" s="71">
        <v>44233</v>
      </c>
      <c r="S1187" s="65"/>
      <c r="T1187" s="70" t="s">
        <v>6996</v>
      </c>
      <c r="U1187" s="65"/>
    </row>
    <row r="1188" spans="1:21" ht="25.5" customHeight="1" x14ac:dyDescent="0.15">
      <c r="A1188" s="61">
        <v>2711</v>
      </c>
      <c r="B1188" s="67" t="s">
        <v>6997</v>
      </c>
      <c r="C1188" s="65"/>
      <c r="D1188" s="66">
        <v>221002</v>
      </c>
      <c r="E1188" s="69"/>
      <c r="F1188" s="65"/>
      <c r="G1188" s="67" t="s">
        <v>6998</v>
      </c>
      <c r="H1188" s="65"/>
      <c r="I1188" s="64">
        <v>44252</v>
      </c>
      <c r="J1188" s="65"/>
      <c r="K1188" s="54">
        <v>2639</v>
      </c>
      <c r="L1188" s="66">
        <v>2642</v>
      </c>
      <c r="M1188" s="65"/>
      <c r="N1188" s="73" t="s">
        <v>6999</v>
      </c>
      <c r="O1188" s="65"/>
      <c r="P1188" s="67" t="s">
        <v>7000</v>
      </c>
      <c r="Q1188" s="65"/>
      <c r="R1188" s="64">
        <v>44252</v>
      </c>
      <c r="S1188" s="65"/>
      <c r="T1188" s="67" t="s">
        <v>7001</v>
      </c>
      <c r="U1188" s="65"/>
    </row>
    <row r="1189" spans="1:21" ht="30.75" customHeight="1" x14ac:dyDescent="0.15">
      <c r="A1189" s="62">
        <v>2712</v>
      </c>
      <c r="B1189" s="67" t="s">
        <v>7002</v>
      </c>
      <c r="C1189" s="65"/>
      <c r="D1189" s="67" t="s">
        <v>7003</v>
      </c>
      <c r="E1189" s="69"/>
      <c r="F1189" s="65"/>
      <c r="G1189" s="67" t="s">
        <v>7004</v>
      </c>
      <c r="H1189" s="65"/>
      <c r="I1189" s="73" t="s">
        <v>7005</v>
      </c>
      <c r="J1189" s="65"/>
      <c r="K1189" s="54">
        <v>2623</v>
      </c>
      <c r="L1189" s="66">
        <v>2640</v>
      </c>
      <c r="M1189" s="65"/>
      <c r="N1189" s="70" t="s">
        <v>7006</v>
      </c>
      <c r="O1189" s="65"/>
      <c r="P1189" s="67" t="s">
        <v>7007</v>
      </c>
      <c r="Q1189" s="65"/>
      <c r="R1189" s="73" t="s">
        <v>7008</v>
      </c>
      <c r="S1189" s="65"/>
      <c r="T1189" s="67" t="s">
        <v>7009</v>
      </c>
      <c r="U1189" s="65"/>
    </row>
    <row r="1190" spans="1:21" ht="12.75" customHeight="1" x14ac:dyDescent="0.15">
      <c r="A1190" s="68"/>
      <c r="B1190" s="69"/>
      <c r="C1190" s="69"/>
      <c r="D1190" s="69"/>
      <c r="E1190" s="69"/>
      <c r="F1190" s="69"/>
      <c r="G1190" s="69"/>
      <c r="H1190" s="69"/>
      <c r="I1190" s="69"/>
      <c r="J1190" s="69"/>
      <c r="K1190" s="69"/>
      <c r="L1190" s="69"/>
      <c r="M1190" s="69"/>
      <c r="N1190" s="69"/>
      <c r="O1190" s="65"/>
      <c r="P1190" s="70" t="s">
        <v>7010</v>
      </c>
      <c r="Q1190" s="65"/>
      <c r="R1190" s="71">
        <v>44278</v>
      </c>
      <c r="S1190" s="65"/>
      <c r="T1190" s="70" t="s">
        <v>7011</v>
      </c>
      <c r="U1190" s="65"/>
    </row>
    <row r="1191" spans="1:21" ht="38.25" customHeight="1" x14ac:dyDescent="0.15">
      <c r="A1191" s="62">
        <v>2713</v>
      </c>
      <c r="B1191" s="77" t="s">
        <v>7012</v>
      </c>
      <c r="C1191" s="65"/>
      <c r="D1191" s="77" t="s">
        <v>7013</v>
      </c>
      <c r="E1191" s="69"/>
      <c r="F1191" s="65"/>
      <c r="G1191" s="77" t="s">
        <v>7014</v>
      </c>
      <c r="H1191" s="65"/>
      <c r="I1191" s="70" t="s">
        <v>7015</v>
      </c>
      <c r="J1191" s="65"/>
      <c r="K1191" s="59">
        <v>2623</v>
      </c>
      <c r="L1191" s="81">
        <v>2640</v>
      </c>
      <c r="M1191" s="65"/>
      <c r="N1191" s="70" t="s">
        <v>7016</v>
      </c>
      <c r="O1191" s="65"/>
      <c r="P1191" s="77" t="s">
        <v>7017</v>
      </c>
      <c r="Q1191" s="65"/>
      <c r="R1191" s="70" t="s">
        <v>7018</v>
      </c>
      <c r="S1191" s="65"/>
      <c r="T1191" s="77" t="s">
        <v>7019</v>
      </c>
      <c r="U1191" s="65"/>
    </row>
  </sheetData>
  <mergeCells count="6819">
    <mergeCell ref="A649:O649"/>
    <mergeCell ref="B650:C650"/>
    <mergeCell ref="D650:F650"/>
    <mergeCell ref="G650:H650"/>
    <mergeCell ref="I650:J650"/>
    <mergeCell ref="L650:M650"/>
    <mergeCell ref="N650:O650"/>
    <mergeCell ref="A651:O651"/>
    <mergeCell ref="P651:Q651"/>
    <mergeCell ref="R651:S651"/>
    <mergeCell ref="T651:U651"/>
    <mergeCell ref="P652:Q652"/>
    <mergeCell ref="R652:S652"/>
    <mergeCell ref="T652:U652"/>
    <mergeCell ref="R654:S654"/>
    <mergeCell ref="T654:U654"/>
    <mergeCell ref="A652:O652"/>
    <mergeCell ref="A653:O653"/>
    <mergeCell ref="P653:Q653"/>
    <mergeCell ref="R653:S653"/>
    <mergeCell ref="T653:U653"/>
    <mergeCell ref="A654:O654"/>
    <mergeCell ref="P654:Q654"/>
    <mergeCell ref="R637:S637"/>
    <mergeCell ref="T637:U637"/>
    <mergeCell ref="B638:C638"/>
    <mergeCell ref="D638:F638"/>
    <mergeCell ref="G638:H638"/>
    <mergeCell ref="N640:O640"/>
    <mergeCell ref="P640:Q640"/>
    <mergeCell ref="R640:S640"/>
    <mergeCell ref="T640:U640"/>
    <mergeCell ref="P649:Q649"/>
    <mergeCell ref="R649:S649"/>
    <mergeCell ref="I656:J656"/>
    <mergeCell ref="L656:M656"/>
    <mergeCell ref="R656:S656"/>
    <mergeCell ref="T656:U656"/>
    <mergeCell ref="A655:O655"/>
    <mergeCell ref="P655:Q655"/>
    <mergeCell ref="R655:S655"/>
    <mergeCell ref="T655:U655"/>
    <mergeCell ref="B656:C656"/>
    <mergeCell ref="D656:F656"/>
    <mergeCell ref="G656:H656"/>
    <mergeCell ref="D647:F647"/>
    <mergeCell ref="G647:H647"/>
    <mergeCell ref="A648:O648"/>
    <mergeCell ref="P648:Q648"/>
    <mergeCell ref="R648:S648"/>
    <mergeCell ref="T648:U648"/>
    <mergeCell ref="T649:U649"/>
    <mergeCell ref="P650:Q650"/>
    <mergeCell ref="R650:S650"/>
    <mergeCell ref="T650:U650"/>
    <mergeCell ref="I645:J645"/>
    <mergeCell ref="L645:M645"/>
    <mergeCell ref="R645:S645"/>
    <mergeCell ref="T645:U645"/>
    <mergeCell ref="A644:O644"/>
    <mergeCell ref="P644:Q644"/>
    <mergeCell ref="R644:S644"/>
    <mergeCell ref="T644:U644"/>
    <mergeCell ref="B645:C645"/>
    <mergeCell ref="D645:F645"/>
    <mergeCell ref="G645:H645"/>
    <mergeCell ref="I647:J647"/>
    <mergeCell ref="L647:M647"/>
    <mergeCell ref="N647:O647"/>
    <mergeCell ref="P647:Q647"/>
    <mergeCell ref="R647:S647"/>
    <mergeCell ref="T647:U647"/>
    <mergeCell ref="N645:O645"/>
    <mergeCell ref="P645:Q645"/>
    <mergeCell ref="A646:O646"/>
    <mergeCell ref="P646:Q646"/>
    <mergeCell ref="R646:S646"/>
    <mergeCell ref="T646:U646"/>
    <mergeCell ref="B647:C647"/>
    <mergeCell ref="P593:Q593"/>
    <mergeCell ref="R593:S593"/>
    <mergeCell ref="I642:J642"/>
    <mergeCell ref="L642:M642"/>
    <mergeCell ref="R642:S642"/>
    <mergeCell ref="T642:U642"/>
    <mergeCell ref="A641:O641"/>
    <mergeCell ref="P641:Q641"/>
    <mergeCell ref="R641:S641"/>
    <mergeCell ref="T641:U641"/>
    <mergeCell ref="B642:C642"/>
    <mergeCell ref="D642:F642"/>
    <mergeCell ref="G642:H642"/>
    <mergeCell ref="N643:O643"/>
    <mergeCell ref="P643:Q643"/>
    <mergeCell ref="R643:S643"/>
    <mergeCell ref="T643:U643"/>
    <mergeCell ref="N642:O642"/>
    <mergeCell ref="P642:Q642"/>
    <mergeCell ref="B643:C643"/>
    <mergeCell ref="D643:F643"/>
    <mergeCell ref="G643:H643"/>
    <mergeCell ref="I643:J643"/>
    <mergeCell ref="L643:M643"/>
    <mergeCell ref="I638:J638"/>
    <mergeCell ref="L638:M638"/>
    <mergeCell ref="N638:O638"/>
    <mergeCell ref="P638:Q638"/>
    <mergeCell ref="R638:S638"/>
    <mergeCell ref="T638:U638"/>
    <mergeCell ref="A637:O637"/>
    <mergeCell ref="P637:Q637"/>
    <mergeCell ref="I591:J591"/>
    <mergeCell ref="L591:M591"/>
    <mergeCell ref="N591:O591"/>
    <mergeCell ref="P591:Q591"/>
    <mergeCell ref="R591:S591"/>
    <mergeCell ref="T591:U591"/>
    <mergeCell ref="N589:O589"/>
    <mergeCell ref="P589:Q589"/>
    <mergeCell ref="A590:O590"/>
    <mergeCell ref="P590:Q590"/>
    <mergeCell ref="R590:S590"/>
    <mergeCell ref="T590:U590"/>
    <mergeCell ref="B591:C591"/>
    <mergeCell ref="A578:O578"/>
    <mergeCell ref="P578:Q578"/>
    <mergeCell ref="R578:S578"/>
    <mergeCell ref="T578:U578"/>
    <mergeCell ref="P579:Q579"/>
    <mergeCell ref="R579:S579"/>
    <mergeCell ref="T579:U579"/>
    <mergeCell ref="P580:Q580"/>
    <mergeCell ref="R580:S580"/>
    <mergeCell ref="T580:U580"/>
    <mergeCell ref="A579:O579"/>
    <mergeCell ref="B580:C580"/>
    <mergeCell ref="D580:F580"/>
    <mergeCell ref="G580:H580"/>
    <mergeCell ref="I580:J580"/>
    <mergeCell ref="L580:M580"/>
    <mergeCell ref="N580:O580"/>
    <mergeCell ref="G584:H584"/>
    <mergeCell ref="I584:J584"/>
    <mergeCell ref="R587:S587"/>
    <mergeCell ref="T587:U587"/>
    <mergeCell ref="B587:C587"/>
    <mergeCell ref="D587:F587"/>
    <mergeCell ref="G587:H587"/>
    <mergeCell ref="I587:J587"/>
    <mergeCell ref="L587:M587"/>
    <mergeCell ref="N587:O587"/>
    <mergeCell ref="P587:Q587"/>
    <mergeCell ref="I589:J589"/>
    <mergeCell ref="L589:M589"/>
    <mergeCell ref="R589:S589"/>
    <mergeCell ref="T589:U589"/>
    <mergeCell ref="A588:O588"/>
    <mergeCell ref="P588:Q588"/>
    <mergeCell ref="R588:S588"/>
    <mergeCell ref="T588:U588"/>
    <mergeCell ref="B589:C589"/>
    <mergeCell ref="D589:F589"/>
    <mergeCell ref="G589:H589"/>
    <mergeCell ref="A581:O581"/>
    <mergeCell ref="P581:Q581"/>
    <mergeCell ref="R581:S581"/>
    <mergeCell ref="T581:U581"/>
    <mergeCell ref="P582:Q582"/>
    <mergeCell ref="R582:S582"/>
    <mergeCell ref="T582:U582"/>
    <mergeCell ref="A582:O582"/>
    <mergeCell ref="A583:O583"/>
    <mergeCell ref="P583:Q583"/>
    <mergeCell ref="R583:S583"/>
    <mergeCell ref="T583:U583"/>
    <mergeCell ref="B584:C584"/>
    <mergeCell ref="T584:U584"/>
    <mergeCell ref="R586:S586"/>
    <mergeCell ref="T586:U586"/>
    <mergeCell ref="D584:F584"/>
    <mergeCell ref="A585:O585"/>
    <mergeCell ref="P585:Q585"/>
    <mergeCell ref="R585:S585"/>
    <mergeCell ref="T585:U585"/>
    <mergeCell ref="A586:O586"/>
    <mergeCell ref="P586:Q586"/>
    <mergeCell ref="L584:M584"/>
    <mergeCell ref="N584:O584"/>
    <mergeCell ref="P584:Q584"/>
    <mergeCell ref="R584:S584"/>
    <mergeCell ref="A572:O572"/>
    <mergeCell ref="P572:Q572"/>
    <mergeCell ref="R572:S572"/>
    <mergeCell ref="T572:U572"/>
    <mergeCell ref="P573:Q573"/>
    <mergeCell ref="R573:S573"/>
    <mergeCell ref="T573:U573"/>
    <mergeCell ref="R575:S575"/>
    <mergeCell ref="T575:U575"/>
    <mergeCell ref="A573:O573"/>
    <mergeCell ref="A574:O574"/>
    <mergeCell ref="P574:Q574"/>
    <mergeCell ref="R574:S574"/>
    <mergeCell ref="T574:U574"/>
    <mergeCell ref="A575:O575"/>
    <mergeCell ref="P575:Q575"/>
    <mergeCell ref="I577:J577"/>
    <mergeCell ref="L577:M577"/>
    <mergeCell ref="N577:O577"/>
    <mergeCell ref="P577:Q577"/>
    <mergeCell ref="R577:S577"/>
    <mergeCell ref="T577:U577"/>
    <mergeCell ref="A576:O576"/>
    <mergeCell ref="P576:Q576"/>
    <mergeCell ref="R576:S576"/>
    <mergeCell ref="T576:U576"/>
    <mergeCell ref="B577:C577"/>
    <mergeCell ref="D577:F577"/>
    <mergeCell ref="G577:H577"/>
    <mergeCell ref="A567:O567"/>
    <mergeCell ref="P567:Q567"/>
    <mergeCell ref="R567:S567"/>
    <mergeCell ref="T567:U567"/>
    <mergeCell ref="P568:Q568"/>
    <mergeCell ref="R568:S568"/>
    <mergeCell ref="T568:U568"/>
    <mergeCell ref="R570:S570"/>
    <mergeCell ref="T570:U570"/>
    <mergeCell ref="A568:O568"/>
    <mergeCell ref="A569:O569"/>
    <mergeCell ref="P569:Q569"/>
    <mergeCell ref="R569:S569"/>
    <mergeCell ref="T569:U569"/>
    <mergeCell ref="A570:O570"/>
    <mergeCell ref="P570:Q570"/>
    <mergeCell ref="R571:S571"/>
    <mergeCell ref="T571:U571"/>
    <mergeCell ref="B571:C571"/>
    <mergeCell ref="D571:F571"/>
    <mergeCell ref="G571:H571"/>
    <mergeCell ref="I571:J571"/>
    <mergeCell ref="L571:M571"/>
    <mergeCell ref="N571:O571"/>
    <mergeCell ref="P571:Q571"/>
    <mergeCell ref="A547:O547"/>
    <mergeCell ref="P547:Q547"/>
    <mergeCell ref="R547:S547"/>
    <mergeCell ref="T547:U547"/>
    <mergeCell ref="P548:Q548"/>
    <mergeCell ref="R548:S548"/>
    <mergeCell ref="T548:U548"/>
    <mergeCell ref="A548:O548"/>
    <mergeCell ref="B549:C549"/>
    <mergeCell ref="D549:F549"/>
    <mergeCell ref="G549:H549"/>
    <mergeCell ref="I549:J549"/>
    <mergeCell ref="L549:M549"/>
    <mergeCell ref="N549:O549"/>
    <mergeCell ref="T549:U549"/>
    <mergeCell ref="R566:S566"/>
    <mergeCell ref="T566:U566"/>
    <mergeCell ref="R565:S565"/>
    <mergeCell ref="T565:U565"/>
    <mergeCell ref="B566:C566"/>
    <mergeCell ref="D566:F566"/>
    <mergeCell ref="G566:H566"/>
    <mergeCell ref="I566:J566"/>
    <mergeCell ref="L566:M566"/>
    <mergeCell ref="P545:Q545"/>
    <mergeCell ref="R545:S545"/>
    <mergeCell ref="T545:U545"/>
    <mergeCell ref="D543:F543"/>
    <mergeCell ref="G543:H543"/>
    <mergeCell ref="A544:O544"/>
    <mergeCell ref="P544:Q544"/>
    <mergeCell ref="R544:S544"/>
    <mergeCell ref="T544:U544"/>
    <mergeCell ref="B545:C545"/>
    <mergeCell ref="N546:O546"/>
    <mergeCell ref="P546:Q546"/>
    <mergeCell ref="R546:S546"/>
    <mergeCell ref="T546:U546"/>
    <mergeCell ref="D545:F545"/>
    <mergeCell ref="G545:H545"/>
    <mergeCell ref="B546:C546"/>
    <mergeCell ref="D546:F546"/>
    <mergeCell ref="G546:H546"/>
    <mergeCell ref="I546:J546"/>
    <mergeCell ref="L546:M546"/>
    <mergeCell ref="N566:O566"/>
    <mergeCell ref="P566:Q566"/>
    <mergeCell ref="A537:O537"/>
    <mergeCell ref="P537:Q537"/>
    <mergeCell ref="R537:S537"/>
    <mergeCell ref="T537:U537"/>
    <mergeCell ref="P538:Q538"/>
    <mergeCell ref="R538:S538"/>
    <mergeCell ref="T538:U538"/>
    <mergeCell ref="A538:O538"/>
    <mergeCell ref="B539:C539"/>
    <mergeCell ref="D539:F539"/>
    <mergeCell ref="G539:H539"/>
    <mergeCell ref="I539:J539"/>
    <mergeCell ref="L539:M539"/>
    <mergeCell ref="N539:O539"/>
    <mergeCell ref="I541:J541"/>
    <mergeCell ref="L541:M541"/>
    <mergeCell ref="R541:S541"/>
    <mergeCell ref="T541:U541"/>
    <mergeCell ref="A540:O540"/>
    <mergeCell ref="P540:Q540"/>
    <mergeCell ref="R540:S540"/>
    <mergeCell ref="T540:U540"/>
    <mergeCell ref="B541:C541"/>
    <mergeCell ref="D541:F541"/>
    <mergeCell ref="G541:H541"/>
    <mergeCell ref="I543:J543"/>
    <mergeCell ref="L543:M543"/>
    <mergeCell ref="N543:O543"/>
    <mergeCell ref="P543:Q543"/>
    <mergeCell ref="R543:S543"/>
    <mergeCell ref="P563:Q563"/>
    <mergeCell ref="R563:S563"/>
    <mergeCell ref="T563:U563"/>
    <mergeCell ref="A563:O563"/>
    <mergeCell ref="A564:O564"/>
    <mergeCell ref="P564:Q564"/>
    <mergeCell ref="R564:S564"/>
    <mergeCell ref="T564:U564"/>
    <mergeCell ref="A565:O565"/>
    <mergeCell ref="P565:Q565"/>
    <mergeCell ref="A556:O556"/>
    <mergeCell ref="P556:Q556"/>
    <mergeCell ref="R556:S556"/>
    <mergeCell ref="T556:U556"/>
    <mergeCell ref="P557:Q557"/>
    <mergeCell ref="R557:S557"/>
    <mergeCell ref="T557:U557"/>
    <mergeCell ref="P558:Q558"/>
    <mergeCell ref="R558:S558"/>
    <mergeCell ref="T558:U558"/>
    <mergeCell ref="A557:O557"/>
    <mergeCell ref="B558:C558"/>
    <mergeCell ref="D558:F558"/>
    <mergeCell ref="G558:H558"/>
    <mergeCell ref="I558:J558"/>
    <mergeCell ref="L558:M558"/>
    <mergeCell ref="N558:O558"/>
    <mergeCell ref="A559:O559"/>
    <mergeCell ref="P559:Q559"/>
    <mergeCell ref="R559:S559"/>
    <mergeCell ref="T559:U559"/>
    <mergeCell ref="P560:Q560"/>
    <mergeCell ref="I555:J555"/>
    <mergeCell ref="L555:M555"/>
    <mergeCell ref="N555:O555"/>
    <mergeCell ref="P555:Q555"/>
    <mergeCell ref="R555:S555"/>
    <mergeCell ref="T555:U555"/>
    <mergeCell ref="A554:O554"/>
    <mergeCell ref="P554:Q554"/>
    <mergeCell ref="R554:S554"/>
    <mergeCell ref="T554:U554"/>
    <mergeCell ref="B555:C555"/>
    <mergeCell ref="D555:F555"/>
    <mergeCell ref="G555:H555"/>
    <mergeCell ref="A562:O562"/>
    <mergeCell ref="P562:Q562"/>
    <mergeCell ref="R562:S562"/>
    <mergeCell ref="T562:U562"/>
    <mergeCell ref="R560:S560"/>
    <mergeCell ref="T560:U560"/>
    <mergeCell ref="P561:Q561"/>
    <mergeCell ref="R561:S561"/>
    <mergeCell ref="T561:U561"/>
    <mergeCell ref="A560:O560"/>
    <mergeCell ref="B561:C561"/>
    <mergeCell ref="D561:F561"/>
    <mergeCell ref="G561:H561"/>
    <mergeCell ref="I561:J561"/>
    <mergeCell ref="L561:M561"/>
    <mergeCell ref="N561:O561"/>
    <mergeCell ref="P539:Q539"/>
    <mergeCell ref="R539:S539"/>
    <mergeCell ref="T539:U539"/>
    <mergeCell ref="P551:Q551"/>
    <mergeCell ref="R551:S551"/>
    <mergeCell ref="P549:Q549"/>
    <mergeCell ref="R549:S549"/>
    <mergeCell ref="A550:O550"/>
    <mergeCell ref="P550:Q550"/>
    <mergeCell ref="R550:S550"/>
    <mergeCell ref="T550:U550"/>
    <mergeCell ref="T551:U551"/>
    <mergeCell ref="R553:S553"/>
    <mergeCell ref="T553:U553"/>
    <mergeCell ref="A551:O551"/>
    <mergeCell ref="A552:O552"/>
    <mergeCell ref="P552:Q552"/>
    <mergeCell ref="R552:S552"/>
    <mergeCell ref="T552:U552"/>
    <mergeCell ref="A553:O553"/>
    <mergeCell ref="P553:Q553"/>
    <mergeCell ref="T543:U543"/>
    <mergeCell ref="N541:O541"/>
    <mergeCell ref="P541:Q541"/>
    <mergeCell ref="A542:O542"/>
    <mergeCell ref="P542:Q542"/>
    <mergeCell ref="R542:S542"/>
    <mergeCell ref="T542:U542"/>
    <mergeCell ref="B543:C543"/>
    <mergeCell ref="I545:J545"/>
    <mergeCell ref="L545:M545"/>
    <mergeCell ref="N545:O545"/>
    <mergeCell ref="A532:O532"/>
    <mergeCell ref="P532:Q532"/>
    <mergeCell ref="R532:S532"/>
    <mergeCell ref="T532:U532"/>
    <mergeCell ref="P533:Q533"/>
    <mergeCell ref="R533:S533"/>
    <mergeCell ref="T533:U533"/>
    <mergeCell ref="R535:S535"/>
    <mergeCell ref="T535:U535"/>
    <mergeCell ref="A533:O533"/>
    <mergeCell ref="A534:O534"/>
    <mergeCell ref="P534:Q534"/>
    <mergeCell ref="R534:S534"/>
    <mergeCell ref="T534:U534"/>
    <mergeCell ref="A535:O535"/>
    <mergeCell ref="P535:Q535"/>
    <mergeCell ref="R536:S536"/>
    <mergeCell ref="T536:U536"/>
    <mergeCell ref="B536:C536"/>
    <mergeCell ref="D536:F536"/>
    <mergeCell ref="G536:H536"/>
    <mergeCell ref="I536:J536"/>
    <mergeCell ref="L536:M536"/>
    <mergeCell ref="N536:O536"/>
    <mergeCell ref="P536:Q536"/>
    <mergeCell ref="A527:O527"/>
    <mergeCell ref="P527:Q527"/>
    <mergeCell ref="R527:S527"/>
    <mergeCell ref="T527:U527"/>
    <mergeCell ref="P528:Q528"/>
    <mergeCell ref="R528:S528"/>
    <mergeCell ref="T528:U528"/>
    <mergeCell ref="R530:S530"/>
    <mergeCell ref="T530:U530"/>
    <mergeCell ref="A528:O528"/>
    <mergeCell ref="A529:O529"/>
    <mergeCell ref="P529:Q529"/>
    <mergeCell ref="R529:S529"/>
    <mergeCell ref="T529:U529"/>
    <mergeCell ref="A530:O530"/>
    <mergeCell ref="P530:Q530"/>
    <mergeCell ref="R531:S531"/>
    <mergeCell ref="T531:U531"/>
    <mergeCell ref="B531:C531"/>
    <mergeCell ref="D531:F531"/>
    <mergeCell ref="G531:H531"/>
    <mergeCell ref="I531:J531"/>
    <mergeCell ref="L531:M531"/>
    <mergeCell ref="N531:O531"/>
    <mergeCell ref="P531:Q531"/>
    <mergeCell ref="T510:U510"/>
    <mergeCell ref="A511:O511"/>
    <mergeCell ref="P511:Q511"/>
    <mergeCell ref="N513:O513"/>
    <mergeCell ref="P513:Q513"/>
    <mergeCell ref="N514:O514"/>
    <mergeCell ref="P514:Q514"/>
    <mergeCell ref="P515:Q515"/>
    <mergeCell ref="N516:O516"/>
    <mergeCell ref="P516:Q516"/>
    <mergeCell ref="P517:Q517"/>
    <mergeCell ref="A512:O512"/>
    <mergeCell ref="P512:Q512"/>
    <mergeCell ref="R512:S512"/>
    <mergeCell ref="T512:U512"/>
    <mergeCell ref="B513:C513"/>
    <mergeCell ref="D513:F513"/>
    <mergeCell ref="G513:H513"/>
    <mergeCell ref="I513:J513"/>
    <mergeCell ref="L513:M513"/>
    <mergeCell ref="D514:F514"/>
    <mergeCell ref="G514:H514"/>
    <mergeCell ref="I514:J514"/>
    <mergeCell ref="L514:M514"/>
    <mergeCell ref="A515:O515"/>
    <mergeCell ref="B514:C514"/>
    <mergeCell ref="B516:C516"/>
    <mergeCell ref="D516:F516"/>
    <mergeCell ref="G516:H516"/>
    <mergeCell ref="I516:J516"/>
    <mergeCell ref="L516:M516"/>
    <mergeCell ref="A517:O517"/>
    <mergeCell ref="P507:Q507"/>
    <mergeCell ref="R507:S507"/>
    <mergeCell ref="T507:U507"/>
    <mergeCell ref="P508:Q508"/>
    <mergeCell ref="R508:S508"/>
    <mergeCell ref="T508:U508"/>
    <mergeCell ref="I509:J509"/>
    <mergeCell ref="L509:M509"/>
    <mergeCell ref="P509:Q509"/>
    <mergeCell ref="R509:S509"/>
    <mergeCell ref="T509:U509"/>
    <mergeCell ref="R516:S516"/>
    <mergeCell ref="R517:S517"/>
    <mergeCell ref="R513:S513"/>
    <mergeCell ref="T513:U513"/>
    <mergeCell ref="R514:S514"/>
    <mergeCell ref="T514:U514"/>
    <mergeCell ref="R515:S515"/>
    <mergeCell ref="T515:U515"/>
    <mergeCell ref="T516:U516"/>
    <mergeCell ref="T517:U517"/>
    <mergeCell ref="A507:O507"/>
    <mergeCell ref="A508:O508"/>
    <mergeCell ref="B509:C509"/>
    <mergeCell ref="G509:H509"/>
    <mergeCell ref="N509:O509"/>
    <mergeCell ref="R511:S511"/>
    <mergeCell ref="T511:U511"/>
    <mergeCell ref="D509:F509"/>
    <mergeCell ref="A510:O510"/>
    <mergeCell ref="P510:Q510"/>
    <mergeCell ref="R510:S510"/>
    <mergeCell ref="P505:Q505"/>
    <mergeCell ref="R505:S505"/>
    <mergeCell ref="T505:U505"/>
    <mergeCell ref="B506:C506"/>
    <mergeCell ref="D506:F506"/>
    <mergeCell ref="T506:U506"/>
    <mergeCell ref="D500:F500"/>
    <mergeCell ref="G500:H500"/>
    <mergeCell ref="A501:O501"/>
    <mergeCell ref="P501:Q501"/>
    <mergeCell ref="R501:S501"/>
    <mergeCell ref="T501:U501"/>
    <mergeCell ref="T502:U502"/>
    <mergeCell ref="G504:H504"/>
    <mergeCell ref="I504:J504"/>
    <mergeCell ref="L504:M504"/>
    <mergeCell ref="N504:O504"/>
    <mergeCell ref="P504:Q504"/>
    <mergeCell ref="R504:S504"/>
    <mergeCell ref="G506:H506"/>
    <mergeCell ref="I506:J506"/>
    <mergeCell ref="P506:Q506"/>
    <mergeCell ref="R506:S506"/>
    <mergeCell ref="L506:M506"/>
    <mergeCell ref="N506:O506"/>
    <mergeCell ref="N498:O498"/>
    <mergeCell ref="P498:Q498"/>
    <mergeCell ref="A499:O499"/>
    <mergeCell ref="P499:Q499"/>
    <mergeCell ref="R499:S499"/>
    <mergeCell ref="T499:U499"/>
    <mergeCell ref="B500:C500"/>
    <mergeCell ref="I494:J494"/>
    <mergeCell ref="L494:M494"/>
    <mergeCell ref="A493:O493"/>
    <mergeCell ref="P493:Q493"/>
    <mergeCell ref="R493:S493"/>
    <mergeCell ref="T493:U493"/>
    <mergeCell ref="B494:C494"/>
    <mergeCell ref="D494:F494"/>
    <mergeCell ref="G494:H494"/>
    <mergeCell ref="I496:J496"/>
    <mergeCell ref="L496:M496"/>
    <mergeCell ref="N496:O496"/>
    <mergeCell ref="P496:Q496"/>
    <mergeCell ref="R496:S496"/>
    <mergeCell ref="T496:U496"/>
    <mergeCell ref="A495:O495"/>
    <mergeCell ref="P495:Q495"/>
    <mergeCell ref="R495:S495"/>
    <mergeCell ref="T495:U495"/>
    <mergeCell ref="B496:C496"/>
    <mergeCell ref="D496:F496"/>
    <mergeCell ref="G496:H496"/>
    <mergeCell ref="R520:S520"/>
    <mergeCell ref="T520:U520"/>
    <mergeCell ref="A519:O519"/>
    <mergeCell ref="P519:Q519"/>
    <mergeCell ref="R519:S519"/>
    <mergeCell ref="T519:U519"/>
    <mergeCell ref="B520:C520"/>
    <mergeCell ref="D520:F520"/>
    <mergeCell ref="G520:H520"/>
    <mergeCell ref="D526:F526"/>
    <mergeCell ref="G526:H526"/>
    <mergeCell ref="N526:O526"/>
    <mergeCell ref="P526:Q526"/>
    <mergeCell ref="R526:S526"/>
    <mergeCell ref="T526:U526"/>
    <mergeCell ref="I500:J500"/>
    <mergeCell ref="L500:M500"/>
    <mergeCell ref="N500:O500"/>
    <mergeCell ref="P500:Q500"/>
    <mergeCell ref="R500:S500"/>
    <mergeCell ref="T500:U500"/>
    <mergeCell ref="P502:Q502"/>
    <mergeCell ref="R502:S502"/>
    <mergeCell ref="A502:O502"/>
    <mergeCell ref="A503:O503"/>
    <mergeCell ref="P503:Q503"/>
    <mergeCell ref="R503:S503"/>
    <mergeCell ref="T503:U503"/>
    <mergeCell ref="B504:C504"/>
    <mergeCell ref="T504:U504"/>
    <mergeCell ref="D504:F504"/>
    <mergeCell ref="A505:O505"/>
    <mergeCell ref="I640:J640"/>
    <mergeCell ref="L640:M640"/>
    <mergeCell ref="A639:O639"/>
    <mergeCell ref="P639:Q639"/>
    <mergeCell ref="R639:S639"/>
    <mergeCell ref="T639:U639"/>
    <mergeCell ref="B640:C640"/>
    <mergeCell ref="D640:F640"/>
    <mergeCell ref="G640:H640"/>
    <mergeCell ref="A521:O521"/>
    <mergeCell ref="P521:Q521"/>
    <mergeCell ref="R521:S521"/>
    <mergeCell ref="T521:U521"/>
    <mergeCell ref="P522:Q522"/>
    <mergeCell ref="R522:S522"/>
    <mergeCell ref="T522:U522"/>
    <mergeCell ref="A522:O522"/>
    <mergeCell ref="A523:O523"/>
    <mergeCell ref="P523:Q523"/>
    <mergeCell ref="R523:S523"/>
    <mergeCell ref="T523:U523"/>
    <mergeCell ref="A524:O524"/>
    <mergeCell ref="P524:Q524"/>
    <mergeCell ref="I526:J526"/>
    <mergeCell ref="L526:M526"/>
    <mergeCell ref="R524:S524"/>
    <mergeCell ref="T524:U524"/>
    <mergeCell ref="A525:O525"/>
    <mergeCell ref="P525:Q525"/>
    <mergeCell ref="R525:S525"/>
    <mergeCell ref="T525:U525"/>
    <mergeCell ref="B526:C526"/>
    <mergeCell ref="R634:S634"/>
    <mergeCell ref="T634:U634"/>
    <mergeCell ref="A632:O632"/>
    <mergeCell ref="A633:O633"/>
    <mergeCell ref="P633:Q633"/>
    <mergeCell ref="R633:S633"/>
    <mergeCell ref="T633:U633"/>
    <mergeCell ref="A634:O634"/>
    <mergeCell ref="P634:Q634"/>
    <mergeCell ref="I636:J636"/>
    <mergeCell ref="L636:M636"/>
    <mergeCell ref="N636:O636"/>
    <mergeCell ref="P636:Q636"/>
    <mergeCell ref="R636:S636"/>
    <mergeCell ref="T636:U636"/>
    <mergeCell ref="A635:O635"/>
    <mergeCell ref="P635:Q635"/>
    <mergeCell ref="R635:S635"/>
    <mergeCell ref="T635:U635"/>
    <mergeCell ref="B636:C636"/>
    <mergeCell ref="D636:F636"/>
    <mergeCell ref="G636:H636"/>
    <mergeCell ref="P628:Q628"/>
    <mergeCell ref="R628:S628"/>
    <mergeCell ref="T628:U628"/>
    <mergeCell ref="A627:O627"/>
    <mergeCell ref="P627:Q627"/>
    <mergeCell ref="R627:S627"/>
    <mergeCell ref="T627:U627"/>
    <mergeCell ref="B628:C628"/>
    <mergeCell ref="D628:F628"/>
    <mergeCell ref="G628:H628"/>
    <mergeCell ref="P632:Q632"/>
    <mergeCell ref="R632:S632"/>
    <mergeCell ref="N630:O630"/>
    <mergeCell ref="P630:Q630"/>
    <mergeCell ref="A631:O631"/>
    <mergeCell ref="P631:Q631"/>
    <mergeCell ref="R631:S631"/>
    <mergeCell ref="T631:U631"/>
    <mergeCell ref="T632:U632"/>
    <mergeCell ref="R625:S625"/>
    <mergeCell ref="T625:U625"/>
    <mergeCell ref="D623:F623"/>
    <mergeCell ref="A624:O624"/>
    <mergeCell ref="P624:Q624"/>
    <mergeCell ref="R624:S624"/>
    <mergeCell ref="T624:U624"/>
    <mergeCell ref="A625:O625"/>
    <mergeCell ref="P625:Q625"/>
    <mergeCell ref="I630:J630"/>
    <mergeCell ref="L630:M630"/>
    <mergeCell ref="R630:S630"/>
    <mergeCell ref="T630:U630"/>
    <mergeCell ref="A629:O629"/>
    <mergeCell ref="P629:Q629"/>
    <mergeCell ref="R629:S629"/>
    <mergeCell ref="T629:U629"/>
    <mergeCell ref="B630:C630"/>
    <mergeCell ref="D630:F630"/>
    <mergeCell ref="G630:H630"/>
    <mergeCell ref="R626:S626"/>
    <mergeCell ref="T626:U626"/>
    <mergeCell ref="B626:C626"/>
    <mergeCell ref="D626:F626"/>
    <mergeCell ref="G626:H626"/>
    <mergeCell ref="I626:J626"/>
    <mergeCell ref="L626:M626"/>
    <mergeCell ref="N626:O626"/>
    <mergeCell ref="P626:Q626"/>
    <mergeCell ref="I628:J628"/>
    <mergeCell ref="L628:M628"/>
    <mergeCell ref="N628:O628"/>
    <mergeCell ref="P621:Q621"/>
    <mergeCell ref="R621:S621"/>
    <mergeCell ref="D619:F619"/>
    <mergeCell ref="G619:H619"/>
    <mergeCell ref="A620:O620"/>
    <mergeCell ref="P620:Q620"/>
    <mergeCell ref="R620:S620"/>
    <mergeCell ref="T620:U620"/>
    <mergeCell ref="T621:U621"/>
    <mergeCell ref="G623:H623"/>
    <mergeCell ref="I623:J623"/>
    <mergeCell ref="L623:M623"/>
    <mergeCell ref="N623:O623"/>
    <mergeCell ref="P623:Q623"/>
    <mergeCell ref="R623:S623"/>
    <mergeCell ref="A621:O621"/>
    <mergeCell ref="A622:O622"/>
    <mergeCell ref="P622:Q622"/>
    <mergeCell ref="R622:S622"/>
    <mergeCell ref="T622:U622"/>
    <mergeCell ref="B623:C623"/>
    <mergeCell ref="T623:U623"/>
    <mergeCell ref="R609:S609"/>
    <mergeCell ref="T609:U609"/>
    <mergeCell ref="B610:C610"/>
    <mergeCell ref="D610:F610"/>
    <mergeCell ref="G610:H610"/>
    <mergeCell ref="I610:J610"/>
    <mergeCell ref="L610:M610"/>
    <mergeCell ref="D611:F611"/>
    <mergeCell ref="G611:H611"/>
    <mergeCell ref="I611:J611"/>
    <mergeCell ref="L611:M611"/>
    <mergeCell ref="A612:O612"/>
    <mergeCell ref="R613:S613"/>
    <mergeCell ref="R614:S614"/>
    <mergeCell ref="R610:S610"/>
    <mergeCell ref="T610:U610"/>
    <mergeCell ref="R611:S611"/>
    <mergeCell ref="T611:U611"/>
    <mergeCell ref="R612:S612"/>
    <mergeCell ref="T612:U612"/>
    <mergeCell ref="T613:U613"/>
    <mergeCell ref="T614:U614"/>
    <mergeCell ref="B611:C611"/>
    <mergeCell ref="B613:C613"/>
    <mergeCell ref="D613:F613"/>
    <mergeCell ref="G613:H613"/>
    <mergeCell ref="I613:J613"/>
    <mergeCell ref="L613:M613"/>
    <mergeCell ref="A614:O614"/>
    <mergeCell ref="I617:J617"/>
    <mergeCell ref="L617:M617"/>
    <mergeCell ref="R617:S617"/>
    <mergeCell ref="T617:U617"/>
    <mergeCell ref="A616:O616"/>
    <mergeCell ref="P616:Q616"/>
    <mergeCell ref="R616:S616"/>
    <mergeCell ref="T616:U616"/>
    <mergeCell ref="B617:C617"/>
    <mergeCell ref="D617:F617"/>
    <mergeCell ref="G617:H617"/>
    <mergeCell ref="I619:J619"/>
    <mergeCell ref="L619:M619"/>
    <mergeCell ref="N619:O619"/>
    <mergeCell ref="P619:Q619"/>
    <mergeCell ref="R619:S619"/>
    <mergeCell ref="T619:U619"/>
    <mergeCell ref="N617:O617"/>
    <mergeCell ref="P617:Q617"/>
    <mergeCell ref="A618:O618"/>
    <mergeCell ref="P618:Q618"/>
    <mergeCell ref="R618:S618"/>
    <mergeCell ref="T618:U618"/>
    <mergeCell ref="B619:C619"/>
    <mergeCell ref="I608:J608"/>
    <mergeCell ref="L608:M608"/>
    <mergeCell ref="N608:O608"/>
    <mergeCell ref="P608:Q608"/>
    <mergeCell ref="R608:S608"/>
    <mergeCell ref="T608:U608"/>
    <mergeCell ref="A607:O607"/>
    <mergeCell ref="P607:Q607"/>
    <mergeCell ref="R607:S607"/>
    <mergeCell ref="T607:U607"/>
    <mergeCell ref="B608:C608"/>
    <mergeCell ref="D608:F608"/>
    <mergeCell ref="G608:H608"/>
    <mergeCell ref="R615:S615"/>
    <mergeCell ref="T615:U615"/>
    <mergeCell ref="B615:C615"/>
    <mergeCell ref="D615:F615"/>
    <mergeCell ref="G615:H615"/>
    <mergeCell ref="I615:J615"/>
    <mergeCell ref="L615:M615"/>
    <mergeCell ref="N615:O615"/>
    <mergeCell ref="P615:Q615"/>
    <mergeCell ref="N610:O610"/>
    <mergeCell ref="P610:Q610"/>
    <mergeCell ref="N611:O611"/>
    <mergeCell ref="P611:Q611"/>
    <mergeCell ref="P612:Q612"/>
    <mergeCell ref="N613:O613"/>
    <mergeCell ref="P613:Q613"/>
    <mergeCell ref="P614:Q614"/>
    <mergeCell ref="A609:O609"/>
    <mergeCell ref="P609:Q609"/>
    <mergeCell ref="P604:Q604"/>
    <mergeCell ref="R604:S604"/>
    <mergeCell ref="D602:F602"/>
    <mergeCell ref="G602:H602"/>
    <mergeCell ref="A603:O603"/>
    <mergeCell ref="P603:Q603"/>
    <mergeCell ref="R603:S603"/>
    <mergeCell ref="T603:U603"/>
    <mergeCell ref="T604:U604"/>
    <mergeCell ref="R606:S606"/>
    <mergeCell ref="T606:U606"/>
    <mergeCell ref="A604:O604"/>
    <mergeCell ref="A605:O605"/>
    <mergeCell ref="P605:Q605"/>
    <mergeCell ref="R605:S605"/>
    <mergeCell ref="T605:U605"/>
    <mergeCell ref="A606:O606"/>
    <mergeCell ref="P606:Q606"/>
    <mergeCell ref="I602:J602"/>
    <mergeCell ref="L602:M602"/>
    <mergeCell ref="N602:O602"/>
    <mergeCell ref="P602:Q602"/>
    <mergeCell ref="R602:S602"/>
    <mergeCell ref="T602:U602"/>
    <mergeCell ref="G600:H600"/>
    <mergeCell ref="I600:J600"/>
    <mergeCell ref="A601:O601"/>
    <mergeCell ref="P601:Q601"/>
    <mergeCell ref="R601:S601"/>
    <mergeCell ref="T601:U601"/>
    <mergeCell ref="B602:C602"/>
    <mergeCell ref="D591:F591"/>
    <mergeCell ref="G591:H591"/>
    <mergeCell ref="A592:O592"/>
    <mergeCell ref="P592:Q592"/>
    <mergeCell ref="R592:S592"/>
    <mergeCell ref="T592:U592"/>
    <mergeCell ref="T593:U593"/>
    <mergeCell ref="P594:Q594"/>
    <mergeCell ref="R594:S594"/>
    <mergeCell ref="T594:U594"/>
    <mergeCell ref="A593:O593"/>
    <mergeCell ref="B594:C594"/>
    <mergeCell ref="D594:F594"/>
    <mergeCell ref="G594:H594"/>
    <mergeCell ref="I594:J594"/>
    <mergeCell ref="L594:M594"/>
    <mergeCell ref="N594:O594"/>
    <mergeCell ref="G598:H598"/>
    <mergeCell ref="I598:J598"/>
    <mergeCell ref="A597:O597"/>
    <mergeCell ref="P597:Q597"/>
    <mergeCell ref="R597:S597"/>
    <mergeCell ref="T597:U597"/>
    <mergeCell ref="B598:C598"/>
    <mergeCell ref="T598:U598"/>
    <mergeCell ref="L600:M600"/>
    <mergeCell ref="N600:O600"/>
    <mergeCell ref="P600:Q600"/>
    <mergeCell ref="R600:S600"/>
    <mergeCell ref="D598:F598"/>
    <mergeCell ref="A599:O599"/>
    <mergeCell ref="P599:Q599"/>
    <mergeCell ref="R599:S599"/>
    <mergeCell ref="T599:U599"/>
    <mergeCell ref="B600:C600"/>
    <mergeCell ref="D600:F600"/>
    <mergeCell ref="T600:U600"/>
    <mergeCell ref="L598:M598"/>
    <mergeCell ref="N598:O598"/>
    <mergeCell ref="P598:Q598"/>
    <mergeCell ref="R598:S598"/>
    <mergeCell ref="I498:J498"/>
    <mergeCell ref="L498:M498"/>
    <mergeCell ref="R498:S498"/>
    <mergeCell ref="T498:U498"/>
    <mergeCell ref="A497:O497"/>
    <mergeCell ref="P497:Q497"/>
    <mergeCell ref="R497:S497"/>
    <mergeCell ref="T497:U497"/>
    <mergeCell ref="B498:C498"/>
    <mergeCell ref="D498:F498"/>
    <mergeCell ref="G498:H498"/>
    <mergeCell ref="A595:O595"/>
    <mergeCell ref="P595:Q595"/>
    <mergeCell ref="R595:S595"/>
    <mergeCell ref="T595:U595"/>
    <mergeCell ref="P596:Q596"/>
    <mergeCell ref="R596:S596"/>
    <mergeCell ref="T596:U596"/>
    <mergeCell ref="A596:O596"/>
    <mergeCell ref="R518:S518"/>
    <mergeCell ref="T518:U518"/>
    <mergeCell ref="B518:C518"/>
    <mergeCell ref="D518:F518"/>
    <mergeCell ref="G518:H518"/>
    <mergeCell ref="I518:J518"/>
    <mergeCell ref="L518:M518"/>
    <mergeCell ref="N518:O518"/>
    <mergeCell ref="P518:Q518"/>
    <mergeCell ref="I520:J520"/>
    <mergeCell ref="L520:M520"/>
    <mergeCell ref="N520:O520"/>
    <mergeCell ref="P520:Q520"/>
    <mergeCell ref="I484:J484"/>
    <mergeCell ref="L484:M484"/>
    <mergeCell ref="R484:S484"/>
    <mergeCell ref="T484:U484"/>
    <mergeCell ref="A483:O483"/>
    <mergeCell ref="P483:Q483"/>
    <mergeCell ref="R483:S483"/>
    <mergeCell ref="T483:U483"/>
    <mergeCell ref="B484:C484"/>
    <mergeCell ref="D484:F484"/>
    <mergeCell ref="G484:H484"/>
    <mergeCell ref="I486:J486"/>
    <mergeCell ref="L486:M486"/>
    <mergeCell ref="N486:O486"/>
    <mergeCell ref="P486:Q486"/>
    <mergeCell ref="R486:S486"/>
    <mergeCell ref="T486:U486"/>
    <mergeCell ref="N484:O484"/>
    <mergeCell ref="P484:Q484"/>
    <mergeCell ref="A485:O485"/>
    <mergeCell ref="P485:Q485"/>
    <mergeCell ref="R485:S485"/>
    <mergeCell ref="T485:U485"/>
    <mergeCell ref="B486:C486"/>
    <mergeCell ref="T468:U468"/>
    <mergeCell ref="A467:O467"/>
    <mergeCell ref="B468:C468"/>
    <mergeCell ref="D468:F468"/>
    <mergeCell ref="G468:H468"/>
    <mergeCell ref="I468:J468"/>
    <mergeCell ref="L468:M468"/>
    <mergeCell ref="N468:O468"/>
    <mergeCell ref="A469:O469"/>
    <mergeCell ref="P469:Q469"/>
    <mergeCell ref="R469:S469"/>
    <mergeCell ref="T469:U469"/>
    <mergeCell ref="P470:Q470"/>
    <mergeCell ref="R470:S470"/>
    <mergeCell ref="T470:U470"/>
    <mergeCell ref="P471:Q471"/>
    <mergeCell ref="R471:S471"/>
    <mergeCell ref="T471:U471"/>
    <mergeCell ref="A470:O470"/>
    <mergeCell ref="B471:C471"/>
    <mergeCell ref="D471:F471"/>
    <mergeCell ref="G471:H471"/>
    <mergeCell ref="I471:J471"/>
    <mergeCell ref="L471:M471"/>
    <mergeCell ref="N471:O471"/>
    <mergeCell ref="P492:Q492"/>
    <mergeCell ref="R492:S492"/>
    <mergeCell ref="T492:U492"/>
    <mergeCell ref="A491:O491"/>
    <mergeCell ref="B492:C492"/>
    <mergeCell ref="D492:F492"/>
    <mergeCell ref="G492:H492"/>
    <mergeCell ref="I492:J492"/>
    <mergeCell ref="L492:M492"/>
    <mergeCell ref="N492:O492"/>
    <mergeCell ref="N494:O494"/>
    <mergeCell ref="P494:Q494"/>
    <mergeCell ref="R494:S494"/>
    <mergeCell ref="T494:U494"/>
    <mergeCell ref="I473:J473"/>
    <mergeCell ref="L473:M473"/>
    <mergeCell ref="R473:S473"/>
    <mergeCell ref="T473:U473"/>
    <mergeCell ref="B473:C473"/>
    <mergeCell ref="D473:F473"/>
    <mergeCell ref="G473:H473"/>
    <mergeCell ref="P475:Q475"/>
    <mergeCell ref="R475:S475"/>
    <mergeCell ref="I481:J481"/>
    <mergeCell ref="L481:M481"/>
    <mergeCell ref="R481:S481"/>
    <mergeCell ref="T481:U481"/>
    <mergeCell ref="A480:O480"/>
    <mergeCell ref="P480:Q480"/>
    <mergeCell ref="R480:S480"/>
    <mergeCell ref="T480:U480"/>
    <mergeCell ref="B481:C481"/>
    <mergeCell ref="P489:Q489"/>
    <mergeCell ref="R489:S489"/>
    <mergeCell ref="T489:U489"/>
    <mergeCell ref="A488:O488"/>
    <mergeCell ref="B489:C489"/>
    <mergeCell ref="D489:F489"/>
    <mergeCell ref="G489:H489"/>
    <mergeCell ref="I489:J489"/>
    <mergeCell ref="L489:M489"/>
    <mergeCell ref="N489:O489"/>
    <mergeCell ref="A490:O490"/>
    <mergeCell ref="P490:Q490"/>
    <mergeCell ref="R490:S490"/>
    <mergeCell ref="T490:U490"/>
    <mergeCell ref="P491:Q491"/>
    <mergeCell ref="R491:S491"/>
    <mergeCell ref="T491:U491"/>
    <mergeCell ref="P479:Q479"/>
    <mergeCell ref="R479:S479"/>
    <mergeCell ref="T479:U479"/>
    <mergeCell ref="A478:O478"/>
    <mergeCell ref="B479:C479"/>
    <mergeCell ref="D479:F479"/>
    <mergeCell ref="G479:H479"/>
    <mergeCell ref="I479:J479"/>
    <mergeCell ref="L479:M479"/>
    <mergeCell ref="N479:O479"/>
    <mergeCell ref="P488:Q488"/>
    <mergeCell ref="R488:S488"/>
    <mergeCell ref="D486:F486"/>
    <mergeCell ref="G486:H486"/>
    <mergeCell ref="A487:O487"/>
    <mergeCell ref="P487:Q487"/>
    <mergeCell ref="R487:S487"/>
    <mergeCell ref="T487:U487"/>
    <mergeCell ref="T488:U488"/>
    <mergeCell ref="D481:F481"/>
    <mergeCell ref="G481:H481"/>
    <mergeCell ref="N482:O482"/>
    <mergeCell ref="P482:Q482"/>
    <mergeCell ref="R482:S482"/>
    <mergeCell ref="T482:U482"/>
    <mergeCell ref="N481:O481"/>
    <mergeCell ref="P481:Q481"/>
    <mergeCell ref="B482:C482"/>
    <mergeCell ref="D482:F482"/>
    <mergeCell ref="G482:H482"/>
    <mergeCell ref="I482:J482"/>
    <mergeCell ref="L482:M482"/>
    <mergeCell ref="T475:U475"/>
    <mergeCell ref="P476:Q476"/>
    <mergeCell ref="R476:S476"/>
    <mergeCell ref="T476:U476"/>
    <mergeCell ref="A475:O475"/>
    <mergeCell ref="B476:C476"/>
    <mergeCell ref="D476:F476"/>
    <mergeCell ref="G476:H476"/>
    <mergeCell ref="I476:J476"/>
    <mergeCell ref="L476:M476"/>
    <mergeCell ref="N476:O476"/>
    <mergeCell ref="A477:O477"/>
    <mergeCell ref="P477:Q477"/>
    <mergeCell ref="R477:S477"/>
    <mergeCell ref="T477:U477"/>
    <mergeCell ref="P478:Q478"/>
    <mergeCell ref="R478:S478"/>
    <mergeCell ref="T478:U478"/>
    <mergeCell ref="I465:J465"/>
    <mergeCell ref="L465:M465"/>
    <mergeCell ref="N465:O465"/>
    <mergeCell ref="P465:Q465"/>
    <mergeCell ref="R465:S465"/>
    <mergeCell ref="T465:U465"/>
    <mergeCell ref="A464:O464"/>
    <mergeCell ref="P464:Q464"/>
    <mergeCell ref="R464:S464"/>
    <mergeCell ref="T464:U464"/>
    <mergeCell ref="B465:C465"/>
    <mergeCell ref="D465:F465"/>
    <mergeCell ref="G465:H465"/>
    <mergeCell ref="N473:O473"/>
    <mergeCell ref="P473:Q473"/>
    <mergeCell ref="A474:O474"/>
    <mergeCell ref="P474:Q474"/>
    <mergeCell ref="R474:S474"/>
    <mergeCell ref="T474:U474"/>
    <mergeCell ref="A472:O472"/>
    <mergeCell ref="P472:Q472"/>
    <mergeCell ref="R472:S472"/>
    <mergeCell ref="T472:U472"/>
    <mergeCell ref="A466:O466"/>
    <mergeCell ref="P466:Q466"/>
    <mergeCell ref="R466:S466"/>
    <mergeCell ref="T466:U466"/>
    <mergeCell ref="P467:Q467"/>
    <mergeCell ref="R467:S467"/>
    <mergeCell ref="T467:U467"/>
    <mergeCell ref="P468:Q468"/>
    <mergeCell ref="R468:S468"/>
    <mergeCell ref="P461:Q461"/>
    <mergeCell ref="R461:S461"/>
    <mergeCell ref="D459:F459"/>
    <mergeCell ref="G459:H459"/>
    <mergeCell ref="A460:O460"/>
    <mergeCell ref="P460:Q460"/>
    <mergeCell ref="R460:S460"/>
    <mergeCell ref="T460:U460"/>
    <mergeCell ref="T461:U461"/>
    <mergeCell ref="R463:S463"/>
    <mergeCell ref="T463:U463"/>
    <mergeCell ref="A461:O461"/>
    <mergeCell ref="A462:O462"/>
    <mergeCell ref="P462:Q462"/>
    <mergeCell ref="R462:S462"/>
    <mergeCell ref="T462:U462"/>
    <mergeCell ref="A463:O463"/>
    <mergeCell ref="P463:Q463"/>
    <mergeCell ref="A456:O456"/>
    <mergeCell ref="P456:Q456"/>
    <mergeCell ref="R456:S456"/>
    <mergeCell ref="T456:U456"/>
    <mergeCell ref="A457:O457"/>
    <mergeCell ref="P457:Q457"/>
    <mergeCell ref="I459:J459"/>
    <mergeCell ref="L459:M459"/>
    <mergeCell ref="N459:O459"/>
    <mergeCell ref="P459:Q459"/>
    <mergeCell ref="R459:S459"/>
    <mergeCell ref="T459:U459"/>
    <mergeCell ref="R457:S457"/>
    <mergeCell ref="T457:U457"/>
    <mergeCell ref="A458:O458"/>
    <mergeCell ref="P458:Q458"/>
    <mergeCell ref="R458:S458"/>
    <mergeCell ref="T458:U458"/>
    <mergeCell ref="B459:C459"/>
    <mergeCell ref="R453:S453"/>
    <mergeCell ref="T453:U453"/>
    <mergeCell ref="B453:C453"/>
    <mergeCell ref="D453:F453"/>
    <mergeCell ref="G453:H453"/>
    <mergeCell ref="I453:J453"/>
    <mergeCell ref="L453:M453"/>
    <mergeCell ref="N453:O453"/>
    <mergeCell ref="P453:Q453"/>
    <mergeCell ref="A454:O454"/>
    <mergeCell ref="P454:Q454"/>
    <mergeCell ref="R454:S454"/>
    <mergeCell ref="T454:U454"/>
    <mergeCell ref="P455:Q455"/>
    <mergeCell ref="R455:S455"/>
    <mergeCell ref="T455:U455"/>
    <mergeCell ref="A455:O455"/>
    <mergeCell ref="B448:C448"/>
    <mergeCell ref="D448:F448"/>
    <mergeCell ref="G448:H448"/>
    <mergeCell ref="I448:J448"/>
    <mergeCell ref="L448:M448"/>
    <mergeCell ref="B449:C449"/>
    <mergeCell ref="D449:F449"/>
    <mergeCell ref="G449:H449"/>
    <mergeCell ref="I449:J449"/>
    <mergeCell ref="L449:M449"/>
    <mergeCell ref="R452:S452"/>
    <mergeCell ref="T452:U452"/>
    <mergeCell ref="A450:O450"/>
    <mergeCell ref="A451:O451"/>
    <mergeCell ref="P451:Q451"/>
    <mergeCell ref="R451:S451"/>
    <mergeCell ref="T451:U451"/>
    <mergeCell ref="A452:O452"/>
    <mergeCell ref="P452:Q452"/>
    <mergeCell ref="N448:O448"/>
    <mergeCell ref="P448:Q448"/>
    <mergeCell ref="N449:O449"/>
    <mergeCell ref="P449:Q449"/>
    <mergeCell ref="P450:Q450"/>
    <mergeCell ref="R448:S448"/>
    <mergeCell ref="T448:U448"/>
    <mergeCell ref="R449:S449"/>
    <mergeCell ref="T449:U449"/>
    <mergeCell ref="R450:S450"/>
    <mergeCell ref="T450:U450"/>
    <mergeCell ref="I444:J444"/>
    <mergeCell ref="L444:M444"/>
    <mergeCell ref="N444:O444"/>
    <mergeCell ref="P444:Q444"/>
    <mergeCell ref="R444:S444"/>
    <mergeCell ref="T444:U444"/>
    <mergeCell ref="A443:O443"/>
    <mergeCell ref="P443:Q443"/>
    <mergeCell ref="R443:S443"/>
    <mergeCell ref="T443:U443"/>
    <mergeCell ref="B444:C444"/>
    <mergeCell ref="D444:F444"/>
    <mergeCell ref="G444:H444"/>
    <mergeCell ref="A447:O447"/>
    <mergeCell ref="P447:Q447"/>
    <mergeCell ref="R447:S447"/>
    <mergeCell ref="T447:U447"/>
    <mergeCell ref="I446:J446"/>
    <mergeCell ref="L446:M446"/>
    <mergeCell ref="N446:O446"/>
    <mergeCell ref="P446:Q446"/>
    <mergeCell ref="R446:S446"/>
    <mergeCell ref="T446:U446"/>
    <mergeCell ref="A445:O445"/>
    <mergeCell ref="P445:Q445"/>
    <mergeCell ref="R445:S445"/>
    <mergeCell ref="T445:U445"/>
    <mergeCell ref="B446:C446"/>
    <mergeCell ref="D446:F446"/>
    <mergeCell ref="G446:H446"/>
    <mergeCell ref="P441:Q441"/>
    <mergeCell ref="R441:S441"/>
    <mergeCell ref="P439:Q439"/>
    <mergeCell ref="R439:S439"/>
    <mergeCell ref="A440:O440"/>
    <mergeCell ref="P440:Q440"/>
    <mergeCell ref="R440:S440"/>
    <mergeCell ref="T440:U440"/>
    <mergeCell ref="T441:U441"/>
    <mergeCell ref="P442:Q442"/>
    <mergeCell ref="R442:S442"/>
    <mergeCell ref="T442:U442"/>
    <mergeCell ref="A441:O441"/>
    <mergeCell ref="B442:C442"/>
    <mergeCell ref="D442:F442"/>
    <mergeCell ref="G442:H442"/>
    <mergeCell ref="I442:J442"/>
    <mergeCell ref="L442:M442"/>
    <mergeCell ref="N442:O442"/>
    <mergeCell ref="A437:O437"/>
    <mergeCell ref="P437:Q437"/>
    <mergeCell ref="R437:S437"/>
    <mergeCell ref="T437:U437"/>
    <mergeCell ref="P438:Q438"/>
    <mergeCell ref="R438:S438"/>
    <mergeCell ref="T438:U438"/>
    <mergeCell ref="A438:O438"/>
    <mergeCell ref="B439:C439"/>
    <mergeCell ref="D439:F439"/>
    <mergeCell ref="G439:H439"/>
    <mergeCell ref="I439:J439"/>
    <mergeCell ref="L439:M439"/>
    <mergeCell ref="N439:O439"/>
    <mergeCell ref="T439:U439"/>
    <mergeCell ref="A429:O429"/>
    <mergeCell ref="P429:Q429"/>
    <mergeCell ref="R429:S429"/>
    <mergeCell ref="T429:U429"/>
    <mergeCell ref="P430:Q430"/>
    <mergeCell ref="R430:S430"/>
    <mergeCell ref="T430:U430"/>
    <mergeCell ref="G432:H432"/>
    <mergeCell ref="I432:J432"/>
    <mergeCell ref="L432:M432"/>
    <mergeCell ref="N432:O432"/>
    <mergeCell ref="P432:Q432"/>
    <mergeCell ref="R432:S432"/>
    <mergeCell ref="P434:Q434"/>
    <mergeCell ref="R434:S434"/>
    <mergeCell ref="P435:Q435"/>
    <mergeCell ref="R435:S435"/>
    <mergeCell ref="B432:C432"/>
    <mergeCell ref="T432:U432"/>
    <mergeCell ref="D432:F432"/>
    <mergeCell ref="A433:O433"/>
    <mergeCell ref="P433:Q433"/>
    <mergeCell ref="R433:S433"/>
    <mergeCell ref="T433:U433"/>
    <mergeCell ref="B434:C434"/>
    <mergeCell ref="D434:F434"/>
    <mergeCell ref="T434:U434"/>
    <mergeCell ref="G434:H434"/>
    <mergeCell ref="I434:J434"/>
    <mergeCell ref="L434:M434"/>
    <mergeCell ref="N434:O434"/>
    <mergeCell ref="A435:O435"/>
    <mergeCell ref="B436:C436"/>
    <mergeCell ref="D436:F436"/>
    <mergeCell ref="G436:H436"/>
    <mergeCell ref="I436:J436"/>
    <mergeCell ref="T435:U435"/>
    <mergeCell ref="L436:M436"/>
    <mergeCell ref="N436:O436"/>
    <mergeCell ref="P436:Q436"/>
    <mergeCell ref="R436:S436"/>
    <mergeCell ref="T436:U436"/>
    <mergeCell ref="I428:J428"/>
    <mergeCell ref="L428:M428"/>
    <mergeCell ref="N428:O428"/>
    <mergeCell ref="P428:Q428"/>
    <mergeCell ref="R428:S428"/>
    <mergeCell ref="T428:U428"/>
    <mergeCell ref="A427:O427"/>
    <mergeCell ref="P427:Q427"/>
    <mergeCell ref="R427:S427"/>
    <mergeCell ref="T427:U427"/>
    <mergeCell ref="B428:C428"/>
    <mergeCell ref="D428:F428"/>
    <mergeCell ref="G428:H428"/>
    <mergeCell ref="A430:O430"/>
    <mergeCell ref="A431:O431"/>
    <mergeCell ref="P431:Q431"/>
    <mergeCell ref="R431:S431"/>
    <mergeCell ref="T431:U431"/>
    <mergeCell ref="P424:Q424"/>
    <mergeCell ref="R424:S424"/>
    <mergeCell ref="D422:F422"/>
    <mergeCell ref="G422:H422"/>
    <mergeCell ref="A423:O423"/>
    <mergeCell ref="P423:Q423"/>
    <mergeCell ref="R423:S423"/>
    <mergeCell ref="T423:U423"/>
    <mergeCell ref="T424:U424"/>
    <mergeCell ref="R426:S426"/>
    <mergeCell ref="T426:U426"/>
    <mergeCell ref="A424:O424"/>
    <mergeCell ref="A425:O425"/>
    <mergeCell ref="P425:Q425"/>
    <mergeCell ref="R425:S425"/>
    <mergeCell ref="T425:U425"/>
    <mergeCell ref="A426:O426"/>
    <mergeCell ref="P426:Q426"/>
    <mergeCell ref="G414:H414"/>
    <mergeCell ref="I414:J414"/>
    <mergeCell ref="L414:M414"/>
    <mergeCell ref="N414:O414"/>
    <mergeCell ref="A415:O415"/>
    <mergeCell ref="P415:Q415"/>
    <mergeCell ref="R415:S415"/>
    <mergeCell ref="T415:U415"/>
    <mergeCell ref="P416:Q416"/>
    <mergeCell ref="R416:S416"/>
    <mergeCell ref="T416:U416"/>
    <mergeCell ref="P417:Q417"/>
    <mergeCell ref="R417:S417"/>
    <mergeCell ref="T417:U417"/>
    <mergeCell ref="A416:O416"/>
    <mergeCell ref="B417:C417"/>
    <mergeCell ref="D417:F417"/>
    <mergeCell ref="G417:H417"/>
    <mergeCell ref="I417:J417"/>
    <mergeCell ref="L417:M417"/>
    <mergeCell ref="N417:O417"/>
    <mergeCell ref="I420:J420"/>
    <mergeCell ref="L420:M420"/>
    <mergeCell ref="R420:S420"/>
    <mergeCell ref="T420:U420"/>
    <mergeCell ref="A419:O419"/>
    <mergeCell ref="P419:Q419"/>
    <mergeCell ref="R419:S419"/>
    <mergeCell ref="T419:U419"/>
    <mergeCell ref="B420:C420"/>
    <mergeCell ref="D420:F420"/>
    <mergeCell ref="G420:H420"/>
    <mergeCell ref="I422:J422"/>
    <mergeCell ref="L422:M422"/>
    <mergeCell ref="N422:O422"/>
    <mergeCell ref="P422:Q422"/>
    <mergeCell ref="R422:S422"/>
    <mergeCell ref="T422:U422"/>
    <mergeCell ref="N420:O420"/>
    <mergeCell ref="P420:Q420"/>
    <mergeCell ref="A421:O421"/>
    <mergeCell ref="P421:Q421"/>
    <mergeCell ref="R421:S421"/>
    <mergeCell ref="T421:U421"/>
    <mergeCell ref="B422:C422"/>
    <mergeCell ref="T406:U406"/>
    <mergeCell ref="A405:O405"/>
    <mergeCell ref="P405:Q405"/>
    <mergeCell ref="R405:S405"/>
    <mergeCell ref="T405:U405"/>
    <mergeCell ref="B406:C406"/>
    <mergeCell ref="D406:F406"/>
    <mergeCell ref="G406:H406"/>
    <mergeCell ref="P413:Q413"/>
    <mergeCell ref="R413:S413"/>
    <mergeCell ref="R418:S418"/>
    <mergeCell ref="T418:U418"/>
    <mergeCell ref="B418:C418"/>
    <mergeCell ref="D418:F418"/>
    <mergeCell ref="G418:H418"/>
    <mergeCell ref="I418:J418"/>
    <mergeCell ref="L418:M418"/>
    <mergeCell ref="N418:O418"/>
    <mergeCell ref="P418:Q418"/>
    <mergeCell ref="D411:F411"/>
    <mergeCell ref="G411:H411"/>
    <mergeCell ref="A412:O412"/>
    <mergeCell ref="P412:Q412"/>
    <mergeCell ref="R412:S412"/>
    <mergeCell ref="T412:U412"/>
    <mergeCell ref="T413:U413"/>
    <mergeCell ref="P414:Q414"/>
    <mergeCell ref="R414:S414"/>
    <mergeCell ref="T414:U414"/>
    <mergeCell ref="A413:O413"/>
    <mergeCell ref="B414:C414"/>
    <mergeCell ref="D414:F414"/>
    <mergeCell ref="B409:C409"/>
    <mergeCell ref="D409:F409"/>
    <mergeCell ref="G409:H409"/>
    <mergeCell ref="I409:J409"/>
    <mergeCell ref="L409:M409"/>
    <mergeCell ref="N409:O409"/>
    <mergeCell ref="T409:U409"/>
    <mergeCell ref="I411:J411"/>
    <mergeCell ref="L411:M411"/>
    <mergeCell ref="N411:O411"/>
    <mergeCell ref="P411:Q411"/>
    <mergeCell ref="R411:S411"/>
    <mergeCell ref="T411:U411"/>
    <mergeCell ref="P409:Q409"/>
    <mergeCell ref="R409:S409"/>
    <mergeCell ref="A410:O410"/>
    <mergeCell ref="P410:Q410"/>
    <mergeCell ref="R410:S410"/>
    <mergeCell ref="T410:U410"/>
    <mergeCell ref="B411:C411"/>
    <mergeCell ref="N400:O400"/>
    <mergeCell ref="P400:Q400"/>
    <mergeCell ref="R402:S402"/>
    <mergeCell ref="T402:U402"/>
    <mergeCell ref="R403:S403"/>
    <mergeCell ref="T403:U403"/>
    <mergeCell ref="N404:O404"/>
    <mergeCell ref="P404:Q404"/>
    <mergeCell ref="R404:S404"/>
    <mergeCell ref="T404:U404"/>
    <mergeCell ref="A407:O407"/>
    <mergeCell ref="P407:Q407"/>
    <mergeCell ref="R407:S407"/>
    <mergeCell ref="T407:U407"/>
    <mergeCell ref="P408:Q408"/>
    <mergeCell ref="R408:S408"/>
    <mergeCell ref="T408:U408"/>
    <mergeCell ref="A408:O408"/>
    <mergeCell ref="I404:J404"/>
    <mergeCell ref="L404:M404"/>
    <mergeCell ref="N402:O402"/>
    <mergeCell ref="P402:Q402"/>
    <mergeCell ref="A403:O403"/>
    <mergeCell ref="P403:Q403"/>
    <mergeCell ref="B404:C404"/>
    <mergeCell ref="D404:F404"/>
    <mergeCell ref="G404:H404"/>
    <mergeCell ref="I406:J406"/>
    <mergeCell ref="L406:M406"/>
    <mergeCell ref="N406:O406"/>
    <mergeCell ref="P406:Q406"/>
    <mergeCell ref="R406:S406"/>
    <mergeCell ref="I402:J402"/>
    <mergeCell ref="L402:M402"/>
    <mergeCell ref="A401:O401"/>
    <mergeCell ref="P401:Q401"/>
    <mergeCell ref="R401:S401"/>
    <mergeCell ref="T401:U401"/>
    <mergeCell ref="B402:C402"/>
    <mergeCell ref="D402:F402"/>
    <mergeCell ref="G402:H402"/>
    <mergeCell ref="A396:O396"/>
    <mergeCell ref="P396:Q396"/>
    <mergeCell ref="R396:S396"/>
    <mergeCell ref="T396:U396"/>
    <mergeCell ref="P397:Q397"/>
    <mergeCell ref="R397:S397"/>
    <mergeCell ref="T397:U397"/>
    <mergeCell ref="R399:S399"/>
    <mergeCell ref="T399:U399"/>
    <mergeCell ref="A397:O397"/>
    <mergeCell ref="A398:O398"/>
    <mergeCell ref="P398:Q398"/>
    <mergeCell ref="R398:S398"/>
    <mergeCell ref="T398:U398"/>
    <mergeCell ref="A399:O399"/>
    <mergeCell ref="P399:Q399"/>
    <mergeCell ref="R400:S400"/>
    <mergeCell ref="T400:U400"/>
    <mergeCell ref="B400:C400"/>
    <mergeCell ref="D400:F400"/>
    <mergeCell ref="G400:H400"/>
    <mergeCell ref="I400:J400"/>
    <mergeCell ref="L400:M400"/>
    <mergeCell ref="G387:H387"/>
    <mergeCell ref="I387:J387"/>
    <mergeCell ref="L387:M387"/>
    <mergeCell ref="N387:O387"/>
    <mergeCell ref="P387:Q387"/>
    <mergeCell ref="A388:O388"/>
    <mergeCell ref="P388:Q388"/>
    <mergeCell ref="R388:S388"/>
    <mergeCell ref="T388:U388"/>
    <mergeCell ref="P389:Q389"/>
    <mergeCell ref="R389:S389"/>
    <mergeCell ref="T389:U389"/>
    <mergeCell ref="A389:O389"/>
    <mergeCell ref="B390:C390"/>
    <mergeCell ref="D390:F390"/>
    <mergeCell ref="G390:H390"/>
    <mergeCell ref="I390:J390"/>
    <mergeCell ref="L390:M390"/>
    <mergeCell ref="N390:O390"/>
    <mergeCell ref="T390:U390"/>
    <mergeCell ref="I376:J376"/>
    <mergeCell ref="L376:M376"/>
    <mergeCell ref="N376:O376"/>
    <mergeCell ref="R378:S378"/>
    <mergeCell ref="T378:U378"/>
    <mergeCell ref="R379:S379"/>
    <mergeCell ref="T379:U379"/>
    <mergeCell ref="N380:O380"/>
    <mergeCell ref="P380:Q380"/>
    <mergeCell ref="R380:S380"/>
    <mergeCell ref="T380:U380"/>
    <mergeCell ref="A384:O384"/>
    <mergeCell ref="P384:Q384"/>
    <mergeCell ref="R384:S384"/>
    <mergeCell ref="T384:U384"/>
    <mergeCell ref="P385:Q385"/>
    <mergeCell ref="R385:S385"/>
    <mergeCell ref="T385:U385"/>
    <mergeCell ref="A385:O385"/>
    <mergeCell ref="D369:F369"/>
    <mergeCell ref="G369:H369"/>
    <mergeCell ref="I369:J369"/>
    <mergeCell ref="L369:M369"/>
    <mergeCell ref="N369:O369"/>
    <mergeCell ref="P369:Q369"/>
    <mergeCell ref="R371:S371"/>
    <mergeCell ref="T371:U371"/>
    <mergeCell ref="R372:S372"/>
    <mergeCell ref="T372:U372"/>
    <mergeCell ref="N373:O373"/>
    <mergeCell ref="P373:Q373"/>
    <mergeCell ref="R373:S373"/>
    <mergeCell ref="T373:U373"/>
    <mergeCell ref="I378:J378"/>
    <mergeCell ref="L378:M378"/>
    <mergeCell ref="A377:O377"/>
    <mergeCell ref="P377:Q377"/>
    <mergeCell ref="R377:S377"/>
    <mergeCell ref="T377:U377"/>
    <mergeCell ref="B378:C378"/>
    <mergeCell ref="D378:F378"/>
    <mergeCell ref="G378:H378"/>
    <mergeCell ref="I373:J373"/>
    <mergeCell ref="L373:M373"/>
    <mergeCell ref="N371:O371"/>
    <mergeCell ref="P371:Q371"/>
    <mergeCell ref="A372:O372"/>
    <mergeCell ref="P372:Q372"/>
    <mergeCell ref="B373:C373"/>
    <mergeCell ref="D373:F373"/>
    <mergeCell ref="G373:H373"/>
    <mergeCell ref="I395:J395"/>
    <mergeCell ref="L395:M395"/>
    <mergeCell ref="N395:O395"/>
    <mergeCell ref="P395:Q395"/>
    <mergeCell ref="R395:S395"/>
    <mergeCell ref="T395:U395"/>
    <mergeCell ref="A394:O394"/>
    <mergeCell ref="P394:Q394"/>
    <mergeCell ref="R394:S394"/>
    <mergeCell ref="T394:U394"/>
    <mergeCell ref="B395:C395"/>
    <mergeCell ref="D395:F395"/>
    <mergeCell ref="G395:H395"/>
    <mergeCell ref="A364:O364"/>
    <mergeCell ref="A365:O365"/>
    <mergeCell ref="B366:C366"/>
    <mergeCell ref="G366:H366"/>
    <mergeCell ref="I366:J366"/>
    <mergeCell ref="L366:M366"/>
    <mergeCell ref="N366:O366"/>
    <mergeCell ref="R368:S368"/>
    <mergeCell ref="T368:U368"/>
    <mergeCell ref="D366:F366"/>
    <mergeCell ref="A367:O367"/>
    <mergeCell ref="P367:Q367"/>
    <mergeCell ref="R367:S367"/>
    <mergeCell ref="T367:U367"/>
    <mergeCell ref="A368:O368"/>
    <mergeCell ref="P368:Q368"/>
    <mergeCell ref="R369:S369"/>
    <mergeCell ref="T369:U369"/>
    <mergeCell ref="B369:C369"/>
    <mergeCell ref="P386:Q386"/>
    <mergeCell ref="R386:S386"/>
    <mergeCell ref="T386:U386"/>
    <mergeCell ref="P392:Q392"/>
    <mergeCell ref="R392:S392"/>
    <mergeCell ref="P390:Q390"/>
    <mergeCell ref="R390:S390"/>
    <mergeCell ref="A391:O391"/>
    <mergeCell ref="P391:Q391"/>
    <mergeCell ref="R391:S391"/>
    <mergeCell ref="T391:U391"/>
    <mergeCell ref="T392:U392"/>
    <mergeCell ref="P393:Q393"/>
    <mergeCell ref="R393:S393"/>
    <mergeCell ref="T393:U393"/>
    <mergeCell ref="A392:O392"/>
    <mergeCell ref="B393:C393"/>
    <mergeCell ref="D393:F393"/>
    <mergeCell ref="G393:H393"/>
    <mergeCell ref="I393:J393"/>
    <mergeCell ref="L393:M393"/>
    <mergeCell ref="N393:O393"/>
    <mergeCell ref="B386:C386"/>
    <mergeCell ref="D386:F386"/>
    <mergeCell ref="G386:H386"/>
    <mergeCell ref="I386:J386"/>
    <mergeCell ref="L386:M386"/>
    <mergeCell ref="N386:O386"/>
    <mergeCell ref="R387:S387"/>
    <mergeCell ref="T387:U387"/>
    <mergeCell ref="B387:C387"/>
    <mergeCell ref="D387:F387"/>
    <mergeCell ref="A381:O381"/>
    <mergeCell ref="P381:Q381"/>
    <mergeCell ref="R381:S381"/>
    <mergeCell ref="T381:U381"/>
    <mergeCell ref="P382:Q382"/>
    <mergeCell ref="R382:S382"/>
    <mergeCell ref="T382:U382"/>
    <mergeCell ref="P383:Q383"/>
    <mergeCell ref="R383:S383"/>
    <mergeCell ref="T383:U383"/>
    <mergeCell ref="A382:O382"/>
    <mergeCell ref="B383:C383"/>
    <mergeCell ref="D383:F383"/>
    <mergeCell ref="G383:H383"/>
    <mergeCell ref="I383:J383"/>
    <mergeCell ref="L383:M383"/>
    <mergeCell ref="N383:O383"/>
    <mergeCell ref="I371:J371"/>
    <mergeCell ref="L371:M371"/>
    <mergeCell ref="A370:O370"/>
    <mergeCell ref="P370:Q370"/>
    <mergeCell ref="R370:S370"/>
    <mergeCell ref="T370:U370"/>
    <mergeCell ref="B371:C371"/>
    <mergeCell ref="D371:F371"/>
    <mergeCell ref="G371:H371"/>
    <mergeCell ref="I380:J380"/>
    <mergeCell ref="L380:M380"/>
    <mergeCell ref="N378:O378"/>
    <mergeCell ref="P378:Q378"/>
    <mergeCell ref="A379:O379"/>
    <mergeCell ref="P379:Q379"/>
    <mergeCell ref="B380:C380"/>
    <mergeCell ref="D380:F380"/>
    <mergeCell ref="G380:H380"/>
    <mergeCell ref="A374:O374"/>
    <mergeCell ref="P374:Q374"/>
    <mergeCell ref="R374:S374"/>
    <mergeCell ref="T374:U374"/>
    <mergeCell ref="P375:Q375"/>
    <mergeCell ref="R375:S375"/>
    <mergeCell ref="T375:U375"/>
    <mergeCell ref="P376:Q376"/>
    <mergeCell ref="R376:S376"/>
    <mergeCell ref="T376:U376"/>
    <mergeCell ref="A375:O375"/>
    <mergeCell ref="B376:C376"/>
    <mergeCell ref="D376:F376"/>
    <mergeCell ref="G376:H376"/>
    <mergeCell ref="I348:J348"/>
    <mergeCell ref="L348:M348"/>
    <mergeCell ref="N348:O348"/>
    <mergeCell ref="P348:Q348"/>
    <mergeCell ref="R348:S348"/>
    <mergeCell ref="T348:U348"/>
    <mergeCell ref="D346:F346"/>
    <mergeCell ref="G346:H346"/>
    <mergeCell ref="A347:O347"/>
    <mergeCell ref="P347:Q347"/>
    <mergeCell ref="R347:S347"/>
    <mergeCell ref="T347:U347"/>
    <mergeCell ref="B348:C348"/>
    <mergeCell ref="I350:J350"/>
    <mergeCell ref="L350:M350"/>
    <mergeCell ref="N350:O350"/>
    <mergeCell ref="P350:Q350"/>
    <mergeCell ref="R350:S350"/>
    <mergeCell ref="T350:U350"/>
    <mergeCell ref="D348:F348"/>
    <mergeCell ref="G348:H348"/>
    <mergeCell ref="A349:O349"/>
    <mergeCell ref="P349:Q349"/>
    <mergeCell ref="R349:S349"/>
    <mergeCell ref="T349:U349"/>
    <mergeCell ref="B350:C350"/>
    <mergeCell ref="R342:S342"/>
    <mergeCell ref="T342:U342"/>
    <mergeCell ref="P343:Q343"/>
    <mergeCell ref="R343:S343"/>
    <mergeCell ref="T343:U343"/>
    <mergeCell ref="A343:O343"/>
    <mergeCell ref="B344:C344"/>
    <mergeCell ref="D344:F344"/>
    <mergeCell ref="G344:H344"/>
    <mergeCell ref="I344:J344"/>
    <mergeCell ref="L344:M344"/>
    <mergeCell ref="N344:O344"/>
    <mergeCell ref="T344:U344"/>
    <mergeCell ref="I346:J346"/>
    <mergeCell ref="L346:M346"/>
    <mergeCell ref="N346:O346"/>
    <mergeCell ref="P346:Q346"/>
    <mergeCell ref="R346:S346"/>
    <mergeCell ref="T346:U346"/>
    <mergeCell ref="P344:Q344"/>
    <mergeCell ref="R344:S344"/>
    <mergeCell ref="A345:O345"/>
    <mergeCell ref="P345:Q345"/>
    <mergeCell ref="R345:S345"/>
    <mergeCell ref="T345:U345"/>
    <mergeCell ref="B346:C346"/>
    <mergeCell ref="T358:U358"/>
    <mergeCell ref="R359:S359"/>
    <mergeCell ref="T359:U359"/>
    <mergeCell ref="T360:U360"/>
    <mergeCell ref="B360:C360"/>
    <mergeCell ref="B363:C363"/>
    <mergeCell ref="D363:F363"/>
    <mergeCell ref="G363:H363"/>
    <mergeCell ref="I363:J363"/>
    <mergeCell ref="L363:M363"/>
    <mergeCell ref="N363:O363"/>
    <mergeCell ref="P322:Q322"/>
    <mergeCell ref="R322:S322"/>
    <mergeCell ref="A323:O323"/>
    <mergeCell ref="P323:Q323"/>
    <mergeCell ref="R323:S323"/>
    <mergeCell ref="T323:U323"/>
    <mergeCell ref="T324:U324"/>
    <mergeCell ref="P325:Q325"/>
    <mergeCell ref="R325:S325"/>
    <mergeCell ref="T325:U325"/>
    <mergeCell ref="A324:O324"/>
    <mergeCell ref="B325:C325"/>
    <mergeCell ref="D325:F325"/>
    <mergeCell ref="G325:H325"/>
    <mergeCell ref="I325:J325"/>
    <mergeCell ref="L325:M325"/>
    <mergeCell ref="N325:O325"/>
    <mergeCell ref="A326:O326"/>
    <mergeCell ref="P326:Q326"/>
    <mergeCell ref="R326:S326"/>
    <mergeCell ref="T326:U326"/>
    <mergeCell ref="T356:U356"/>
    <mergeCell ref="B357:C357"/>
    <mergeCell ref="D357:F357"/>
    <mergeCell ref="G357:H357"/>
    <mergeCell ref="R360:S360"/>
    <mergeCell ref="R361:S361"/>
    <mergeCell ref="R362:S362"/>
    <mergeCell ref="R363:S363"/>
    <mergeCell ref="R364:S364"/>
    <mergeCell ref="R365:S365"/>
    <mergeCell ref="R366:S366"/>
    <mergeCell ref="P361:Q361"/>
    <mergeCell ref="P362:Q362"/>
    <mergeCell ref="P363:Q363"/>
    <mergeCell ref="P364:Q364"/>
    <mergeCell ref="P365:Q365"/>
    <mergeCell ref="P366:Q366"/>
    <mergeCell ref="N357:O357"/>
    <mergeCell ref="P357:Q357"/>
    <mergeCell ref="N358:O358"/>
    <mergeCell ref="P358:Q358"/>
    <mergeCell ref="P359:Q359"/>
    <mergeCell ref="N360:O360"/>
    <mergeCell ref="P360:Q360"/>
    <mergeCell ref="T361:U361"/>
    <mergeCell ref="T362:U362"/>
    <mergeCell ref="T363:U363"/>
    <mergeCell ref="T364:U364"/>
    <mergeCell ref="T365:U365"/>
    <mergeCell ref="T366:U366"/>
    <mergeCell ref="R357:S357"/>
    <mergeCell ref="T357:U357"/>
    <mergeCell ref="I357:J357"/>
    <mergeCell ref="L357:M357"/>
    <mergeCell ref="D358:F358"/>
    <mergeCell ref="G358:H358"/>
    <mergeCell ref="I358:J358"/>
    <mergeCell ref="L358:M358"/>
    <mergeCell ref="A359:O359"/>
    <mergeCell ref="B358:C358"/>
    <mergeCell ref="D360:F360"/>
    <mergeCell ref="G360:H360"/>
    <mergeCell ref="I360:J360"/>
    <mergeCell ref="L360:M360"/>
    <mergeCell ref="A361:O361"/>
    <mergeCell ref="A362:O362"/>
    <mergeCell ref="A356:O356"/>
    <mergeCell ref="P356:Q356"/>
    <mergeCell ref="R356:S356"/>
    <mergeCell ref="R358:S358"/>
    <mergeCell ref="P353:Q353"/>
    <mergeCell ref="R353:S353"/>
    <mergeCell ref="T353:U353"/>
    <mergeCell ref="A352:O352"/>
    <mergeCell ref="B353:C353"/>
    <mergeCell ref="D353:F353"/>
    <mergeCell ref="G353:H353"/>
    <mergeCell ref="I353:J353"/>
    <mergeCell ref="L353:M353"/>
    <mergeCell ref="N353:O353"/>
    <mergeCell ref="I355:J355"/>
    <mergeCell ref="L355:M355"/>
    <mergeCell ref="N355:O355"/>
    <mergeCell ref="P355:Q355"/>
    <mergeCell ref="R355:S355"/>
    <mergeCell ref="T355:U355"/>
    <mergeCell ref="A354:O354"/>
    <mergeCell ref="P354:Q354"/>
    <mergeCell ref="R354:S354"/>
    <mergeCell ref="T354:U354"/>
    <mergeCell ref="B355:C355"/>
    <mergeCell ref="D355:F355"/>
    <mergeCell ref="G355:H355"/>
    <mergeCell ref="P338:Q338"/>
    <mergeCell ref="R338:S338"/>
    <mergeCell ref="T338:U338"/>
    <mergeCell ref="R340:S340"/>
    <mergeCell ref="T340:U340"/>
    <mergeCell ref="A338:O338"/>
    <mergeCell ref="A339:O339"/>
    <mergeCell ref="P339:Q339"/>
    <mergeCell ref="R339:S339"/>
    <mergeCell ref="T339:U339"/>
    <mergeCell ref="A340:O340"/>
    <mergeCell ref="P340:Q340"/>
    <mergeCell ref="P352:Q352"/>
    <mergeCell ref="R352:S352"/>
    <mergeCell ref="D350:F350"/>
    <mergeCell ref="G350:H350"/>
    <mergeCell ref="A351:O351"/>
    <mergeCell ref="P351:Q351"/>
    <mergeCell ref="R351:S351"/>
    <mergeCell ref="T351:U351"/>
    <mergeCell ref="T352:U352"/>
    <mergeCell ref="R341:S341"/>
    <mergeCell ref="T341:U341"/>
    <mergeCell ref="B341:C341"/>
    <mergeCell ref="D341:F341"/>
    <mergeCell ref="G341:H341"/>
    <mergeCell ref="I341:J341"/>
    <mergeCell ref="L341:M341"/>
    <mergeCell ref="N341:O341"/>
    <mergeCell ref="P341:Q341"/>
    <mergeCell ref="A342:O342"/>
    <mergeCell ref="P342:Q342"/>
    <mergeCell ref="A333:O333"/>
    <mergeCell ref="P333:Q333"/>
    <mergeCell ref="R333:S333"/>
    <mergeCell ref="T333:U333"/>
    <mergeCell ref="T334:U334"/>
    <mergeCell ref="R336:S336"/>
    <mergeCell ref="T336:U336"/>
    <mergeCell ref="A334:O334"/>
    <mergeCell ref="A335:O335"/>
    <mergeCell ref="P335:Q335"/>
    <mergeCell ref="R335:S335"/>
    <mergeCell ref="T335:U335"/>
    <mergeCell ref="A336:O336"/>
    <mergeCell ref="P336:Q336"/>
    <mergeCell ref="A337:O337"/>
    <mergeCell ref="P337:Q337"/>
    <mergeCell ref="R337:S337"/>
    <mergeCell ref="T337:U337"/>
    <mergeCell ref="P334:Q334"/>
    <mergeCell ref="R334:S334"/>
    <mergeCell ref="P324:Q324"/>
    <mergeCell ref="R324:S324"/>
    <mergeCell ref="A330:O330"/>
    <mergeCell ref="P330:Q330"/>
    <mergeCell ref="R330:S330"/>
    <mergeCell ref="T330:U330"/>
    <mergeCell ref="P331:Q331"/>
    <mergeCell ref="R331:S331"/>
    <mergeCell ref="T331:U331"/>
    <mergeCell ref="A331:O331"/>
    <mergeCell ref="B332:C332"/>
    <mergeCell ref="D332:F332"/>
    <mergeCell ref="G332:H332"/>
    <mergeCell ref="I332:J332"/>
    <mergeCell ref="L332:M332"/>
    <mergeCell ref="N332:O332"/>
    <mergeCell ref="T332:U332"/>
    <mergeCell ref="P332:Q332"/>
    <mergeCell ref="R332:S332"/>
    <mergeCell ref="P327:Q327"/>
    <mergeCell ref="R327:S327"/>
    <mergeCell ref="T327:U327"/>
    <mergeCell ref="R329:S329"/>
    <mergeCell ref="T329:U329"/>
    <mergeCell ref="A327:O327"/>
    <mergeCell ref="A328:O328"/>
    <mergeCell ref="P328:Q328"/>
    <mergeCell ref="R328:S328"/>
    <mergeCell ref="T328:U328"/>
    <mergeCell ref="A329:O329"/>
    <mergeCell ref="P329:Q329"/>
    <mergeCell ref="P321:Q321"/>
    <mergeCell ref="R321:S321"/>
    <mergeCell ref="T321:U321"/>
    <mergeCell ref="A321:O321"/>
    <mergeCell ref="B322:C322"/>
    <mergeCell ref="D322:F322"/>
    <mergeCell ref="G322:H322"/>
    <mergeCell ref="I322:J322"/>
    <mergeCell ref="L322:M322"/>
    <mergeCell ref="N322:O322"/>
    <mergeCell ref="T322:U322"/>
    <mergeCell ref="N310:O310"/>
    <mergeCell ref="P310:Q310"/>
    <mergeCell ref="A311:O311"/>
    <mergeCell ref="P311:Q311"/>
    <mergeCell ref="R311:S311"/>
    <mergeCell ref="T311:U311"/>
    <mergeCell ref="T312:U312"/>
    <mergeCell ref="R314:S314"/>
    <mergeCell ref="T314:U314"/>
    <mergeCell ref="A312:O312"/>
    <mergeCell ref="A313:O313"/>
    <mergeCell ref="P313:Q313"/>
    <mergeCell ref="R313:S313"/>
    <mergeCell ref="T313:U313"/>
    <mergeCell ref="A314:O314"/>
    <mergeCell ref="P314:Q314"/>
    <mergeCell ref="R315:S315"/>
    <mergeCell ref="T315:U315"/>
    <mergeCell ref="B315:C315"/>
    <mergeCell ref="D315:F315"/>
    <mergeCell ref="G315:H315"/>
    <mergeCell ref="P312:Q312"/>
    <mergeCell ref="R312:S312"/>
    <mergeCell ref="A316:O316"/>
    <mergeCell ref="P316:Q316"/>
    <mergeCell ref="R316:S316"/>
    <mergeCell ref="T316:U316"/>
    <mergeCell ref="P317:Q317"/>
    <mergeCell ref="R317:S317"/>
    <mergeCell ref="T317:U317"/>
    <mergeCell ref="A317:O317"/>
    <mergeCell ref="A318:O318"/>
    <mergeCell ref="P318:Q318"/>
    <mergeCell ref="R318:S318"/>
    <mergeCell ref="T318:U318"/>
    <mergeCell ref="A319:O319"/>
    <mergeCell ref="P319:Q319"/>
    <mergeCell ref="A320:O320"/>
    <mergeCell ref="P320:Q320"/>
    <mergeCell ref="R320:S320"/>
    <mergeCell ref="T320:U320"/>
    <mergeCell ref="I315:J315"/>
    <mergeCell ref="L315:M315"/>
    <mergeCell ref="N315:O315"/>
    <mergeCell ref="P315:Q315"/>
    <mergeCell ref="R319:S319"/>
    <mergeCell ref="T319:U319"/>
    <mergeCell ref="A309:O309"/>
    <mergeCell ref="P309:Q309"/>
    <mergeCell ref="R310:S310"/>
    <mergeCell ref="T310:U310"/>
    <mergeCell ref="R309:S309"/>
    <mergeCell ref="T309:U309"/>
    <mergeCell ref="B310:C310"/>
    <mergeCell ref="D310:F310"/>
    <mergeCell ref="G310:H310"/>
    <mergeCell ref="I310:J310"/>
    <mergeCell ref="L310:M310"/>
    <mergeCell ref="I299:J299"/>
    <mergeCell ref="L299:M299"/>
    <mergeCell ref="R297:S297"/>
    <mergeCell ref="T297:U297"/>
    <mergeCell ref="A298:O298"/>
    <mergeCell ref="P298:Q298"/>
    <mergeCell ref="R298:S298"/>
    <mergeCell ref="T298:U298"/>
    <mergeCell ref="B299:C299"/>
    <mergeCell ref="A300:O300"/>
    <mergeCell ref="P300:Q300"/>
    <mergeCell ref="R300:S300"/>
    <mergeCell ref="T300:U300"/>
    <mergeCell ref="P301:Q301"/>
    <mergeCell ref="R301:S301"/>
    <mergeCell ref="T301:U301"/>
    <mergeCell ref="P302:Q302"/>
    <mergeCell ref="R302:S302"/>
    <mergeCell ref="T302:U302"/>
    <mergeCell ref="A301:O301"/>
    <mergeCell ref="B302:C302"/>
    <mergeCell ref="B305:C305"/>
    <mergeCell ref="D305:F305"/>
    <mergeCell ref="G305:H305"/>
    <mergeCell ref="I305:J305"/>
    <mergeCell ref="L305:M305"/>
    <mergeCell ref="N305:O305"/>
    <mergeCell ref="A306:O306"/>
    <mergeCell ref="P306:Q306"/>
    <mergeCell ref="R306:S306"/>
    <mergeCell ref="T306:U306"/>
    <mergeCell ref="P307:Q307"/>
    <mergeCell ref="R307:S307"/>
    <mergeCell ref="T307:U307"/>
    <mergeCell ref="A307:O307"/>
    <mergeCell ref="A308:O308"/>
    <mergeCell ref="P308:Q308"/>
    <mergeCell ref="R308:S308"/>
    <mergeCell ref="T308:U308"/>
    <mergeCell ref="P305:Q305"/>
    <mergeCell ref="R305:S305"/>
    <mergeCell ref="T305:U305"/>
    <mergeCell ref="P277:Q277"/>
    <mergeCell ref="R277:S277"/>
    <mergeCell ref="R287:S287"/>
    <mergeCell ref="T287:U287"/>
    <mergeCell ref="R286:S286"/>
    <mergeCell ref="T286:U286"/>
    <mergeCell ref="B287:C287"/>
    <mergeCell ref="D287:F287"/>
    <mergeCell ref="G287:H287"/>
    <mergeCell ref="I287:J287"/>
    <mergeCell ref="L287:M287"/>
    <mergeCell ref="A303:O303"/>
    <mergeCell ref="P303:Q303"/>
    <mergeCell ref="R303:S303"/>
    <mergeCell ref="T303:U303"/>
    <mergeCell ref="P304:Q304"/>
    <mergeCell ref="R304:S304"/>
    <mergeCell ref="T304:U304"/>
    <mergeCell ref="A304:O304"/>
    <mergeCell ref="D302:F302"/>
    <mergeCell ref="G302:H302"/>
    <mergeCell ref="I302:J302"/>
    <mergeCell ref="L302:M302"/>
    <mergeCell ref="N302:O302"/>
    <mergeCell ref="P260:Q260"/>
    <mergeCell ref="R260:S260"/>
    <mergeCell ref="A261:O261"/>
    <mergeCell ref="P261:Q261"/>
    <mergeCell ref="R261:S261"/>
    <mergeCell ref="T261:U261"/>
    <mergeCell ref="T262:U262"/>
    <mergeCell ref="R264:S264"/>
    <mergeCell ref="T264:U264"/>
    <mergeCell ref="A262:O262"/>
    <mergeCell ref="A263:O263"/>
    <mergeCell ref="P263:Q263"/>
    <mergeCell ref="R263:S263"/>
    <mergeCell ref="T263:U263"/>
    <mergeCell ref="A264:O264"/>
    <mergeCell ref="P264:Q264"/>
    <mergeCell ref="G268:H268"/>
    <mergeCell ref="I268:J268"/>
    <mergeCell ref="L268:M268"/>
    <mergeCell ref="N268:O268"/>
    <mergeCell ref="P268:Q268"/>
    <mergeCell ref="R268:S268"/>
    <mergeCell ref="T271:U271"/>
    <mergeCell ref="P272:Q272"/>
    <mergeCell ref="R272:S272"/>
    <mergeCell ref="T272:U272"/>
    <mergeCell ref="A272:O272"/>
    <mergeCell ref="A273:O273"/>
    <mergeCell ref="P273:Q273"/>
    <mergeCell ref="R273:S273"/>
    <mergeCell ref="T273:U273"/>
    <mergeCell ref="A274:O274"/>
    <mergeCell ref="P274:Q274"/>
    <mergeCell ref="R275:S275"/>
    <mergeCell ref="T275:U275"/>
    <mergeCell ref="R274:S274"/>
    <mergeCell ref="T274:U274"/>
    <mergeCell ref="B275:C275"/>
    <mergeCell ref="D275:F275"/>
    <mergeCell ref="G275:H275"/>
    <mergeCell ref="I275:J275"/>
    <mergeCell ref="L275:M275"/>
    <mergeCell ref="D299:F299"/>
    <mergeCell ref="G299:H299"/>
    <mergeCell ref="N299:O299"/>
    <mergeCell ref="P299:Q299"/>
    <mergeCell ref="R299:S299"/>
    <mergeCell ref="T299:U299"/>
    <mergeCell ref="A265:O265"/>
    <mergeCell ref="P265:Q265"/>
    <mergeCell ref="R265:S265"/>
    <mergeCell ref="T265:U265"/>
    <mergeCell ref="P266:Q266"/>
    <mergeCell ref="R266:S266"/>
    <mergeCell ref="T266:U266"/>
    <mergeCell ref="A266:O266"/>
    <mergeCell ref="A267:O267"/>
    <mergeCell ref="P267:Q267"/>
    <mergeCell ref="R267:S267"/>
    <mergeCell ref="T267:U267"/>
    <mergeCell ref="B268:C268"/>
    <mergeCell ref="T268:U268"/>
    <mergeCell ref="R270:S270"/>
    <mergeCell ref="T270:U270"/>
    <mergeCell ref="D268:F268"/>
    <mergeCell ref="A269:O269"/>
    <mergeCell ref="P269:Q269"/>
    <mergeCell ref="R269:S269"/>
    <mergeCell ref="T269:U269"/>
    <mergeCell ref="A270:O270"/>
    <mergeCell ref="P270:Q270"/>
    <mergeCell ref="A271:O271"/>
    <mergeCell ref="P271:Q271"/>
    <mergeCell ref="R271:S271"/>
    <mergeCell ref="N290:O290"/>
    <mergeCell ref="A291:O291"/>
    <mergeCell ref="P291:Q291"/>
    <mergeCell ref="R291:S291"/>
    <mergeCell ref="T291:U291"/>
    <mergeCell ref="P292:Q292"/>
    <mergeCell ref="R292:S292"/>
    <mergeCell ref="T292:U292"/>
    <mergeCell ref="P293:Q293"/>
    <mergeCell ref="R293:S293"/>
    <mergeCell ref="T293:U293"/>
    <mergeCell ref="A292:O292"/>
    <mergeCell ref="B293:C293"/>
    <mergeCell ref="D293:F293"/>
    <mergeCell ref="G293:H293"/>
    <mergeCell ref="I293:J293"/>
    <mergeCell ref="L293:M293"/>
    <mergeCell ref="N293:O293"/>
    <mergeCell ref="P289:Q289"/>
    <mergeCell ref="R289:S289"/>
    <mergeCell ref="A294:O294"/>
    <mergeCell ref="P294:Q294"/>
    <mergeCell ref="R294:S294"/>
    <mergeCell ref="T294:U294"/>
    <mergeCell ref="P295:Q295"/>
    <mergeCell ref="R295:S295"/>
    <mergeCell ref="T295:U295"/>
    <mergeCell ref="A295:O295"/>
    <mergeCell ref="A296:O296"/>
    <mergeCell ref="P296:Q296"/>
    <mergeCell ref="R296:S296"/>
    <mergeCell ref="T296:U296"/>
    <mergeCell ref="A297:O297"/>
    <mergeCell ref="P297:Q297"/>
    <mergeCell ref="N287:O287"/>
    <mergeCell ref="P287:Q287"/>
    <mergeCell ref="A288:O288"/>
    <mergeCell ref="P288:Q288"/>
    <mergeCell ref="R288:S288"/>
    <mergeCell ref="T288:U288"/>
    <mergeCell ref="T289:U289"/>
    <mergeCell ref="P290:Q290"/>
    <mergeCell ref="R290:S290"/>
    <mergeCell ref="T290:U290"/>
    <mergeCell ref="A289:O289"/>
    <mergeCell ref="B290:C290"/>
    <mergeCell ref="D290:F290"/>
    <mergeCell ref="G290:H290"/>
    <mergeCell ref="I290:J290"/>
    <mergeCell ref="L290:M290"/>
    <mergeCell ref="A280:O280"/>
    <mergeCell ref="P280:Q280"/>
    <mergeCell ref="R280:S280"/>
    <mergeCell ref="T280:U280"/>
    <mergeCell ref="P281:Q281"/>
    <mergeCell ref="R281:S281"/>
    <mergeCell ref="T281:U281"/>
    <mergeCell ref="P282:Q282"/>
    <mergeCell ref="R282:S282"/>
    <mergeCell ref="T282:U282"/>
    <mergeCell ref="A281:O281"/>
    <mergeCell ref="B282:C282"/>
    <mergeCell ref="D282:F282"/>
    <mergeCell ref="G282:H282"/>
    <mergeCell ref="I282:J282"/>
    <mergeCell ref="L282:M282"/>
    <mergeCell ref="N282:O282"/>
    <mergeCell ref="P262:Q262"/>
    <mergeCell ref="R262:S262"/>
    <mergeCell ref="A283:O283"/>
    <mergeCell ref="P283:Q283"/>
    <mergeCell ref="R283:S283"/>
    <mergeCell ref="T283:U283"/>
    <mergeCell ref="P284:Q284"/>
    <mergeCell ref="R284:S284"/>
    <mergeCell ref="T284:U284"/>
    <mergeCell ref="A284:O284"/>
    <mergeCell ref="A285:O285"/>
    <mergeCell ref="P285:Q285"/>
    <mergeCell ref="R285:S285"/>
    <mergeCell ref="T285:U285"/>
    <mergeCell ref="A286:O286"/>
    <mergeCell ref="P286:Q286"/>
    <mergeCell ref="N275:O275"/>
    <mergeCell ref="P275:Q275"/>
    <mergeCell ref="A276:O276"/>
    <mergeCell ref="P276:Q276"/>
    <mergeCell ref="R276:S276"/>
    <mergeCell ref="T276:U276"/>
    <mergeCell ref="T277:U277"/>
    <mergeCell ref="R279:S279"/>
    <mergeCell ref="T279:U279"/>
    <mergeCell ref="A277:O277"/>
    <mergeCell ref="A278:O278"/>
    <mergeCell ref="P278:Q278"/>
    <mergeCell ref="R278:S278"/>
    <mergeCell ref="T278:U278"/>
    <mergeCell ref="A279:O279"/>
    <mergeCell ref="P279:Q279"/>
    <mergeCell ref="B260:C260"/>
    <mergeCell ref="D260:F260"/>
    <mergeCell ref="G260:H260"/>
    <mergeCell ref="I260:J260"/>
    <mergeCell ref="L260:M260"/>
    <mergeCell ref="N260:O260"/>
    <mergeCell ref="T260:U260"/>
    <mergeCell ref="A250:O250"/>
    <mergeCell ref="P250:Q250"/>
    <mergeCell ref="R250:S250"/>
    <mergeCell ref="T250:U250"/>
    <mergeCell ref="P251:Q251"/>
    <mergeCell ref="R251:S251"/>
    <mergeCell ref="T251:U251"/>
    <mergeCell ref="R253:S253"/>
    <mergeCell ref="T253:U253"/>
    <mergeCell ref="A251:O251"/>
    <mergeCell ref="A252:O252"/>
    <mergeCell ref="P252:Q252"/>
    <mergeCell ref="R252:S252"/>
    <mergeCell ref="T252:U252"/>
    <mergeCell ref="A253:O253"/>
    <mergeCell ref="P253:Q253"/>
    <mergeCell ref="R254:S254"/>
    <mergeCell ref="T254:U254"/>
    <mergeCell ref="B254:C254"/>
    <mergeCell ref="D254:F254"/>
    <mergeCell ref="G254:H254"/>
    <mergeCell ref="I254:J254"/>
    <mergeCell ref="L254:M254"/>
    <mergeCell ref="N254:O254"/>
    <mergeCell ref="P254:Q254"/>
    <mergeCell ref="P256:Q256"/>
    <mergeCell ref="R256:S256"/>
    <mergeCell ref="T256:U256"/>
    <mergeCell ref="A256:O256"/>
    <mergeCell ref="B257:C257"/>
    <mergeCell ref="D257:F257"/>
    <mergeCell ref="G257:H257"/>
    <mergeCell ref="I257:J257"/>
    <mergeCell ref="L257:M257"/>
    <mergeCell ref="N257:O257"/>
    <mergeCell ref="A258:O258"/>
    <mergeCell ref="P258:Q258"/>
    <mergeCell ref="R258:S258"/>
    <mergeCell ref="T258:U258"/>
    <mergeCell ref="P259:Q259"/>
    <mergeCell ref="R259:S259"/>
    <mergeCell ref="T259:U259"/>
    <mergeCell ref="A259:O259"/>
    <mergeCell ref="P257:Q257"/>
    <mergeCell ref="R257:S257"/>
    <mergeCell ref="T257:U257"/>
    <mergeCell ref="I249:J249"/>
    <mergeCell ref="L249:M249"/>
    <mergeCell ref="N249:O249"/>
    <mergeCell ref="P249:Q249"/>
    <mergeCell ref="R249:S249"/>
    <mergeCell ref="T249:U249"/>
    <mergeCell ref="A248:O248"/>
    <mergeCell ref="P248:Q248"/>
    <mergeCell ref="R248:S248"/>
    <mergeCell ref="T248:U248"/>
    <mergeCell ref="B249:C249"/>
    <mergeCell ref="D249:F249"/>
    <mergeCell ref="G249:H249"/>
    <mergeCell ref="A255:O255"/>
    <mergeCell ref="P255:Q255"/>
    <mergeCell ref="R255:S255"/>
    <mergeCell ref="T255:U255"/>
    <mergeCell ref="P245:Q245"/>
    <mergeCell ref="R245:S245"/>
    <mergeCell ref="G243:H243"/>
    <mergeCell ref="I243:J243"/>
    <mergeCell ref="A244:O244"/>
    <mergeCell ref="P244:Q244"/>
    <mergeCell ref="R244:S244"/>
    <mergeCell ref="T244:U244"/>
    <mergeCell ref="T245:U245"/>
    <mergeCell ref="R247:S247"/>
    <mergeCell ref="T247:U247"/>
    <mergeCell ref="A245:O245"/>
    <mergeCell ref="A246:O246"/>
    <mergeCell ref="P246:Q246"/>
    <mergeCell ref="R246:S246"/>
    <mergeCell ref="T246:U246"/>
    <mergeCell ref="A247:O247"/>
    <mergeCell ref="P247:Q247"/>
    <mergeCell ref="P241:Q241"/>
    <mergeCell ref="R241:S241"/>
    <mergeCell ref="T241:U241"/>
    <mergeCell ref="L243:M243"/>
    <mergeCell ref="N243:O243"/>
    <mergeCell ref="P243:Q243"/>
    <mergeCell ref="R243:S243"/>
    <mergeCell ref="A241:O241"/>
    <mergeCell ref="A242:O242"/>
    <mergeCell ref="P242:Q242"/>
    <mergeCell ref="R242:S242"/>
    <mergeCell ref="T242:U242"/>
    <mergeCell ref="B243:C243"/>
    <mergeCell ref="D243:F243"/>
    <mergeCell ref="T243:U243"/>
    <mergeCell ref="A231:O231"/>
    <mergeCell ref="P231:Q231"/>
    <mergeCell ref="R231:S231"/>
    <mergeCell ref="T231:U231"/>
    <mergeCell ref="P232:Q232"/>
    <mergeCell ref="R232:S232"/>
    <mergeCell ref="T232:U232"/>
    <mergeCell ref="P233:Q233"/>
    <mergeCell ref="R233:S233"/>
    <mergeCell ref="T233:U233"/>
    <mergeCell ref="A232:O232"/>
    <mergeCell ref="B233:C233"/>
    <mergeCell ref="D233:F233"/>
    <mergeCell ref="G233:H233"/>
    <mergeCell ref="I233:J233"/>
    <mergeCell ref="L233:M233"/>
    <mergeCell ref="N233:O233"/>
    <mergeCell ref="A234:O234"/>
    <mergeCell ref="P234:Q234"/>
    <mergeCell ref="R234:S234"/>
    <mergeCell ref="T234:U234"/>
    <mergeCell ref="P235:Q235"/>
    <mergeCell ref="R235:S235"/>
    <mergeCell ref="T235:U235"/>
    <mergeCell ref="A235:O235"/>
    <mergeCell ref="A236:O236"/>
    <mergeCell ref="P236:Q236"/>
    <mergeCell ref="R236:S236"/>
    <mergeCell ref="T236:U236"/>
    <mergeCell ref="B237:C237"/>
    <mergeCell ref="T237:U237"/>
    <mergeCell ref="A240:O240"/>
    <mergeCell ref="P240:Q240"/>
    <mergeCell ref="R240:S240"/>
    <mergeCell ref="T240:U240"/>
    <mergeCell ref="G237:H237"/>
    <mergeCell ref="I237:J237"/>
    <mergeCell ref="L237:M237"/>
    <mergeCell ref="N237:O237"/>
    <mergeCell ref="P237:Q237"/>
    <mergeCell ref="R237:S237"/>
    <mergeCell ref="A182:O182"/>
    <mergeCell ref="P182:Q182"/>
    <mergeCell ref="R182:S182"/>
    <mergeCell ref="T182:U182"/>
    <mergeCell ref="A183:O183"/>
    <mergeCell ref="P183:Q183"/>
    <mergeCell ref="R184:S184"/>
    <mergeCell ref="T184:U184"/>
    <mergeCell ref="R183:S183"/>
    <mergeCell ref="T183:U183"/>
    <mergeCell ref="B184:C184"/>
    <mergeCell ref="D184:F184"/>
    <mergeCell ref="G184:H184"/>
    <mergeCell ref="I184:J184"/>
    <mergeCell ref="L184:M184"/>
    <mergeCell ref="R205:S205"/>
    <mergeCell ref="T205:U205"/>
    <mergeCell ref="B205:C205"/>
    <mergeCell ref="D205:F205"/>
    <mergeCell ref="G205:H205"/>
    <mergeCell ref="I205:J205"/>
    <mergeCell ref="L205:M205"/>
    <mergeCell ref="N205:O205"/>
    <mergeCell ref="P205:Q205"/>
    <mergeCell ref="A178:O178"/>
    <mergeCell ref="P178:Q178"/>
    <mergeCell ref="R179:S179"/>
    <mergeCell ref="T179:U179"/>
    <mergeCell ref="B179:C179"/>
    <mergeCell ref="D179:F179"/>
    <mergeCell ref="G179:H179"/>
    <mergeCell ref="I179:J179"/>
    <mergeCell ref="L179:M179"/>
    <mergeCell ref="N179:O179"/>
    <mergeCell ref="P179:Q179"/>
    <mergeCell ref="A180:O180"/>
    <mergeCell ref="P180:Q180"/>
    <mergeCell ref="R180:S180"/>
    <mergeCell ref="T180:U180"/>
    <mergeCell ref="P181:Q181"/>
    <mergeCell ref="R181:S181"/>
    <mergeCell ref="T181:U181"/>
    <mergeCell ref="A181:O181"/>
    <mergeCell ref="P166:Q166"/>
    <mergeCell ref="A167:O167"/>
    <mergeCell ref="P167:Q167"/>
    <mergeCell ref="R167:S167"/>
    <mergeCell ref="T167:U167"/>
    <mergeCell ref="P168:Q168"/>
    <mergeCell ref="R168:S168"/>
    <mergeCell ref="T168:U168"/>
    <mergeCell ref="P169:Q169"/>
    <mergeCell ref="R169:S169"/>
    <mergeCell ref="T169:U169"/>
    <mergeCell ref="A168:O168"/>
    <mergeCell ref="B169:C169"/>
    <mergeCell ref="D169:F169"/>
    <mergeCell ref="G169:H169"/>
    <mergeCell ref="I169:J169"/>
    <mergeCell ref="L169:M169"/>
    <mergeCell ref="N169:O169"/>
    <mergeCell ref="R158:S158"/>
    <mergeCell ref="T158:U158"/>
    <mergeCell ref="B159:C159"/>
    <mergeCell ref="D159:F159"/>
    <mergeCell ref="G159:H159"/>
    <mergeCell ref="I159:J159"/>
    <mergeCell ref="L159:M159"/>
    <mergeCell ref="R160:S160"/>
    <mergeCell ref="T160:U160"/>
    <mergeCell ref="B160:C160"/>
    <mergeCell ref="D160:F160"/>
    <mergeCell ref="G160:H160"/>
    <mergeCell ref="I160:J160"/>
    <mergeCell ref="L160:M160"/>
    <mergeCell ref="N160:O160"/>
    <mergeCell ref="P160:Q160"/>
    <mergeCell ref="G164:H164"/>
    <mergeCell ref="I164:J164"/>
    <mergeCell ref="L164:M164"/>
    <mergeCell ref="N164:O164"/>
    <mergeCell ref="P164:Q164"/>
    <mergeCell ref="R164:S164"/>
    <mergeCell ref="A161:O161"/>
    <mergeCell ref="P161:Q161"/>
    <mergeCell ref="R161:S161"/>
    <mergeCell ref="T161:U161"/>
    <mergeCell ref="P162:Q162"/>
    <mergeCell ref="R162:S162"/>
    <mergeCell ref="T162:U162"/>
    <mergeCell ref="A162:O162"/>
    <mergeCell ref="A163:O163"/>
    <mergeCell ref="P163:Q163"/>
    <mergeCell ref="A190:O190"/>
    <mergeCell ref="P190:Q190"/>
    <mergeCell ref="R190:S190"/>
    <mergeCell ref="T190:U190"/>
    <mergeCell ref="B191:C191"/>
    <mergeCell ref="D191:F191"/>
    <mergeCell ref="G191:H191"/>
    <mergeCell ref="A192:O192"/>
    <mergeCell ref="P192:Q192"/>
    <mergeCell ref="R192:S192"/>
    <mergeCell ref="T192:U192"/>
    <mergeCell ref="P193:Q193"/>
    <mergeCell ref="R193:S193"/>
    <mergeCell ref="T193:U193"/>
    <mergeCell ref="G195:H195"/>
    <mergeCell ref="I195:J195"/>
    <mergeCell ref="L195:M195"/>
    <mergeCell ref="N195:O195"/>
    <mergeCell ref="P195:Q195"/>
    <mergeCell ref="R195:S195"/>
    <mergeCell ref="N191:O191"/>
    <mergeCell ref="P191:Q191"/>
    <mergeCell ref="R191:S191"/>
    <mergeCell ref="T191:U191"/>
    <mergeCell ref="A193:O193"/>
    <mergeCell ref="A194:O194"/>
    <mergeCell ref="P194:Q194"/>
    <mergeCell ref="R194:S194"/>
    <mergeCell ref="T194:U194"/>
    <mergeCell ref="B195:C195"/>
    <mergeCell ref="T195:U195"/>
    <mergeCell ref="D195:F195"/>
    <mergeCell ref="A196:O196"/>
    <mergeCell ref="P196:Q196"/>
    <mergeCell ref="R196:S196"/>
    <mergeCell ref="T196:U196"/>
    <mergeCell ref="A197:O197"/>
    <mergeCell ref="P197:Q197"/>
    <mergeCell ref="I191:J191"/>
    <mergeCell ref="L191:M191"/>
    <mergeCell ref="R188:S188"/>
    <mergeCell ref="T188:U188"/>
    <mergeCell ref="A186:O186"/>
    <mergeCell ref="A187:O187"/>
    <mergeCell ref="P187:Q187"/>
    <mergeCell ref="R187:S187"/>
    <mergeCell ref="T187:U187"/>
    <mergeCell ref="A188:O188"/>
    <mergeCell ref="P188:Q188"/>
    <mergeCell ref="R189:S189"/>
    <mergeCell ref="T189:U189"/>
    <mergeCell ref="B189:C189"/>
    <mergeCell ref="D189:F189"/>
    <mergeCell ref="G189:H189"/>
    <mergeCell ref="I189:J189"/>
    <mergeCell ref="L189:M189"/>
    <mergeCell ref="N189:O189"/>
    <mergeCell ref="P189:Q189"/>
    <mergeCell ref="R174:S174"/>
    <mergeCell ref="T174:U174"/>
    <mergeCell ref="B174:C174"/>
    <mergeCell ref="D174:F174"/>
    <mergeCell ref="G174:H174"/>
    <mergeCell ref="I174:J174"/>
    <mergeCell ref="L174:M174"/>
    <mergeCell ref="N174:O174"/>
    <mergeCell ref="P174:Q174"/>
    <mergeCell ref="R178:S178"/>
    <mergeCell ref="T178:U178"/>
    <mergeCell ref="P186:Q186"/>
    <mergeCell ref="R186:S186"/>
    <mergeCell ref="N184:O184"/>
    <mergeCell ref="P184:Q184"/>
    <mergeCell ref="A185:O185"/>
    <mergeCell ref="P185:Q185"/>
    <mergeCell ref="R185:S185"/>
    <mergeCell ref="T185:U185"/>
    <mergeCell ref="T186:U186"/>
    <mergeCell ref="A175:O175"/>
    <mergeCell ref="P175:Q175"/>
    <mergeCell ref="R175:S175"/>
    <mergeCell ref="T175:U175"/>
    <mergeCell ref="P176:Q176"/>
    <mergeCell ref="R176:S176"/>
    <mergeCell ref="T176:U176"/>
    <mergeCell ref="A176:O176"/>
    <mergeCell ref="A177:O177"/>
    <mergeCell ref="P177:Q177"/>
    <mergeCell ref="R177:S177"/>
    <mergeCell ref="T177:U177"/>
    <mergeCell ref="N159:O159"/>
    <mergeCell ref="P159:Q159"/>
    <mergeCell ref="A170:O170"/>
    <mergeCell ref="P170:Q170"/>
    <mergeCell ref="R170:S170"/>
    <mergeCell ref="T170:U170"/>
    <mergeCell ref="P171:Q171"/>
    <mergeCell ref="R171:S171"/>
    <mergeCell ref="T171:U171"/>
    <mergeCell ref="R173:S173"/>
    <mergeCell ref="T173:U173"/>
    <mergeCell ref="A171:O171"/>
    <mergeCell ref="A172:O172"/>
    <mergeCell ref="P172:Q172"/>
    <mergeCell ref="R172:S172"/>
    <mergeCell ref="T172:U172"/>
    <mergeCell ref="A173:O173"/>
    <mergeCell ref="P173:Q173"/>
    <mergeCell ref="R159:S159"/>
    <mergeCell ref="T159:U159"/>
    <mergeCell ref="R163:S163"/>
    <mergeCell ref="T163:U163"/>
    <mergeCell ref="B164:C164"/>
    <mergeCell ref="T164:U164"/>
    <mergeCell ref="R166:S166"/>
    <mergeCell ref="T166:U166"/>
    <mergeCell ref="D164:F164"/>
    <mergeCell ref="A165:O165"/>
    <mergeCell ref="P165:Q165"/>
    <mergeCell ref="R165:S165"/>
    <mergeCell ref="T165:U165"/>
    <mergeCell ref="A166:O166"/>
    <mergeCell ref="P156:Q156"/>
    <mergeCell ref="R156:S156"/>
    <mergeCell ref="T156:U156"/>
    <mergeCell ref="A156:O156"/>
    <mergeCell ref="A157:O157"/>
    <mergeCell ref="P157:Q157"/>
    <mergeCell ref="R157:S157"/>
    <mergeCell ref="T157:U157"/>
    <mergeCell ref="A158:O158"/>
    <mergeCell ref="P158:Q158"/>
    <mergeCell ref="G144:H144"/>
    <mergeCell ref="I144:J144"/>
    <mergeCell ref="A145:O145"/>
    <mergeCell ref="P145:Q145"/>
    <mergeCell ref="R145:S145"/>
    <mergeCell ref="T145:U145"/>
    <mergeCell ref="T146:U146"/>
    <mergeCell ref="R148:S148"/>
    <mergeCell ref="T148:U148"/>
    <mergeCell ref="A146:O146"/>
    <mergeCell ref="A147:O147"/>
    <mergeCell ref="P147:Q147"/>
    <mergeCell ref="R147:S147"/>
    <mergeCell ref="T147:U147"/>
    <mergeCell ref="A148:O148"/>
    <mergeCell ref="P148:Q148"/>
    <mergeCell ref="R149:S149"/>
    <mergeCell ref="T149:U149"/>
    <mergeCell ref="B149:C149"/>
    <mergeCell ref="D149:F149"/>
    <mergeCell ref="G149:H149"/>
    <mergeCell ref="I149:J149"/>
    <mergeCell ref="A152:O152"/>
    <mergeCell ref="P152:Q152"/>
    <mergeCell ref="R152:S152"/>
    <mergeCell ref="T152:U152"/>
    <mergeCell ref="A153:O153"/>
    <mergeCell ref="P153:Q153"/>
    <mergeCell ref="R154:S154"/>
    <mergeCell ref="T154:U154"/>
    <mergeCell ref="B154:C154"/>
    <mergeCell ref="D154:F154"/>
    <mergeCell ref="G154:H154"/>
    <mergeCell ref="I154:J154"/>
    <mergeCell ref="L154:M154"/>
    <mergeCell ref="N154:O154"/>
    <mergeCell ref="P154:Q154"/>
    <mergeCell ref="A155:O155"/>
    <mergeCell ref="P155:Q155"/>
    <mergeCell ref="R155:S155"/>
    <mergeCell ref="T155:U155"/>
    <mergeCell ref="R153:S153"/>
    <mergeCell ref="T153:U153"/>
    <mergeCell ref="R139:S139"/>
    <mergeCell ref="T139:U139"/>
    <mergeCell ref="R140:S140"/>
    <mergeCell ref="T140:U140"/>
    <mergeCell ref="R141:S141"/>
    <mergeCell ref="T141:U141"/>
    <mergeCell ref="R142:S142"/>
    <mergeCell ref="T142:U142"/>
    <mergeCell ref="P146:Q146"/>
    <mergeCell ref="R146:S146"/>
    <mergeCell ref="A150:O150"/>
    <mergeCell ref="P150:Q150"/>
    <mergeCell ref="R150:S150"/>
    <mergeCell ref="T150:U150"/>
    <mergeCell ref="P151:Q151"/>
    <mergeCell ref="R151:S151"/>
    <mergeCell ref="T151:U151"/>
    <mergeCell ref="A151:O151"/>
    <mergeCell ref="L149:M149"/>
    <mergeCell ref="N149:O149"/>
    <mergeCell ref="P149:Q149"/>
    <mergeCell ref="I133:J133"/>
    <mergeCell ref="L133:M133"/>
    <mergeCell ref="N133:O133"/>
    <mergeCell ref="P133:Q133"/>
    <mergeCell ref="A134:O134"/>
    <mergeCell ref="P134:Q134"/>
    <mergeCell ref="R134:S134"/>
    <mergeCell ref="T134:U134"/>
    <mergeCell ref="P135:Q135"/>
    <mergeCell ref="R135:S135"/>
    <mergeCell ref="T135:U135"/>
    <mergeCell ref="R137:S137"/>
    <mergeCell ref="T137:U137"/>
    <mergeCell ref="A135:O135"/>
    <mergeCell ref="A136:O136"/>
    <mergeCell ref="P136:Q136"/>
    <mergeCell ref="R136:S136"/>
    <mergeCell ref="T136:U136"/>
    <mergeCell ref="A137:O137"/>
    <mergeCell ref="P137:Q137"/>
    <mergeCell ref="A140:O140"/>
    <mergeCell ref="P140:Q140"/>
    <mergeCell ref="A141:O141"/>
    <mergeCell ref="P141:Q141"/>
    <mergeCell ref="P142:Q142"/>
    <mergeCell ref="L144:M144"/>
    <mergeCell ref="N144:O144"/>
    <mergeCell ref="P144:Q144"/>
    <mergeCell ref="R144:S144"/>
    <mergeCell ref="A142:O142"/>
    <mergeCell ref="A143:O143"/>
    <mergeCell ref="P143:Q143"/>
    <mergeCell ref="R143:S143"/>
    <mergeCell ref="T143:U143"/>
    <mergeCell ref="B144:C144"/>
    <mergeCell ref="D144:F144"/>
    <mergeCell ref="T144:U144"/>
    <mergeCell ref="A129:O129"/>
    <mergeCell ref="P129:Q129"/>
    <mergeCell ref="R129:S129"/>
    <mergeCell ref="T129:U129"/>
    <mergeCell ref="P130:Q130"/>
    <mergeCell ref="R130:S130"/>
    <mergeCell ref="T130:U130"/>
    <mergeCell ref="R132:S132"/>
    <mergeCell ref="T132:U132"/>
    <mergeCell ref="A130:O130"/>
    <mergeCell ref="A131:O131"/>
    <mergeCell ref="P131:Q131"/>
    <mergeCell ref="R131:S131"/>
    <mergeCell ref="T131:U131"/>
    <mergeCell ref="A132:O132"/>
    <mergeCell ref="P132:Q132"/>
    <mergeCell ref="I139:J139"/>
    <mergeCell ref="L139:M139"/>
    <mergeCell ref="A138:O138"/>
    <mergeCell ref="P138:Q138"/>
    <mergeCell ref="R138:S138"/>
    <mergeCell ref="T138:U138"/>
    <mergeCell ref="B139:C139"/>
    <mergeCell ref="D139:F139"/>
    <mergeCell ref="G139:H139"/>
    <mergeCell ref="N139:O139"/>
    <mergeCell ref="P139:Q139"/>
    <mergeCell ref="R133:S133"/>
    <mergeCell ref="T133:U133"/>
    <mergeCell ref="B133:C133"/>
    <mergeCell ref="D133:F133"/>
    <mergeCell ref="G133:H133"/>
    <mergeCell ref="R127:S127"/>
    <mergeCell ref="T127:U127"/>
    <mergeCell ref="B127:C127"/>
    <mergeCell ref="D127:F127"/>
    <mergeCell ref="G127:H127"/>
    <mergeCell ref="I127:J127"/>
    <mergeCell ref="L127:M127"/>
    <mergeCell ref="N127:O127"/>
    <mergeCell ref="P127:Q127"/>
    <mergeCell ref="R128:S128"/>
    <mergeCell ref="T128:U128"/>
    <mergeCell ref="B128:C128"/>
    <mergeCell ref="D128:F128"/>
    <mergeCell ref="G128:H128"/>
    <mergeCell ref="I128:J128"/>
    <mergeCell ref="L128:M128"/>
    <mergeCell ref="N128:O128"/>
    <mergeCell ref="P128:Q128"/>
    <mergeCell ref="C91:D91"/>
    <mergeCell ref="F91:G91"/>
    <mergeCell ref="H91:I91"/>
    <mergeCell ref="J91:K91"/>
    <mergeCell ref="M91:N91"/>
    <mergeCell ref="O91:P91"/>
    <mergeCell ref="Q91:R91"/>
    <mergeCell ref="S91:T91"/>
    <mergeCell ref="A89:P89"/>
    <mergeCell ref="Q89:R89"/>
    <mergeCell ref="S89:T89"/>
    <mergeCell ref="A90:P90"/>
    <mergeCell ref="Q90:R90"/>
    <mergeCell ref="S90:T90"/>
    <mergeCell ref="A91:B91"/>
    <mergeCell ref="I105:J105"/>
    <mergeCell ref="L105:M105"/>
    <mergeCell ref="R105:S105"/>
    <mergeCell ref="T105:U105"/>
    <mergeCell ref="A104:O104"/>
    <mergeCell ref="P104:Q104"/>
    <mergeCell ref="R104:S104"/>
    <mergeCell ref="T104:U104"/>
    <mergeCell ref="B105:C105"/>
    <mergeCell ref="D105:F105"/>
    <mergeCell ref="G105:H105"/>
    <mergeCell ref="Q87:R87"/>
    <mergeCell ref="Q83:R83"/>
    <mergeCell ref="S83:T83"/>
    <mergeCell ref="Q84:R84"/>
    <mergeCell ref="S84:T84"/>
    <mergeCell ref="Q85:R85"/>
    <mergeCell ref="S85:T85"/>
    <mergeCell ref="S86:T86"/>
    <mergeCell ref="S87:T87"/>
    <mergeCell ref="A84:B84"/>
    <mergeCell ref="A86:B86"/>
    <mergeCell ref="C86:D86"/>
    <mergeCell ref="F86:G86"/>
    <mergeCell ref="H86:I86"/>
    <mergeCell ref="J86:K86"/>
    <mergeCell ref="A87:P87"/>
    <mergeCell ref="Q88:R88"/>
    <mergeCell ref="S88:T88"/>
    <mergeCell ref="A88:B88"/>
    <mergeCell ref="C88:D88"/>
    <mergeCell ref="F88:G88"/>
    <mergeCell ref="H88:I88"/>
    <mergeCell ref="J88:K88"/>
    <mergeCell ref="M88:N88"/>
    <mergeCell ref="O88:P88"/>
    <mergeCell ref="M86:N86"/>
    <mergeCell ref="O86:P86"/>
    <mergeCell ref="O81:P81"/>
    <mergeCell ref="A82:P82"/>
    <mergeCell ref="Q82:R82"/>
    <mergeCell ref="S82:T82"/>
    <mergeCell ref="A83:B83"/>
    <mergeCell ref="C83:D83"/>
    <mergeCell ref="F83:G83"/>
    <mergeCell ref="H83:I83"/>
    <mergeCell ref="J83:K83"/>
    <mergeCell ref="C84:D84"/>
    <mergeCell ref="F84:G84"/>
    <mergeCell ref="H84:I84"/>
    <mergeCell ref="J84:K84"/>
    <mergeCell ref="A85:P85"/>
    <mergeCell ref="Q86:R86"/>
    <mergeCell ref="Q80:R80"/>
    <mergeCell ref="S80:T80"/>
    <mergeCell ref="J81:K81"/>
    <mergeCell ref="M81:N81"/>
    <mergeCell ref="Q81:R81"/>
    <mergeCell ref="S81:T81"/>
    <mergeCell ref="M79:N79"/>
    <mergeCell ref="O79:P79"/>
    <mergeCell ref="A80:P80"/>
    <mergeCell ref="A81:B81"/>
    <mergeCell ref="C81:D81"/>
    <mergeCell ref="F81:G81"/>
    <mergeCell ref="H81:I81"/>
    <mergeCell ref="M83:N83"/>
    <mergeCell ref="O83:P83"/>
    <mergeCell ref="M84:N84"/>
    <mergeCell ref="O84:P84"/>
    <mergeCell ref="A78:P78"/>
    <mergeCell ref="Q78:R78"/>
    <mergeCell ref="S78:T78"/>
    <mergeCell ref="A79:B79"/>
    <mergeCell ref="C79:D79"/>
    <mergeCell ref="F79:G79"/>
    <mergeCell ref="J73:K73"/>
    <mergeCell ref="M73:N73"/>
    <mergeCell ref="M74:N74"/>
    <mergeCell ref="A73:B73"/>
    <mergeCell ref="A74:B74"/>
    <mergeCell ref="C74:D74"/>
    <mergeCell ref="F74:G74"/>
    <mergeCell ref="H74:I74"/>
    <mergeCell ref="J74:K74"/>
    <mergeCell ref="A75:P75"/>
    <mergeCell ref="J77:K77"/>
    <mergeCell ref="M77:N77"/>
    <mergeCell ref="O77:P77"/>
    <mergeCell ref="Q77:R77"/>
    <mergeCell ref="H79:I79"/>
    <mergeCell ref="J79:K79"/>
    <mergeCell ref="Q79:R79"/>
    <mergeCell ref="S79:T79"/>
    <mergeCell ref="Q74:R74"/>
    <mergeCell ref="S74:T74"/>
    <mergeCell ref="A72:P72"/>
    <mergeCell ref="Q72:R72"/>
    <mergeCell ref="S72:T72"/>
    <mergeCell ref="C73:D73"/>
    <mergeCell ref="F73:G73"/>
    <mergeCell ref="H73:I73"/>
    <mergeCell ref="S73:T73"/>
    <mergeCell ref="Q75:R75"/>
    <mergeCell ref="S75:T75"/>
    <mergeCell ref="A76:P76"/>
    <mergeCell ref="Q76:R76"/>
    <mergeCell ref="S76:T76"/>
    <mergeCell ref="A77:B77"/>
    <mergeCell ref="C77:D77"/>
    <mergeCell ref="F77:G77"/>
    <mergeCell ref="S77:T77"/>
    <mergeCell ref="H77:I77"/>
    <mergeCell ref="R103:S103"/>
    <mergeCell ref="T103:U103"/>
    <mergeCell ref="D101:F101"/>
    <mergeCell ref="A102:O102"/>
    <mergeCell ref="P102:Q102"/>
    <mergeCell ref="R102:S102"/>
    <mergeCell ref="T102:U102"/>
    <mergeCell ref="A103:O103"/>
    <mergeCell ref="P103:Q103"/>
    <mergeCell ref="P107:Q107"/>
    <mergeCell ref="R107:S107"/>
    <mergeCell ref="Q70:R70"/>
    <mergeCell ref="S70:T70"/>
    <mergeCell ref="A70:B70"/>
    <mergeCell ref="C70:D70"/>
    <mergeCell ref="F70:G70"/>
    <mergeCell ref="H70:I70"/>
    <mergeCell ref="J70:K70"/>
    <mergeCell ref="M70:N70"/>
    <mergeCell ref="O70:P70"/>
    <mergeCell ref="Q71:R71"/>
    <mergeCell ref="S71:T71"/>
    <mergeCell ref="A71:B71"/>
    <mergeCell ref="C71:D71"/>
    <mergeCell ref="F71:G71"/>
    <mergeCell ref="H71:I71"/>
    <mergeCell ref="J71:K71"/>
    <mergeCell ref="M71:N71"/>
    <mergeCell ref="O71:P71"/>
    <mergeCell ref="O73:P73"/>
    <mergeCell ref="Q73:R73"/>
    <mergeCell ref="O74:P74"/>
    <mergeCell ref="T97:U97"/>
    <mergeCell ref="B96:C96"/>
    <mergeCell ref="B97:C97"/>
    <mergeCell ref="D97:F97"/>
    <mergeCell ref="G97:H97"/>
    <mergeCell ref="I97:J97"/>
    <mergeCell ref="L97:M97"/>
    <mergeCell ref="N97:O97"/>
    <mergeCell ref="G101:H101"/>
    <mergeCell ref="I101:J101"/>
    <mergeCell ref="A98:O98"/>
    <mergeCell ref="P98:Q98"/>
    <mergeCell ref="R98:S98"/>
    <mergeCell ref="T98:U98"/>
    <mergeCell ref="P99:Q99"/>
    <mergeCell ref="R99:S99"/>
    <mergeCell ref="T99:U99"/>
    <mergeCell ref="L101:M101"/>
    <mergeCell ref="N101:O101"/>
    <mergeCell ref="P101:Q101"/>
    <mergeCell ref="R101:S101"/>
    <mergeCell ref="A99:O99"/>
    <mergeCell ref="A100:O100"/>
    <mergeCell ref="P100:Q100"/>
    <mergeCell ref="R100:S100"/>
    <mergeCell ref="T100:U100"/>
    <mergeCell ref="B101:C101"/>
    <mergeCell ref="T101:U101"/>
    <mergeCell ref="R223:S223"/>
    <mergeCell ref="T223:U223"/>
    <mergeCell ref="B224:C224"/>
    <mergeCell ref="R239:S239"/>
    <mergeCell ref="T239:U239"/>
    <mergeCell ref="D237:F237"/>
    <mergeCell ref="A238:O238"/>
    <mergeCell ref="P238:Q238"/>
    <mergeCell ref="R238:S238"/>
    <mergeCell ref="T238:U238"/>
    <mergeCell ref="A239:O239"/>
    <mergeCell ref="P239:Q239"/>
    <mergeCell ref="Q94:R94"/>
    <mergeCell ref="S94:T94"/>
    <mergeCell ref="A92:P92"/>
    <mergeCell ref="Q92:R92"/>
    <mergeCell ref="S92:T92"/>
    <mergeCell ref="A93:P93"/>
    <mergeCell ref="Q93:R93"/>
    <mergeCell ref="S93:T93"/>
    <mergeCell ref="A94:P94"/>
    <mergeCell ref="P96:Q96"/>
    <mergeCell ref="R96:S96"/>
    <mergeCell ref="A95:V95"/>
    <mergeCell ref="D96:F96"/>
    <mergeCell ref="G96:H96"/>
    <mergeCell ref="I96:J96"/>
    <mergeCell ref="L96:M96"/>
    <mergeCell ref="N96:O96"/>
    <mergeCell ref="T96:U96"/>
    <mergeCell ref="P97:Q97"/>
    <mergeCell ref="R97:S97"/>
    <mergeCell ref="A217:O217"/>
    <mergeCell ref="P217:Q217"/>
    <mergeCell ref="R217:S217"/>
    <mergeCell ref="T217:U217"/>
    <mergeCell ref="P218:Q218"/>
    <mergeCell ref="R218:S218"/>
    <mergeCell ref="T218:U218"/>
    <mergeCell ref="A218:O218"/>
    <mergeCell ref="A219:O219"/>
    <mergeCell ref="P219:Q219"/>
    <mergeCell ref="R219:S219"/>
    <mergeCell ref="T219:U219"/>
    <mergeCell ref="A220:O220"/>
    <mergeCell ref="P220:Q220"/>
    <mergeCell ref="I222:J222"/>
    <mergeCell ref="L222:M222"/>
    <mergeCell ref="R222:S222"/>
    <mergeCell ref="T222:U222"/>
    <mergeCell ref="A221:O221"/>
    <mergeCell ref="P221:Q221"/>
    <mergeCell ref="R221:S221"/>
    <mergeCell ref="T221:U221"/>
    <mergeCell ref="B222:C222"/>
    <mergeCell ref="D222:F222"/>
    <mergeCell ref="G222:H222"/>
    <mergeCell ref="N222:O222"/>
    <mergeCell ref="P222:Q222"/>
    <mergeCell ref="A199:O199"/>
    <mergeCell ref="B200:C200"/>
    <mergeCell ref="D200:F200"/>
    <mergeCell ref="G200:H200"/>
    <mergeCell ref="I200:J200"/>
    <mergeCell ref="L200:M200"/>
    <mergeCell ref="N200:O200"/>
    <mergeCell ref="A201:O201"/>
    <mergeCell ref="P201:Q201"/>
    <mergeCell ref="R201:S201"/>
    <mergeCell ref="T201:U201"/>
    <mergeCell ref="P202:Q202"/>
    <mergeCell ref="R202:S202"/>
    <mergeCell ref="T202:U202"/>
    <mergeCell ref="R204:S204"/>
    <mergeCell ref="T204:U204"/>
    <mergeCell ref="A202:O202"/>
    <mergeCell ref="A203:O203"/>
    <mergeCell ref="P203:Q203"/>
    <mergeCell ref="R203:S203"/>
    <mergeCell ref="T203:U203"/>
    <mergeCell ref="A204:O204"/>
    <mergeCell ref="P204:Q204"/>
    <mergeCell ref="P199:Q199"/>
    <mergeCell ref="R199:S199"/>
    <mergeCell ref="R230:S230"/>
    <mergeCell ref="T230:U230"/>
    <mergeCell ref="D228:F228"/>
    <mergeCell ref="A229:O229"/>
    <mergeCell ref="P229:Q229"/>
    <mergeCell ref="R229:S229"/>
    <mergeCell ref="T229:U229"/>
    <mergeCell ref="A230:O230"/>
    <mergeCell ref="P230:Q230"/>
    <mergeCell ref="A206:O206"/>
    <mergeCell ref="P206:Q206"/>
    <mergeCell ref="R206:S206"/>
    <mergeCell ref="T206:U206"/>
    <mergeCell ref="P207:Q207"/>
    <mergeCell ref="R207:S207"/>
    <mergeCell ref="T207:U207"/>
    <mergeCell ref="A207:O207"/>
    <mergeCell ref="A208:O208"/>
    <mergeCell ref="P208:Q208"/>
    <mergeCell ref="R208:S208"/>
    <mergeCell ref="T208:U208"/>
    <mergeCell ref="A209:O209"/>
    <mergeCell ref="P209:Q209"/>
    <mergeCell ref="I211:J211"/>
    <mergeCell ref="L211:M211"/>
    <mergeCell ref="N211:O211"/>
    <mergeCell ref="P211:Q211"/>
    <mergeCell ref="R211:S211"/>
    <mergeCell ref="T211:U211"/>
    <mergeCell ref="R209:S209"/>
    <mergeCell ref="T209:U209"/>
    <mergeCell ref="A210:O210"/>
    <mergeCell ref="R220:S220"/>
    <mergeCell ref="T220:U220"/>
    <mergeCell ref="P226:Q226"/>
    <mergeCell ref="R226:S226"/>
    <mergeCell ref="D224:F224"/>
    <mergeCell ref="G224:H224"/>
    <mergeCell ref="A225:O225"/>
    <mergeCell ref="P225:Q225"/>
    <mergeCell ref="R225:S225"/>
    <mergeCell ref="T225:U225"/>
    <mergeCell ref="T226:U226"/>
    <mergeCell ref="G228:H228"/>
    <mergeCell ref="I228:J228"/>
    <mergeCell ref="L228:M228"/>
    <mergeCell ref="N228:O228"/>
    <mergeCell ref="P228:Q228"/>
    <mergeCell ref="R228:S228"/>
    <mergeCell ref="A226:O226"/>
    <mergeCell ref="A227:O227"/>
    <mergeCell ref="P227:Q227"/>
    <mergeCell ref="R227:S227"/>
    <mergeCell ref="T227:U227"/>
    <mergeCell ref="B228:C228"/>
    <mergeCell ref="T228:U228"/>
    <mergeCell ref="I224:J224"/>
    <mergeCell ref="L224:M224"/>
    <mergeCell ref="N224:O224"/>
    <mergeCell ref="P224:Q224"/>
    <mergeCell ref="R224:S224"/>
    <mergeCell ref="T224:U224"/>
    <mergeCell ref="A223:O223"/>
    <mergeCell ref="P223:Q223"/>
    <mergeCell ref="A212:O212"/>
    <mergeCell ref="P212:Q212"/>
    <mergeCell ref="R212:S212"/>
    <mergeCell ref="T212:U212"/>
    <mergeCell ref="T213:U213"/>
    <mergeCell ref="R215:S215"/>
    <mergeCell ref="T215:U215"/>
    <mergeCell ref="A213:O213"/>
    <mergeCell ref="A214:O214"/>
    <mergeCell ref="P214:Q214"/>
    <mergeCell ref="R214:S214"/>
    <mergeCell ref="T214:U214"/>
    <mergeCell ref="A215:O215"/>
    <mergeCell ref="P215:Q215"/>
    <mergeCell ref="R216:S216"/>
    <mergeCell ref="T216:U216"/>
    <mergeCell ref="B216:C216"/>
    <mergeCell ref="D216:F216"/>
    <mergeCell ref="G216:H216"/>
    <mergeCell ref="I216:J216"/>
    <mergeCell ref="L216:M216"/>
    <mergeCell ref="N216:O216"/>
    <mergeCell ref="P216:Q216"/>
    <mergeCell ref="P213:Q213"/>
    <mergeCell ref="R213:S213"/>
    <mergeCell ref="A123:O123"/>
    <mergeCell ref="P123:Q123"/>
    <mergeCell ref="R123:S123"/>
    <mergeCell ref="T123:U123"/>
    <mergeCell ref="P124:Q124"/>
    <mergeCell ref="R124:S124"/>
    <mergeCell ref="T124:U124"/>
    <mergeCell ref="R126:S126"/>
    <mergeCell ref="T126:U126"/>
    <mergeCell ref="A124:O124"/>
    <mergeCell ref="A125:O125"/>
    <mergeCell ref="P125:Q125"/>
    <mergeCell ref="R125:S125"/>
    <mergeCell ref="T125:U125"/>
    <mergeCell ref="A126:O126"/>
    <mergeCell ref="P126:Q126"/>
    <mergeCell ref="D211:F211"/>
    <mergeCell ref="G211:H211"/>
    <mergeCell ref="P210:Q210"/>
    <mergeCell ref="R210:S210"/>
    <mergeCell ref="T210:U210"/>
    <mergeCell ref="B211:C211"/>
    <mergeCell ref="R197:S197"/>
    <mergeCell ref="T197:U197"/>
    <mergeCell ref="A198:O198"/>
    <mergeCell ref="P198:Q198"/>
    <mergeCell ref="R198:S198"/>
    <mergeCell ref="T198:U198"/>
    <mergeCell ref="T199:U199"/>
    <mergeCell ref="P200:Q200"/>
    <mergeCell ref="R200:S200"/>
    <mergeCell ref="T200:U200"/>
    <mergeCell ref="R120:S120"/>
    <mergeCell ref="T120:U120"/>
    <mergeCell ref="D118:F118"/>
    <mergeCell ref="A119:O119"/>
    <mergeCell ref="P119:Q119"/>
    <mergeCell ref="R119:S119"/>
    <mergeCell ref="T119:U119"/>
    <mergeCell ref="A120:O120"/>
    <mergeCell ref="P120:Q120"/>
    <mergeCell ref="I122:J122"/>
    <mergeCell ref="L122:M122"/>
    <mergeCell ref="N122:O122"/>
    <mergeCell ref="P122:Q122"/>
    <mergeCell ref="R122:S122"/>
    <mergeCell ref="T122:U122"/>
    <mergeCell ref="A121:O121"/>
    <mergeCell ref="P121:Q121"/>
    <mergeCell ref="R121:S121"/>
    <mergeCell ref="T121:U121"/>
    <mergeCell ref="B122:C122"/>
    <mergeCell ref="D122:F122"/>
    <mergeCell ref="G122:H122"/>
    <mergeCell ref="G114:H114"/>
    <mergeCell ref="I114:J114"/>
    <mergeCell ref="P116:Q116"/>
    <mergeCell ref="R116:S116"/>
    <mergeCell ref="L114:M114"/>
    <mergeCell ref="N114:O114"/>
    <mergeCell ref="A115:O115"/>
    <mergeCell ref="P115:Q115"/>
    <mergeCell ref="R115:S115"/>
    <mergeCell ref="T115:U115"/>
    <mergeCell ref="T116:U116"/>
    <mergeCell ref="G118:H118"/>
    <mergeCell ref="I118:J118"/>
    <mergeCell ref="L118:M118"/>
    <mergeCell ref="N118:O118"/>
    <mergeCell ref="P118:Q118"/>
    <mergeCell ref="R118:S118"/>
    <mergeCell ref="A116:O116"/>
    <mergeCell ref="A117:O117"/>
    <mergeCell ref="P117:Q117"/>
    <mergeCell ref="R117:S117"/>
    <mergeCell ref="T117:U117"/>
    <mergeCell ref="B118:C118"/>
    <mergeCell ref="T118:U118"/>
    <mergeCell ref="T107:U107"/>
    <mergeCell ref="R109:S109"/>
    <mergeCell ref="T109:U109"/>
    <mergeCell ref="A107:O107"/>
    <mergeCell ref="A108:O108"/>
    <mergeCell ref="P108:Q108"/>
    <mergeCell ref="R108:S108"/>
    <mergeCell ref="T108:U108"/>
    <mergeCell ref="A109:O109"/>
    <mergeCell ref="P109:Q109"/>
    <mergeCell ref="R110:S110"/>
    <mergeCell ref="T110:U110"/>
    <mergeCell ref="B110:C110"/>
    <mergeCell ref="D110:F110"/>
    <mergeCell ref="G110:H110"/>
    <mergeCell ref="I110:J110"/>
    <mergeCell ref="L110:M110"/>
    <mergeCell ref="N110:O110"/>
    <mergeCell ref="P110:Q110"/>
    <mergeCell ref="Q69:R69"/>
    <mergeCell ref="S69:T69"/>
    <mergeCell ref="A67:B67"/>
    <mergeCell ref="A68:B68"/>
    <mergeCell ref="C68:D68"/>
    <mergeCell ref="F68:G68"/>
    <mergeCell ref="H68:I68"/>
    <mergeCell ref="J68:K68"/>
    <mergeCell ref="A69:P69"/>
    <mergeCell ref="A111:O111"/>
    <mergeCell ref="P111:Q111"/>
    <mergeCell ref="R111:S111"/>
    <mergeCell ref="T111:U111"/>
    <mergeCell ref="P112:Q112"/>
    <mergeCell ref="R112:S112"/>
    <mergeCell ref="T112:U112"/>
    <mergeCell ref="P114:Q114"/>
    <mergeCell ref="R114:S114"/>
    <mergeCell ref="A112:O112"/>
    <mergeCell ref="A113:O113"/>
    <mergeCell ref="P113:Q113"/>
    <mergeCell ref="R113:S113"/>
    <mergeCell ref="T113:U113"/>
    <mergeCell ref="B114:C114"/>
    <mergeCell ref="D114:F114"/>
    <mergeCell ref="T114:U114"/>
    <mergeCell ref="N105:O105"/>
    <mergeCell ref="P105:Q105"/>
    <mergeCell ref="A106:O106"/>
    <mergeCell ref="P106:Q106"/>
    <mergeCell ref="R106:S106"/>
    <mergeCell ref="T106:U106"/>
    <mergeCell ref="Q64:R64"/>
    <mergeCell ref="S64:T64"/>
    <mergeCell ref="A64:P64"/>
    <mergeCell ref="A65:B65"/>
    <mergeCell ref="C65:D65"/>
    <mergeCell ref="F65:G65"/>
    <mergeCell ref="H65:I65"/>
    <mergeCell ref="J65:K65"/>
    <mergeCell ref="M65:N65"/>
    <mergeCell ref="J67:K67"/>
    <mergeCell ref="M67:N67"/>
    <mergeCell ref="M68:N68"/>
    <mergeCell ref="O67:P67"/>
    <mergeCell ref="Q67:R67"/>
    <mergeCell ref="O68:P68"/>
    <mergeCell ref="Q68:R68"/>
    <mergeCell ref="S68:T68"/>
    <mergeCell ref="A66:P66"/>
    <mergeCell ref="Q66:R66"/>
    <mergeCell ref="S66:T66"/>
    <mergeCell ref="C67:D67"/>
    <mergeCell ref="F67:G67"/>
    <mergeCell ref="H67:I67"/>
    <mergeCell ref="S67:T67"/>
    <mergeCell ref="J62:K62"/>
    <mergeCell ref="M62:N62"/>
    <mergeCell ref="O62:P62"/>
    <mergeCell ref="Q62:R62"/>
    <mergeCell ref="F60:G60"/>
    <mergeCell ref="H60:I60"/>
    <mergeCell ref="A61:P61"/>
    <mergeCell ref="Q61:R61"/>
    <mergeCell ref="S61:T61"/>
    <mergeCell ref="A62:B62"/>
    <mergeCell ref="C62:D62"/>
    <mergeCell ref="S62:T62"/>
    <mergeCell ref="F62:G62"/>
    <mergeCell ref="H62:I62"/>
    <mergeCell ref="A63:P63"/>
    <mergeCell ref="Q63:R63"/>
    <mergeCell ref="S63:T63"/>
    <mergeCell ref="J58:K58"/>
    <mergeCell ref="M58:N58"/>
    <mergeCell ref="O58:P58"/>
    <mergeCell ref="Q58:R58"/>
    <mergeCell ref="F56:G56"/>
    <mergeCell ref="H56:I56"/>
    <mergeCell ref="A57:P57"/>
    <mergeCell ref="Q57:R57"/>
    <mergeCell ref="S57:T57"/>
    <mergeCell ref="A58:B58"/>
    <mergeCell ref="C58:D58"/>
    <mergeCell ref="S58:T58"/>
    <mergeCell ref="J60:K60"/>
    <mergeCell ref="M60:N60"/>
    <mergeCell ref="O60:P60"/>
    <mergeCell ref="Q60:R60"/>
    <mergeCell ref="F58:G58"/>
    <mergeCell ref="H58:I58"/>
    <mergeCell ref="A59:P59"/>
    <mergeCell ref="Q59:R59"/>
    <mergeCell ref="S59:T59"/>
    <mergeCell ref="A60:B60"/>
    <mergeCell ref="C60:D60"/>
    <mergeCell ref="S60:T60"/>
    <mergeCell ref="Q52:R52"/>
    <mergeCell ref="S52:T52"/>
    <mergeCell ref="Q53:R53"/>
    <mergeCell ref="S53:T53"/>
    <mergeCell ref="A53:P53"/>
    <mergeCell ref="A54:B54"/>
    <mergeCell ref="C54:D54"/>
    <mergeCell ref="F54:G54"/>
    <mergeCell ref="H54:I54"/>
    <mergeCell ref="J54:K54"/>
    <mergeCell ref="M54:N54"/>
    <mergeCell ref="S54:T54"/>
    <mergeCell ref="J56:K56"/>
    <mergeCell ref="M56:N56"/>
    <mergeCell ref="O56:P56"/>
    <mergeCell ref="Q56:R56"/>
    <mergeCell ref="O54:P54"/>
    <mergeCell ref="Q54:R54"/>
    <mergeCell ref="A55:P55"/>
    <mergeCell ref="Q55:R55"/>
    <mergeCell ref="S55:T55"/>
    <mergeCell ref="A56:B56"/>
    <mergeCell ref="C56:D56"/>
    <mergeCell ref="S56:T56"/>
    <mergeCell ref="H48:I48"/>
    <mergeCell ref="J48:K48"/>
    <mergeCell ref="M48:N48"/>
    <mergeCell ref="O48:P48"/>
    <mergeCell ref="Q48:R48"/>
    <mergeCell ref="S48:T48"/>
    <mergeCell ref="O46:P46"/>
    <mergeCell ref="A47:P47"/>
    <mergeCell ref="Q47:R47"/>
    <mergeCell ref="S47:T47"/>
    <mergeCell ref="A48:B48"/>
    <mergeCell ref="C48:D48"/>
    <mergeCell ref="F48:G48"/>
    <mergeCell ref="O65:P65"/>
    <mergeCell ref="Q65:R65"/>
    <mergeCell ref="S65:T65"/>
    <mergeCell ref="C51:D51"/>
    <mergeCell ref="F51:G51"/>
    <mergeCell ref="M51:N51"/>
    <mergeCell ref="O51:P51"/>
    <mergeCell ref="Q51:R51"/>
    <mergeCell ref="S51:T51"/>
    <mergeCell ref="A49:P49"/>
    <mergeCell ref="Q49:R49"/>
    <mergeCell ref="S49:T49"/>
    <mergeCell ref="A50:P50"/>
    <mergeCell ref="Q50:R50"/>
    <mergeCell ref="S50:T50"/>
    <mergeCell ref="A51:B51"/>
    <mergeCell ref="H51:I51"/>
    <mergeCell ref="J51:K51"/>
    <mergeCell ref="A52:P52"/>
    <mergeCell ref="F46:G46"/>
    <mergeCell ref="H46:I46"/>
    <mergeCell ref="Q45:R45"/>
    <mergeCell ref="Q46:R46"/>
    <mergeCell ref="Q42:R42"/>
    <mergeCell ref="S42:T42"/>
    <mergeCell ref="Q43:R43"/>
    <mergeCell ref="S43:T43"/>
    <mergeCell ref="Q44:R44"/>
    <mergeCell ref="S44:T44"/>
    <mergeCell ref="S45:T45"/>
    <mergeCell ref="S46:T46"/>
    <mergeCell ref="J46:K46"/>
    <mergeCell ref="M46:N46"/>
    <mergeCell ref="M42:N42"/>
    <mergeCell ref="O42:P42"/>
    <mergeCell ref="A43:P43"/>
    <mergeCell ref="A44:P44"/>
    <mergeCell ref="A45:P45"/>
    <mergeCell ref="A46:B46"/>
    <mergeCell ref="C46:D46"/>
    <mergeCell ref="A39:P39"/>
    <mergeCell ref="Q39:R39"/>
    <mergeCell ref="S39:T39"/>
    <mergeCell ref="A40:B40"/>
    <mergeCell ref="C40:D40"/>
    <mergeCell ref="F40:G40"/>
    <mergeCell ref="S40:T40"/>
    <mergeCell ref="H40:I40"/>
    <mergeCell ref="A41:P41"/>
    <mergeCell ref="Q41:R41"/>
    <mergeCell ref="S41:T41"/>
    <mergeCell ref="A42:B42"/>
    <mergeCell ref="C42:D42"/>
    <mergeCell ref="F42:G42"/>
    <mergeCell ref="J38:K38"/>
    <mergeCell ref="M38:N38"/>
    <mergeCell ref="F36:G36"/>
    <mergeCell ref="H36:I36"/>
    <mergeCell ref="A37:P37"/>
    <mergeCell ref="Q37:R37"/>
    <mergeCell ref="S37:T37"/>
    <mergeCell ref="A38:B38"/>
    <mergeCell ref="C38:D38"/>
    <mergeCell ref="J40:K40"/>
    <mergeCell ref="M40:N40"/>
    <mergeCell ref="O40:P40"/>
    <mergeCell ref="Q40:R40"/>
    <mergeCell ref="H42:I42"/>
    <mergeCell ref="J42:K42"/>
    <mergeCell ref="J34:K34"/>
    <mergeCell ref="M34:N34"/>
    <mergeCell ref="A33:P33"/>
    <mergeCell ref="Q33:R33"/>
    <mergeCell ref="S33:T33"/>
    <mergeCell ref="A34:B34"/>
    <mergeCell ref="C34:D34"/>
    <mergeCell ref="F34:G34"/>
    <mergeCell ref="H34:I34"/>
    <mergeCell ref="S34:T34"/>
    <mergeCell ref="J36:K36"/>
    <mergeCell ref="M36:N36"/>
    <mergeCell ref="O36:P36"/>
    <mergeCell ref="Q36:R36"/>
    <mergeCell ref="O34:P34"/>
    <mergeCell ref="Q34:R34"/>
    <mergeCell ref="A35:P35"/>
    <mergeCell ref="Q35:R35"/>
    <mergeCell ref="S35:T35"/>
    <mergeCell ref="A36:B36"/>
    <mergeCell ref="C36:D36"/>
    <mergeCell ref="S36:T36"/>
    <mergeCell ref="H29:I29"/>
    <mergeCell ref="A30:P30"/>
    <mergeCell ref="Q30:R30"/>
    <mergeCell ref="S30:T30"/>
    <mergeCell ref="A31:B31"/>
    <mergeCell ref="C31:D31"/>
    <mergeCell ref="S31:T31"/>
    <mergeCell ref="M32:N32"/>
    <mergeCell ref="O32:P32"/>
    <mergeCell ref="Q32:R32"/>
    <mergeCell ref="S32:T32"/>
    <mergeCell ref="F31:G31"/>
    <mergeCell ref="H31:I31"/>
    <mergeCell ref="A32:B32"/>
    <mergeCell ref="C32:D32"/>
    <mergeCell ref="F32:G32"/>
    <mergeCell ref="H32:I32"/>
    <mergeCell ref="J32:K32"/>
    <mergeCell ref="F38:G38"/>
    <mergeCell ref="H38:I38"/>
    <mergeCell ref="O38:P38"/>
    <mergeCell ref="Q38:R38"/>
    <mergeCell ref="S38:T38"/>
    <mergeCell ref="J24:K24"/>
    <mergeCell ref="M24:N24"/>
    <mergeCell ref="A23:P23"/>
    <mergeCell ref="Q23:R23"/>
    <mergeCell ref="S23:T23"/>
    <mergeCell ref="A24:B24"/>
    <mergeCell ref="C24:D24"/>
    <mergeCell ref="F24:G24"/>
    <mergeCell ref="H24:I24"/>
    <mergeCell ref="S24:T24"/>
    <mergeCell ref="J29:K29"/>
    <mergeCell ref="M29:N29"/>
    <mergeCell ref="O29:P29"/>
    <mergeCell ref="Q29:R29"/>
    <mergeCell ref="O27:P27"/>
    <mergeCell ref="Q27:R27"/>
    <mergeCell ref="A28:P28"/>
    <mergeCell ref="Q28:R28"/>
    <mergeCell ref="S28:T28"/>
    <mergeCell ref="A29:B29"/>
    <mergeCell ref="C29:D29"/>
    <mergeCell ref="S29:T29"/>
    <mergeCell ref="J31:K31"/>
    <mergeCell ref="M31:N31"/>
    <mergeCell ref="O31:P31"/>
    <mergeCell ref="Q31:R31"/>
    <mergeCell ref="F29:G29"/>
    <mergeCell ref="A27:B27"/>
    <mergeCell ref="C27:D27"/>
    <mergeCell ref="F27:G27"/>
    <mergeCell ref="H27:I27"/>
    <mergeCell ref="J27:K27"/>
    <mergeCell ref="M27:N27"/>
    <mergeCell ref="S27:T27"/>
    <mergeCell ref="M17:N17"/>
    <mergeCell ref="O17:P17"/>
    <mergeCell ref="O16:P16"/>
    <mergeCell ref="Q16:R16"/>
    <mergeCell ref="A17:B17"/>
    <mergeCell ref="C17:D17"/>
    <mergeCell ref="F17:G17"/>
    <mergeCell ref="H17:I17"/>
    <mergeCell ref="J17:K17"/>
    <mergeCell ref="J19:K19"/>
    <mergeCell ref="M19:N19"/>
    <mergeCell ref="O19:P19"/>
    <mergeCell ref="Q19:R19"/>
    <mergeCell ref="A18:P18"/>
    <mergeCell ref="Q18:R18"/>
    <mergeCell ref="S18:T18"/>
    <mergeCell ref="A19:B19"/>
    <mergeCell ref="C19:D19"/>
    <mergeCell ref="F19:G19"/>
    <mergeCell ref="S19:T19"/>
    <mergeCell ref="H19:I19"/>
    <mergeCell ref="A20:P20"/>
    <mergeCell ref="Q20:R20"/>
    <mergeCell ref="S20:T20"/>
    <mergeCell ref="A21:P21"/>
    <mergeCell ref="Q17:R17"/>
    <mergeCell ref="S17:T17"/>
    <mergeCell ref="Q22:R22"/>
    <mergeCell ref="S22:T22"/>
    <mergeCell ref="A22:B22"/>
    <mergeCell ref="C22:D22"/>
    <mergeCell ref="F22:G22"/>
    <mergeCell ref="H22:I22"/>
    <mergeCell ref="J22:K22"/>
    <mergeCell ref="M22:N22"/>
    <mergeCell ref="O22:P22"/>
    <mergeCell ref="O24:P24"/>
    <mergeCell ref="Q24:R24"/>
    <mergeCell ref="A25:P25"/>
    <mergeCell ref="Q25:R25"/>
    <mergeCell ref="S25:T25"/>
    <mergeCell ref="Q26:R26"/>
    <mergeCell ref="S26:T26"/>
    <mergeCell ref="A26:P26"/>
    <mergeCell ref="Q21:R21"/>
    <mergeCell ref="S21:T21"/>
    <mergeCell ref="J16:K16"/>
    <mergeCell ref="M16:N16"/>
    <mergeCell ref="A15:P15"/>
    <mergeCell ref="Q15:R15"/>
    <mergeCell ref="S15:T15"/>
    <mergeCell ref="A16:B16"/>
    <mergeCell ref="C16:D16"/>
    <mergeCell ref="F16:G16"/>
    <mergeCell ref="H16:I16"/>
    <mergeCell ref="S16:T16"/>
    <mergeCell ref="A7:P7"/>
    <mergeCell ref="Q7:R7"/>
    <mergeCell ref="S7:T7"/>
    <mergeCell ref="A4:P4"/>
    <mergeCell ref="Q4:R4"/>
    <mergeCell ref="S4:T4"/>
    <mergeCell ref="A5:P5"/>
    <mergeCell ref="Q5:R5"/>
    <mergeCell ref="S5:T5"/>
    <mergeCell ref="A6:B6"/>
    <mergeCell ref="M8:N8"/>
    <mergeCell ref="O8:P8"/>
    <mergeCell ref="Q8:R8"/>
    <mergeCell ref="S8:T8"/>
    <mergeCell ref="C6:D6"/>
    <mergeCell ref="F6:G6"/>
    <mergeCell ref="A8:B8"/>
    <mergeCell ref="C8:D8"/>
    <mergeCell ref="F8:G8"/>
    <mergeCell ref="H8:I8"/>
    <mergeCell ref="J8:K8"/>
    <mergeCell ref="J10:K10"/>
    <mergeCell ref="Q13:R13"/>
    <mergeCell ref="S13:T13"/>
    <mergeCell ref="A13:B13"/>
    <mergeCell ref="C13:D13"/>
    <mergeCell ref="F13:G13"/>
    <mergeCell ref="H13:I13"/>
    <mergeCell ref="J13:K13"/>
    <mergeCell ref="M13:N13"/>
    <mergeCell ref="O13:P13"/>
    <mergeCell ref="Q14:R14"/>
    <mergeCell ref="S14:T14"/>
    <mergeCell ref="A14:B14"/>
    <mergeCell ref="C14:D14"/>
    <mergeCell ref="F14:G14"/>
    <mergeCell ref="H14:I14"/>
    <mergeCell ref="J14:K14"/>
    <mergeCell ref="M14:N14"/>
    <mergeCell ref="O14:P14"/>
    <mergeCell ref="M6:N6"/>
    <mergeCell ref="O6:P6"/>
    <mergeCell ref="Q6:R6"/>
    <mergeCell ref="S6:T6"/>
    <mergeCell ref="A9:P9"/>
    <mergeCell ref="Q9:R9"/>
    <mergeCell ref="S9:T9"/>
    <mergeCell ref="A10:B10"/>
    <mergeCell ref="C10:D10"/>
    <mergeCell ref="F10:G10"/>
    <mergeCell ref="S10:T10"/>
    <mergeCell ref="H10:I10"/>
    <mergeCell ref="A11:P11"/>
    <mergeCell ref="Q11:R11"/>
    <mergeCell ref="S11:T11"/>
    <mergeCell ref="A12:P12"/>
    <mergeCell ref="Q12:R12"/>
    <mergeCell ref="S12:T12"/>
    <mergeCell ref="M10:N10"/>
    <mergeCell ref="O10:P10"/>
    <mergeCell ref="Q10:R10"/>
    <mergeCell ref="L1161:M1161"/>
    <mergeCell ref="N1161:O1161"/>
    <mergeCell ref="P1161:Q1161"/>
    <mergeCell ref="R1161:S1161"/>
    <mergeCell ref="G1159:H1159"/>
    <mergeCell ref="I1159:J1159"/>
    <mergeCell ref="A1160:O1160"/>
    <mergeCell ref="P1160:Q1160"/>
    <mergeCell ref="R1160:S1160"/>
    <mergeCell ref="B1161:C1161"/>
    <mergeCell ref="D1161:F1161"/>
    <mergeCell ref="O2:P2"/>
    <mergeCell ref="Q2:R2"/>
    <mergeCell ref="A1:V1"/>
    <mergeCell ref="C2:D2"/>
    <mergeCell ref="F2:G2"/>
    <mergeCell ref="H2:I2"/>
    <mergeCell ref="J2:K2"/>
    <mergeCell ref="M2:N2"/>
    <mergeCell ref="S2:T2"/>
    <mergeCell ref="O3:P3"/>
    <mergeCell ref="Q3:R3"/>
    <mergeCell ref="S3:T3"/>
    <mergeCell ref="A2:B2"/>
    <mergeCell ref="A3:B3"/>
    <mergeCell ref="C3:D3"/>
    <mergeCell ref="F3:G3"/>
    <mergeCell ref="H3:I3"/>
    <mergeCell ref="J3:K3"/>
    <mergeCell ref="M3:N3"/>
    <mergeCell ref="H6:I6"/>
    <mergeCell ref="J6:K6"/>
    <mergeCell ref="L1157:M1157"/>
    <mergeCell ref="N1157:O1157"/>
    <mergeCell ref="P1157:Q1157"/>
    <mergeCell ref="R1157:S1157"/>
    <mergeCell ref="G1155:H1155"/>
    <mergeCell ref="I1155:J1155"/>
    <mergeCell ref="A1156:O1156"/>
    <mergeCell ref="P1156:Q1156"/>
    <mergeCell ref="R1156:S1156"/>
    <mergeCell ref="B1157:C1157"/>
    <mergeCell ref="D1157:F1157"/>
    <mergeCell ref="L1159:M1159"/>
    <mergeCell ref="N1159:O1159"/>
    <mergeCell ref="P1159:Q1159"/>
    <mergeCell ref="R1159:S1159"/>
    <mergeCell ref="G1157:H1157"/>
    <mergeCell ref="I1157:J1157"/>
    <mergeCell ref="A1158:O1158"/>
    <mergeCell ref="P1158:Q1158"/>
    <mergeCell ref="R1158:S1158"/>
    <mergeCell ref="B1159:C1159"/>
    <mergeCell ref="D1159:F1159"/>
    <mergeCell ref="L1153:M1153"/>
    <mergeCell ref="N1153:O1153"/>
    <mergeCell ref="P1153:Q1153"/>
    <mergeCell ref="R1153:S1153"/>
    <mergeCell ref="G1151:H1151"/>
    <mergeCell ref="I1151:J1151"/>
    <mergeCell ref="A1152:O1152"/>
    <mergeCell ref="P1152:Q1152"/>
    <mergeCell ref="R1152:S1152"/>
    <mergeCell ref="B1153:C1153"/>
    <mergeCell ref="D1153:F1153"/>
    <mergeCell ref="L1155:M1155"/>
    <mergeCell ref="N1155:O1155"/>
    <mergeCell ref="P1155:Q1155"/>
    <mergeCell ref="R1155:S1155"/>
    <mergeCell ref="G1153:H1153"/>
    <mergeCell ref="I1153:J1153"/>
    <mergeCell ref="A1154:O1154"/>
    <mergeCell ref="P1154:Q1154"/>
    <mergeCell ref="R1154:S1154"/>
    <mergeCell ref="B1155:C1155"/>
    <mergeCell ref="D1155:F1155"/>
    <mergeCell ref="P1149:Q1149"/>
    <mergeCell ref="R1149:S1149"/>
    <mergeCell ref="A1148:O1148"/>
    <mergeCell ref="P1148:Q1148"/>
    <mergeCell ref="R1148:S1148"/>
    <mergeCell ref="B1149:C1149"/>
    <mergeCell ref="D1149:F1149"/>
    <mergeCell ref="G1149:H1149"/>
    <mergeCell ref="I1149:J1149"/>
    <mergeCell ref="L1151:M1151"/>
    <mergeCell ref="N1151:O1151"/>
    <mergeCell ref="P1151:Q1151"/>
    <mergeCell ref="R1151:S1151"/>
    <mergeCell ref="L1149:M1149"/>
    <mergeCell ref="N1149:O1149"/>
    <mergeCell ref="A1150:O1150"/>
    <mergeCell ref="P1150:Q1150"/>
    <mergeCell ref="R1150:S1150"/>
    <mergeCell ref="B1151:C1151"/>
    <mergeCell ref="D1151:F1151"/>
    <mergeCell ref="N1141:O1141"/>
    <mergeCell ref="P1141:Q1141"/>
    <mergeCell ref="R1141:S1141"/>
    <mergeCell ref="G1140:H1140"/>
    <mergeCell ref="I1140:J1140"/>
    <mergeCell ref="B1141:C1141"/>
    <mergeCell ref="D1141:F1141"/>
    <mergeCell ref="G1141:H1141"/>
    <mergeCell ref="I1141:J1141"/>
    <mergeCell ref="L1141:M1141"/>
    <mergeCell ref="P1147:Q1147"/>
    <mergeCell ref="R1147:S1147"/>
    <mergeCell ref="A1146:O1146"/>
    <mergeCell ref="P1146:Q1146"/>
    <mergeCell ref="R1146:S1146"/>
    <mergeCell ref="B1147:C1147"/>
    <mergeCell ref="D1147:F1147"/>
    <mergeCell ref="G1147:H1147"/>
    <mergeCell ref="I1147:J1147"/>
    <mergeCell ref="R1133:S1133"/>
    <mergeCell ref="B1134:C1134"/>
    <mergeCell ref="D1134:F1134"/>
    <mergeCell ref="L1136:M1136"/>
    <mergeCell ref="N1136:O1136"/>
    <mergeCell ref="P1136:Q1136"/>
    <mergeCell ref="R1136:S1136"/>
    <mergeCell ref="G1134:H1134"/>
    <mergeCell ref="I1134:J1134"/>
    <mergeCell ref="A1135:O1135"/>
    <mergeCell ref="P1135:Q1135"/>
    <mergeCell ref="R1135:S1135"/>
    <mergeCell ref="B1136:C1136"/>
    <mergeCell ref="D1136:F1136"/>
    <mergeCell ref="L1138:M1138"/>
    <mergeCell ref="N1138:O1138"/>
    <mergeCell ref="P1138:Q1138"/>
    <mergeCell ref="R1138:S1138"/>
    <mergeCell ref="G1136:H1136"/>
    <mergeCell ref="I1136:J1136"/>
    <mergeCell ref="A1137:O1137"/>
    <mergeCell ref="P1137:Q1137"/>
    <mergeCell ref="R1137:S1137"/>
    <mergeCell ref="B1138:C1138"/>
    <mergeCell ref="D1138:F1138"/>
    <mergeCell ref="L1143:M1143"/>
    <mergeCell ref="N1143:O1143"/>
    <mergeCell ref="L1130:M1130"/>
    <mergeCell ref="N1130:O1130"/>
    <mergeCell ref="P1130:Q1130"/>
    <mergeCell ref="R1130:S1130"/>
    <mergeCell ref="G1128:H1128"/>
    <mergeCell ref="I1128:J1128"/>
    <mergeCell ref="A1129:O1129"/>
    <mergeCell ref="P1129:Q1129"/>
    <mergeCell ref="R1129:S1129"/>
    <mergeCell ref="B1130:C1130"/>
    <mergeCell ref="D1130:F1130"/>
    <mergeCell ref="L1132:M1132"/>
    <mergeCell ref="N1132:O1132"/>
    <mergeCell ref="P1132:Q1132"/>
    <mergeCell ref="R1132:S1132"/>
    <mergeCell ref="G1130:H1130"/>
    <mergeCell ref="I1130:J1130"/>
    <mergeCell ref="A1131:O1131"/>
    <mergeCell ref="P1131:Q1131"/>
    <mergeCell ref="R1131:S1131"/>
    <mergeCell ref="B1132:C1132"/>
    <mergeCell ref="D1132:F1132"/>
    <mergeCell ref="L1134:M1134"/>
    <mergeCell ref="N1134:O1134"/>
    <mergeCell ref="P1134:Q1134"/>
    <mergeCell ref="R1134:S1134"/>
    <mergeCell ref="G1132:H1132"/>
    <mergeCell ref="I1132:J1132"/>
    <mergeCell ref="A1133:O1133"/>
    <mergeCell ref="P1133:Q1133"/>
    <mergeCell ref="L1140:M1140"/>
    <mergeCell ref="N1140:O1140"/>
    <mergeCell ref="P1140:Q1140"/>
    <mergeCell ref="R1140:S1140"/>
    <mergeCell ref="G1138:H1138"/>
    <mergeCell ref="I1138:J1138"/>
    <mergeCell ref="A1139:O1139"/>
    <mergeCell ref="P1139:Q1139"/>
    <mergeCell ref="R1139:S1139"/>
    <mergeCell ref="B1140:C1140"/>
    <mergeCell ref="D1140:F1140"/>
    <mergeCell ref="L1096:M1096"/>
    <mergeCell ref="N1096:O1096"/>
    <mergeCell ref="G1094:H1094"/>
    <mergeCell ref="I1094:J1094"/>
    <mergeCell ref="A1095:O1095"/>
    <mergeCell ref="P1095:Q1095"/>
    <mergeCell ref="R1095:S1095"/>
    <mergeCell ref="B1096:C1096"/>
    <mergeCell ref="D1096:F1096"/>
    <mergeCell ref="L1098:M1098"/>
    <mergeCell ref="N1098:O1098"/>
    <mergeCell ref="P1098:Q1098"/>
    <mergeCell ref="R1098:S1098"/>
    <mergeCell ref="A1097:O1097"/>
    <mergeCell ref="P1097:Q1097"/>
    <mergeCell ref="R1097:S1097"/>
    <mergeCell ref="B1098:C1098"/>
    <mergeCell ref="D1098:F1098"/>
    <mergeCell ref="G1098:H1098"/>
    <mergeCell ref="I1098:J1098"/>
    <mergeCell ref="L1100:M1100"/>
    <mergeCell ref="L1126:M1126"/>
    <mergeCell ref="N1126:O1126"/>
    <mergeCell ref="P1126:Q1126"/>
    <mergeCell ref="R1126:S1126"/>
    <mergeCell ref="G1124:H1124"/>
    <mergeCell ref="I1124:J1124"/>
    <mergeCell ref="A1125:O1125"/>
    <mergeCell ref="P1125:Q1125"/>
    <mergeCell ref="R1125:S1125"/>
    <mergeCell ref="B1126:C1126"/>
    <mergeCell ref="D1126:F1126"/>
    <mergeCell ref="L1128:M1128"/>
    <mergeCell ref="N1128:O1128"/>
    <mergeCell ref="P1128:Q1128"/>
    <mergeCell ref="R1128:S1128"/>
    <mergeCell ref="G1126:H1126"/>
    <mergeCell ref="I1126:J1126"/>
    <mergeCell ref="A1127:O1127"/>
    <mergeCell ref="P1127:Q1127"/>
    <mergeCell ref="R1127:S1127"/>
    <mergeCell ref="B1128:C1128"/>
    <mergeCell ref="D1128:F1128"/>
    <mergeCell ref="L1122:M1122"/>
    <mergeCell ref="N1122:O1122"/>
    <mergeCell ref="P1122:Q1122"/>
    <mergeCell ref="R1122:S1122"/>
    <mergeCell ref="G1120:H1120"/>
    <mergeCell ref="I1120:J1120"/>
    <mergeCell ref="A1121:O1121"/>
    <mergeCell ref="P1121:Q1121"/>
    <mergeCell ref="R1121:S1121"/>
    <mergeCell ref="B1122:C1122"/>
    <mergeCell ref="D1122:F1122"/>
    <mergeCell ref="L1124:M1124"/>
    <mergeCell ref="N1124:O1124"/>
    <mergeCell ref="P1124:Q1124"/>
    <mergeCell ref="R1124:S1124"/>
    <mergeCell ref="G1122:H1122"/>
    <mergeCell ref="I1122:J1122"/>
    <mergeCell ref="A1123:O1123"/>
    <mergeCell ref="P1123:Q1123"/>
    <mergeCell ref="R1123:S1123"/>
    <mergeCell ref="B1124:C1124"/>
    <mergeCell ref="D1124:F1124"/>
    <mergeCell ref="L1118:M1118"/>
    <mergeCell ref="N1118:O1118"/>
    <mergeCell ref="P1118:Q1118"/>
    <mergeCell ref="R1118:S1118"/>
    <mergeCell ref="G1116:H1116"/>
    <mergeCell ref="I1116:J1116"/>
    <mergeCell ref="A1117:O1117"/>
    <mergeCell ref="P1117:Q1117"/>
    <mergeCell ref="R1117:S1117"/>
    <mergeCell ref="B1118:C1118"/>
    <mergeCell ref="D1118:F1118"/>
    <mergeCell ref="L1120:M1120"/>
    <mergeCell ref="N1120:O1120"/>
    <mergeCell ref="P1120:Q1120"/>
    <mergeCell ref="R1120:S1120"/>
    <mergeCell ref="G1118:H1118"/>
    <mergeCell ref="I1118:J1118"/>
    <mergeCell ref="A1119:O1119"/>
    <mergeCell ref="P1119:Q1119"/>
    <mergeCell ref="R1119:S1119"/>
    <mergeCell ref="B1120:C1120"/>
    <mergeCell ref="D1120:F1120"/>
    <mergeCell ref="I1114:J1114"/>
    <mergeCell ref="L1114:M1114"/>
    <mergeCell ref="N1114:O1114"/>
    <mergeCell ref="P1114:Q1114"/>
    <mergeCell ref="A1112:O1112"/>
    <mergeCell ref="P1112:Q1112"/>
    <mergeCell ref="R1112:S1112"/>
    <mergeCell ref="A1113:O1113"/>
    <mergeCell ref="P1113:Q1113"/>
    <mergeCell ref="R1113:S1113"/>
    <mergeCell ref="B1114:C1114"/>
    <mergeCell ref="R1114:S1114"/>
    <mergeCell ref="L1116:M1116"/>
    <mergeCell ref="N1116:O1116"/>
    <mergeCell ref="P1116:Q1116"/>
    <mergeCell ref="R1116:S1116"/>
    <mergeCell ref="D1114:F1114"/>
    <mergeCell ref="G1114:H1114"/>
    <mergeCell ref="A1115:O1115"/>
    <mergeCell ref="P1115:Q1115"/>
    <mergeCell ref="R1115:S1115"/>
    <mergeCell ref="B1116:C1116"/>
    <mergeCell ref="D1116:F1116"/>
    <mergeCell ref="L1110:M1110"/>
    <mergeCell ref="N1110:O1110"/>
    <mergeCell ref="P1110:Q1110"/>
    <mergeCell ref="R1110:S1110"/>
    <mergeCell ref="G1108:H1108"/>
    <mergeCell ref="I1108:J1108"/>
    <mergeCell ref="A1109:O1109"/>
    <mergeCell ref="P1109:Q1109"/>
    <mergeCell ref="R1109:S1109"/>
    <mergeCell ref="B1110:C1110"/>
    <mergeCell ref="D1110:F1110"/>
    <mergeCell ref="N1111:O1111"/>
    <mergeCell ref="P1111:Q1111"/>
    <mergeCell ref="R1111:S1111"/>
    <mergeCell ref="G1110:H1110"/>
    <mergeCell ref="I1110:J1110"/>
    <mergeCell ref="B1111:C1111"/>
    <mergeCell ref="D1111:F1111"/>
    <mergeCell ref="G1111:H1111"/>
    <mergeCell ref="I1111:J1111"/>
    <mergeCell ref="L1111:M1111"/>
    <mergeCell ref="L1106:M1106"/>
    <mergeCell ref="N1106:O1106"/>
    <mergeCell ref="P1106:Q1106"/>
    <mergeCell ref="R1106:S1106"/>
    <mergeCell ref="G1104:H1104"/>
    <mergeCell ref="I1104:J1104"/>
    <mergeCell ref="A1105:O1105"/>
    <mergeCell ref="P1105:Q1105"/>
    <mergeCell ref="R1105:S1105"/>
    <mergeCell ref="B1106:C1106"/>
    <mergeCell ref="D1106:F1106"/>
    <mergeCell ref="L1108:M1108"/>
    <mergeCell ref="N1108:O1108"/>
    <mergeCell ref="P1108:Q1108"/>
    <mergeCell ref="R1108:S1108"/>
    <mergeCell ref="G1106:H1106"/>
    <mergeCell ref="I1106:J1106"/>
    <mergeCell ref="A1107:O1107"/>
    <mergeCell ref="P1107:Q1107"/>
    <mergeCell ref="R1107:S1107"/>
    <mergeCell ref="B1108:C1108"/>
    <mergeCell ref="D1108:F1108"/>
    <mergeCell ref="P1102:Q1102"/>
    <mergeCell ref="R1102:S1102"/>
    <mergeCell ref="A1101:O1101"/>
    <mergeCell ref="P1101:Q1101"/>
    <mergeCell ref="R1101:S1101"/>
    <mergeCell ref="B1102:C1102"/>
    <mergeCell ref="D1102:F1102"/>
    <mergeCell ref="G1102:H1102"/>
    <mergeCell ref="I1102:J1102"/>
    <mergeCell ref="L1104:M1104"/>
    <mergeCell ref="N1104:O1104"/>
    <mergeCell ref="P1104:Q1104"/>
    <mergeCell ref="R1104:S1104"/>
    <mergeCell ref="L1102:M1102"/>
    <mergeCell ref="N1102:O1102"/>
    <mergeCell ref="A1103:O1103"/>
    <mergeCell ref="P1103:Q1103"/>
    <mergeCell ref="R1103:S1103"/>
    <mergeCell ref="B1104:C1104"/>
    <mergeCell ref="D1104:F1104"/>
    <mergeCell ref="L1094:M1094"/>
    <mergeCell ref="N1094:O1094"/>
    <mergeCell ref="P1094:Q1094"/>
    <mergeCell ref="R1094:S1094"/>
    <mergeCell ref="G1092:H1092"/>
    <mergeCell ref="I1092:J1092"/>
    <mergeCell ref="A1093:O1093"/>
    <mergeCell ref="P1093:Q1093"/>
    <mergeCell ref="R1093:S1093"/>
    <mergeCell ref="B1094:C1094"/>
    <mergeCell ref="D1094:F1094"/>
    <mergeCell ref="P1100:Q1100"/>
    <mergeCell ref="R1100:S1100"/>
    <mergeCell ref="A1099:O1099"/>
    <mergeCell ref="P1099:Q1099"/>
    <mergeCell ref="R1099:S1099"/>
    <mergeCell ref="B1100:C1100"/>
    <mergeCell ref="D1100:F1100"/>
    <mergeCell ref="G1100:H1100"/>
    <mergeCell ref="I1100:J1100"/>
    <mergeCell ref="N1100:O1100"/>
    <mergeCell ref="B1085:C1085"/>
    <mergeCell ref="D1085:F1085"/>
    <mergeCell ref="G1085:H1085"/>
    <mergeCell ref="I1085:J1085"/>
    <mergeCell ref="L1090:M1090"/>
    <mergeCell ref="N1090:O1090"/>
    <mergeCell ref="P1090:Q1090"/>
    <mergeCell ref="R1090:S1090"/>
    <mergeCell ref="P1088:Q1088"/>
    <mergeCell ref="R1088:S1088"/>
    <mergeCell ref="A1089:O1089"/>
    <mergeCell ref="P1089:Q1089"/>
    <mergeCell ref="R1089:S1089"/>
    <mergeCell ref="B1090:C1090"/>
    <mergeCell ref="D1090:F1090"/>
    <mergeCell ref="L1092:M1092"/>
    <mergeCell ref="N1092:O1092"/>
    <mergeCell ref="P1092:Q1092"/>
    <mergeCell ref="R1092:S1092"/>
    <mergeCell ref="G1090:H1090"/>
    <mergeCell ref="I1090:J1090"/>
    <mergeCell ref="A1091:O1091"/>
    <mergeCell ref="P1091:Q1091"/>
    <mergeCell ref="R1091:S1091"/>
    <mergeCell ref="B1092:C1092"/>
    <mergeCell ref="D1092:F1092"/>
    <mergeCell ref="G1078:H1078"/>
    <mergeCell ref="I1078:J1078"/>
    <mergeCell ref="L1080:M1080"/>
    <mergeCell ref="N1080:O1080"/>
    <mergeCell ref="G1096:H1096"/>
    <mergeCell ref="I1096:J1096"/>
    <mergeCell ref="P1096:Q1096"/>
    <mergeCell ref="R1096:S1096"/>
    <mergeCell ref="P1082:Q1082"/>
    <mergeCell ref="R1082:S1082"/>
    <mergeCell ref="A1081:O1081"/>
    <mergeCell ref="P1081:Q1081"/>
    <mergeCell ref="R1081:S1081"/>
    <mergeCell ref="B1082:C1082"/>
    <mergeCell ref="D1082:F1082"/>
    <mergeCell ref="G1082:H1082"/>
    <mergeCell ref="I1082:J1082"/>
    <mergeCell ref="N1083:O1083"/>
    <mergeCell ref="P1083:Q1083"/>
    <mergeCell ref="R1083:S1083"/>
    <mergeCell ref="L1082:M1082"/>
    <mergeCell ref="N1082:O1082"/>
    <mergeCell ref="B1083:C1083"/>
    <mergeCell ref="D1083:F1083"/>
    <mergeCell ref="G1083:H1083"/>
    <mergeCell ref="I1083:J1083"/>
    <mergeCell ref="L1083:M1083"/>
    <mergeCell ref="P1085:Q1085"/>
    <mergeCell ref="R1085:S1085"/>
    <mergeCell ref="A1084:O1084"/>
    <mergeCell ref="P1084:Q1084"/>
    <mergeCell ref="R1084:S1084"/>
    <mergeCell ref="L1085:M1085"/>
    <mergeCell ref="N1085:O1085"/>
    <mergeCell ref="A1086:O1086"/>
    <mergeCell ref="P1086:Q1086"/>
    <mergeCell ref="R1086:S1086"/>
    <mergeCell ref="P1087:Q1087"/>
    <mergeCell ref="R1087:S1087"/>
    <mergeCell ref="A1087:O1087"/>
    <mergeCell ref="B1088:C1088"/>
    <mergeCell ref="D1088:F1088"/>
    <mergeCell ref="G1088:H1088"/>
    <mergeCell ref="I1088:J1088"/>
    <mergeCell ref="L1088:M1088"/>
    <mergeCell ref="N1088:O1088"/>
    <mergeCell ref="L1076:M1076"/>
    <mergeCell ref="N1076:O1076"/>
    <mergeCell ref="G1074:H1074"/>
    <mergeCell ref="I1074:J1074"/>
    <mergeCell ref="A1075:O1075"/>
    <mergeCell ref="P1075:Q1075"/>
    <mergeCell ref="R1075:S1075"/>
    <mergeCell ref="B1076:C1076"/>
    <mergeCell ref="D1076:F1076"/>
    <mergeCell ref="L1078:M1078"/>
    <mergeCell ref="N1078:O1078"/>
    <mergeCell ref="P1078:Q1078"/>
    <mergeCell ref="R1078:S1078"/>
    <mergeCell ref="A1077:O1077"/>
    <mergeCell ref="P1077:Q1077"/>
    <mergeCell ref="R1077:S1077"/>
    <mergeCell ref="B1078:C1078"/>
    <mergeCell ref="D1078:F1078"/>
    <mergeCell ref="A1185:O1185"/>
    <mergeCell ref="P1185:Q1185"/>
    <mergeCell ref="R1185:S1185"/>
    <mergeCell ref="B1186:C1186"/>
    <mergeCell ref="D1186:F1186"/>
    <mergeCell ref="G1186:H1186"/>
    <mergeCell ref="R1186:S1186"/>
    <mergeCell ref="N1189:O1189"/>
    <mergeCell ref="P1189:Q1189"/>
    <mergeCell ref="R1189:S1189"/>
    <mergeCell ref="G1188:H1188"/>
    <mergeCell ref="I1188:J1188"/>
    <mergeCell ref="B1189:C1189"/>
    <mergeCell ref="D1189:F1189"/>
    <mergeCell ref="G1189:H1189"/>
    <mergeCell ref="I1189:J1189"/>
    <mergeCell ref="L1189:M1189"/>
    <mergeCell ref="N1183:O1183"/>
    <mergeCell ref="P1183:Q1183"/>
    <mergeCell ref="R1183:S1183"/>
    <mergeCell ref="G1182:H1182"/>
    <mergeCell ref="I1182:J1182"/>
    <mergeCell ref="B1183:C1183"/>
    <mergeCell ref="D1183:F1183"/>
    <mergeCell ref="G1183:H1183"/>
    <mergeCell ref="I1183:J1183"/>
    <mergeCell ref="L1183:M1183"/>
    <mergeCell ref="B1184:C1184"/>
    <mergeCell ref="G1184:H1184"/>
    <mergeCell ref="I1184:J1184"/>
    <mergeCell ref="L1184:M1184"/>
    <mergeCell ref="N1184:O1184"/>
    <mergeCell ref="P1184:Q1184"/>
    <mergeCell ref="R1184:S1184"/>
    <mergeCell ref="D1184:F1184"/>
    <mergeCell ref="B1178:C1178"/>
    <mergeCell ref="D1178:F1178"/>
    <mergeCell ref="L1180:M1180"/>
    <mergeCell ref="N1180:O1180"/>
    <mergeCell ref="P1180:Q1180"/>
    <mergeCell ref="R1180:S1180"/>
    <mergeCell ref="G1178:H1178"/>
    <mergeCell ref="I1178:J1178"/>
    <mergeCell ref="A1179:O1179"/>
    <mergeCell ref="P1179:Q1179"/>
    <mergeCell ref="R1179:S1179"/>
    <mergeCell ref="B1180:C1180"/>
    <mergeCell ref="D1180:F1180"/>
    <mergeCell ref="L1182:M1182"/>
    <mergeCell ref="N1182:O1182"/>
    <mergeCell ref="P1182:Q1182"/>
    <mergeCell ref="R1182:S1182"/>
    <mergeCell ref="G1180:H1180"/>
    <mergeCell ref="I1180:J1180"/>
    <mergeCell ref="A1181:O1181"/>
    <mergeCell ref="P1181:Q1181"/>
    <mergeCell ref="R1181:S1181"/>
    <mergeCell ref="B1182:C1182"/>
    <mergeCell ref="D1182:F1182"/>
    <mergeCell ref="R1145:S1145"/>
    <mergeCell ref="A1144:O1144"/>
    <mergeCell ref="P1144:Q1144"/>
    <mergeCell ref="R1144:S1144"/>
    <mergeCell ref="B1145:C1145"/>
    <mergeCell ref="D1145:F1145"/>
    <mergeCell ref="G1145:H1145"/>
    <mergeCell ref="I1145:J1145"/>
    <mergeCell ref="L1147:M1147"/>
    <mergeCell ref="N1147:O1147"/>
    <mergeCell ref="L1191:M1191"/>
    <mergeCell ref="N1191:O1191"/>
    <mergeCell ref="L1176:M1176"/>
    <mergeCell ref="N1176:O1176"/>
    <mergeCell ref="P1176:Q1176"/>
    <mergeCell ref="R1176:S1176"/>
    <mergeCell ref="G1174:H1174"/>
    <mergeCell ref="I1174:J1174"/>
    <mergeCell ref="A1175:O1175"/>
    <mergeCell ref="P1175:Q1175"/>
    <mergeCell ref="R1175:S1175"/>
    <mergeCell ref="B1176:C1176"/>
    <mergeCell ref="D1176:F1176"/>
    <mergeCell ref="L1178:M1178"/>
    <mergeCell ref="N1178:O1178"/>
    <mergeCell ref="P1178:Q1178"/>
    <mergeCell ref="R1178:S1178"/>
    <mergeCell ref="G1176:H1176"/>
    <mergeCell ref="I1176:J1176"/>
    <mergeCell ref="A1177:O1177"/>
    <mergeCell ref="P1177:Q1177"/>
    <mergeCell ref="R1177:S1177"/>
    <mergeCell ref="L1188:M1188"/>
    <mergeCell ref="N1188:O1188"/>
    <mergeCell ref="P1188:Q1188"/>
    <mergeCell ref="R1188:S1188"/>
    <mergeCell ref="I1186:J1186"/>
    <mergeCell ref="L1186:M1186"/>
    <mergeCell ref="A1187:O1187"/>
    <mergeCell ref="P1187:Q1187"/>
    <mergeCell ref="R1187:S1187"/>
    <mergeCell ref="B1188:C1188"/>
    <mergeCell ref="D1188:F1188"/>
    <mergeCell ref="P1191:Q1191"/>
    <mergeCell ref="R1191:S1191"/>
    <mergeCell ref="A1190:O1190"/>
    <mergeCell ref="P1190:Q1190"/>
    <mergeCell ref="R1190:S1190"/>
    <mergeCell ref="B1191:C1191"/>
    <mergeCell ref="D1191:F1191"/>
    <mergeCell ref="G1191:H1191"/>
    <mergeCell ref="I1191:J1191"/>
    <mergeCell ref="N1186:O1186"/>
    <mergeCell ref="P1186:Q1186"/>
    <mergeCell ref="P1172:Q1172"/>
    <mergeCell ref="R1172:S1172"/>
    <mergeCell ref="A1171:O1171"/>
    <mergeCell ref="P1171:Q1171"/>
    <mergeCell ref="R1171:S1171"/>
    <mergeCell ref="B1172:C1172"/>
    <mergeCell ref="D1172:F1172"/>
    <mergeCell ref="G1172:H1172"/>
    <mergeCell ref="I1172:J1172"/>
    <mergeCell ref="L1174:M1174"/>
    <mergeCell ref="N1174:O1174"/>
    <mergeCell ref="P1174:Q1174"/>
    <mergeCell ref="R1174:S1174"/>
    <mergeCell ref="L1172:M1172"/>
    <mergeCell ref="N1172:O1172"/>
    <mergeCell ref="A1173:O1173"/>
    <mergeCell ref="P1173:Q1173"/>
    <mergeCell ref="R1173:S1173"/>
    <mergeCell ref="B1174:C1174"/>
    <mergeCell ref="D1174:F1174"/>
    <mergeCell ref="L1169:M1169"/>
    <mergeCell ref="N1169:O1169"/>
    <mergeCell ref="P1169:Q1169"/>
    <mergeCell ref="R1169:S1169"/>
    <mergeCell ref="G1167:H1167"/>
    <mergeCell ref="I1167:J1167"/>
    <mergeCell ref="A1168:O1168"/>
    <mergeCell ref="P1168:Q1168"/>
    <mergeCell ref="R1168:S1168"/>
    <mergeCell ref="B1169:C1169"/>
    <mergeCell ref="D1169:F1169"/>
    <mergeCell ref="N1170:O1170"/>
    <mergeCell ref="P1170:Q1170"/>
    <mergeCell ref="R1170:S1170"/>
    <mergeCell ref="G1169:H1169"/>
    <mergeCell ref="I1169:J1169"/>
    <mergeCell ref="B1170:C1170"/>
    <mergeCell ref="D1170:F1170"/>
    <mergeCell ref="G1170:H1170"/>
    <mergeCell ref="I1170:J1170"/>
    <mergeCell ref="L1170:M1170"/>
    <mergeCell ref="L1165:M1165"/>
    <mergeCell ref="N1165:O1165"/>
    <mergeCell ref="P1165:Q1165"/>
    <mergeCell ref="R1165:S1165"/>
    <mergeCell ref="G1163:H1163"/>
    <mergeCell ref="I1163:J1163"/>
    <mergeCell ref="A1164:O1164"/>
    <mergeCell ref="P1164:Q1164"/>
    <mergeCell ref="R1164:S1164"/>
    <mergeCell ref="B1165:C1165"/>
    <mergeCell ref="D1165:F1165"/>
    <mergeCell ref="L1167:M1167"/>
    <mergeCell ref="N1167:O1167"/>
    <mergeCell ref="P1167:Q1167"/>
    <mergeCell ref="R1167:S1167"/>
    <mergeCell ref="G1165:H1165"/>
    <mergeCell ref="I1165:J1165"/>
    <mergeCell ref="A1166:O1166"/>
    <mergeCell ref="P1166:Q1166"/>
    <mergeCell ref="R1166:S1166"/>
    <mergeCell ref="B1167:C1167"/>
    <mergeCell ref="D1167:F1167"/>
    <mergeCell ref="P1080:Q1080"/>
    <mergeCell ref="R1080:S1080"/>
    <mergeCell ref="A1079:O1079"/>
    <mergeCell ref="P1079:Q1079"/>
    <mergeCell ref="R1079:S1079"/>
    <mergeCell ref="B1080:C1080"/>
    <mergeCell ref="D1080:F1080"/>
    <mergeCell ref="G1080:H1080"/>
    <mergeCell ref="I1080:J1080"/>
    <mergeCell ref="L1163:M1163"/>
    <mergeCell ref="N1163:O1163"/>
    <mergeCell ref="P1163:Q1163"/>
    <mergeCell ref="R1163:S1163"/>
    <mergeCell ref="G1161:H1161"/>
    <mergeCell ref="I1161:J1161"/>
    <mergeCell ref="A1162:O1162"/>
    <mergeCell ref="P1162:Q1162"/>
    <mergeCell ref="R1162:S1162"/>
    <mergeCell ref="B1163:C1163"/>
    <mergeCell ref="D1163:F1163"/>
    <mergeCell ref="P1143:Q1143"/>
    <mergeCell ref="R1143:S1143"/>
    <mergeCell ref="A1142:O1142"/>
    <mergeCell ref="P1142:Q1142"/>
    <mergeCell ref="R1142:S1142"/>
    <mergeCell ref="B1143:C1143"/>
    <mergeCell ref="D1143:F1143"/>
    <mergeCell ref="G1143:H1143"/>
    <mergeCell ref="I1143:J1143"/>
    <mergeCell ref="L1145:M1145"/>
    <mergeCell ref="N1145:O1145"/>
    <mergeCell ref="P1145:Q1145"/>
    <mergeCell ref="L1072:M1072"/>
    <mergeCell ref="N1072:O1072"/>
    <mergeCell ref="P1072:Q1072"/>
    <mergeCell ref="R1072:S1072"/>
    <mergeCell ref="I1070:J1070"/>
    <mergeCell ref="L1070:M1070"/>
    <mergeCell ref="A1071:O1071"/>
    <mergeCell ref="P1071:Q1071"/>
    <mergeCell ref="R1071:S1071"/>
    <mergeCell ref="B1072:C1072"/>
    <mergeCell ref="D1072:F1072"/>
    <mergeCell ref="L1074:M1074"/>
    <mergeCell ref="N1074:O1074"/>
    <mergeCell ref="P1074:Q1074"/>
    <mergeCell ref="R1074:S1074"/>
    <mergeCell ref="G1072:H1072"/>
    <mergeCell ref="I1072:J1072"/>
    <mergeCell ref="A1073:O1073"/>
    <mergeCell ref="P1073:Q1073"/>
    <mergeCell ref="R1073:S1073"/>
    <mergeCell ref="B1074:C1074"/>
    <mergeCell ref="D1074:F1074"/>
    <mergeCell ref="L1064:M1064"/>
    <mergeCell ref="N1064:O1064"/>
    <mergeCell ref="P1064:Q1064"/>
    <mergeCell ref="R1064:S1064"/>
    <mergeCell ref="G1062:H1062"/>
    <mergeCell ref="I1062:J1062"/>
    <mergeCell ref="A1063:O1063"/>
    <mergeCell ref="P1063:Q1063"/>
    <mergeCell ref="R1063:S1063"/>
    <mergeCell ref="B1064:C1064"/>
    <mergeCell ref="D1064:F1064"/>
    <mergeCell ref="L1066:M1066"/>
    <mergeCell ref="N1066:O1066"/>
    <mergeCell ref="P1066:Q1066"/>
    <mergeCell ref="R1066:S1066"/>
    <mergeCell ref="G1064:H1064"/>
    <mergeCell ref="I1064:J1064"/>
    <mergeCell ref="A1065:O1065"/>
    <mergeCell ref="P1065:Q1065"/>
    <mergeCell ref="R1065:S1065"/>
    <mergeCell ref="B1066:C1066"/>
    <mergeCell ref="D1066:F1066"/>
    <mergeCell ref="T1152:U1152"/>
    <mergeCell ref="T1153:U1153"/>
    <mergeCell ref="T1154:U1154"/>
    <mergeCell ref="T1155:U1155"/>
    <mergeCell ref="T1156:U1156"/>
    <mergeCell ref="T1157:U1157"/>
    <mergeCell ref="T1158:U1158"/>
    <mergeCell ref="T1159:U1159"/>
    <mergeCell ref="T1160:U1160"/>
    <mergeCell ref="T1161:U1161"/>
    <mergeCell ref="T1162:U1162"/>
    <mergeCell ref="T1163:U1163"/>
    <mergeCell ref="T1164:U1164"/>
    <mergeCell ref="T1165:U1165"/>
    <mergeCell ref="T1166:U1166"/>
    <mergeCell ref="T1167:U1167"/>
    <mergeCell ref="T1168:U1168"/>
    <mergeCell ref="T1135:U1135"/>
    <mergeCell ref="T1136:U1136"/>
    <mergeCell ref="T1137:U1137"/>
    <mergeCell ref="T1138:U1138"/>
    <mergeCell ref="T1139:U1139"/>
    <mergeCell ref="T1140:U1140"/>
    <mergeCell ref="T1141:U1141"/>
    <mergeCell ref="T1142:U1142"/>
    <mergeCell ref="T1143:U1143"/>
    <mergeCell ref="T1144:U1144"/>
    <mergeCell ref="T1145:U1145"/>
    <mergeCell ref="T1146:U1146"/>
    <mergeCell ref="T1147:U1147"/>
    <mergeCell ref="T1148:U1148"/>
    <mergeCell ref="T1149:U1149"/>
    <mergeCell ref="T1150:U1150"/>
    <mergeCell ref="T1151:U1151"/>
    <mergeCell ref="T1173:U1173"/>
    <mergeCell ref="T1174:U1174"/>
    <mergeCell ref="T1175:U1175"/>
    <mergeCell ref="T1176:U1176"/>
    <mergeCell ref="T1177:U1177"/>
    <mergeCell ref="T1178:U1178"/>
    <mergeCell ref="T1179:U1179"/>
    <mergeCell ref="T1180:U1180"/>
    <mergeCell ref="T1181:U1181"/>
    <mergeCell ref="T1182:U1182"/>
    <mergeCell ref="T1190:U1190"/>
    <mergeCell ref="T1191:U1191"/>
    <mergeCell ref="T1183:U1183"/>
    <mergeCell ref="T1184:U1184"/>
    <mergeCell ref="T1185:U1185"/>
    <mergeCell ref="T1186:U1186"/>
    <mergeCell ref="T1187:U1187"/>
    <mergeCell ref="T1188:U1188"/>
    <mergeCell ref="T1189:U1189"/>
    <mergeCell ref="T1107:U1107"/>
    <mergeCell ref="T1108:U1108"/>
    <mergeCell ref="T1109:U1109"/>
    <mergeCell ref="T1110:U1110"/>
    <mergeCell ref="T1111:U1111"/>
    <mergeCell ref="T1112:U1112"/>
    <mergeCell ref="T1113:U1113"/>
    <mergeCell ref="T1114:U1114"/>
    <mergeCell ref="T1115:U1115"/>
    <mergeCell ref="T1116:U1116"/>
    <mergeCell ref="T1117:U1117"/>
    <mergeCell ref="T1118:U1118"/>
    <mergeCell ref="T1119:U1119"/>
    <mergeCell ref="T1169:U1169"/>
    <mergeCell ref="T1170:U1170"/>
    <mergeCell ref="T1171:U1171"/>
    <mergeCell ref="T1172:U1172"/>
    <mergeCell ref="T1120:U1120"/>
    <mergeCell ref="T1121:U1121"/>
    <mergeCell ref="T1122:U1122"/>
    <mergeCell ref="T1123:U1123"/>
    <mergeCell ref="T1124:U1124"/>
    <mergeCell ref="T1125:U1125"/>
    <mergeCell ref="T1126:U1126"/>
    <mergeCell ref="T1127:U1127"/>
    <mergeCell ref="T1128:U1128"/>
    <mergeCell ref="T1129:U1129"/>
    <mergeCell ref="T1130:U1130"/>
    <mergeCell ref="T1131:U1131"/>
    <mergeCell ref="T1132:U1132"/>
    <mergeCell ref="T1133:U1133"/>
    <mergeCell ref="T1134:U1134"/>
    <mergeCell ref="T1090:U1090"/>
    <mergeCell ref="T1091:U1091"/>
    <mergeCell ref="T1092:U1092"/>
    <mergeCell ref="T1093:U1093"/>
    <mergeCell ref="T1094:U1094"/>
    <mergeCell ref="T1095:U1095"/>
    <mergeCell ref="T1096:U1096"/>
    <mergeCell ref="T1097:U1097"/>
    <mergeCell ref="T1098:U1098"/>
    <mergeCell ref="T1099:U1099"/>
    <mergeCell ref="T1100:U1100"/>
    <mergeCell ref="T1101:U1101"/>
    <mergeCell ref="T1102:U1102"/>
    <mergeCell ref="T1103:U1103"/>
    <mergeCell ref="T1104:U1104"/>
    <mergeCell ref="T1105:U1105"/>
    <mergeCell ref="T1106:U1106"/>
    <mergeCell ref="T1073:U1073"/>
    <mergeCell ref="T1074:U1074"/>
    <mergeCell ref="T1075:U1075"/>
    <mergeCell ref="T1076:U1076"/>
    <mergeCell ref="T1077:U1077"/>
    <mergeCell ref="T1078:U1078"/>
    <mergeCell ref="T1079:U1079"/>
    <mergeCell ref="T1080:U1080"/>
    <mergeCell ref="T1081:U1081"/>
    <mergeCell ref="T1082:U1082"/>
    <mergeCell ref="T1083:U1083"/>
    <mergeCell ref="T1084:U1084"/>
    <mergeCell ref="T1085:U1085"/>
    <mergeCell ref="T1086:U1086"/>
    <mergeCell ref="T1087:U1087"/>
    <mergeCell ref="T1088:U1088"/>
    <mergeCell ref="T1089:U1089"/>
    <mergeCell ref="T1056:U1056"/>
    <mergeCell ref="T1057:U1057"/>
    <mergeCell ref="T1058:U1058"/>
    <mergeCell ref="T1059:U1059"/>
    <mergeCell ref="T1060:U1060"/>
    <mergeCell ref="T1061:U1061"/>
    <mergeCell ref="T1062:U1062"/>
    <mergeCell ref="T1063:U1063"/>
    <mergeCell ref="T1064:U1064"/>
    <mergeCell ref="T1065:U1065"/>
    <mergeCell ref="T1066:U1066"/>
    <mergeCell ref="T1067:U1067"/>
    <mergeCell ref="T1068:U1068"/>
    <mergeCell ref="T1069:U1069"/>
    <mergeCell ref="T1070:U1070"/>
    <mergeCell ref="T1071:U1071"/>
    <mergeCell ref="T1072:U1072"/>
    <mergeCell ref="T1039:U1039"/>
    <mergeCell ref="T1040:U1040"/>
    <mergeCell ref="T1041:U1041"/>
    <mergeCell ref="T1042:U1042"/>
    <mergeCell ref="T1043:U1043"/>
    <mergeCell ref="T1044:U1044"/>
    <mergeCell ref="T1045:U1045"/>
    <mergeCell ref="T1046:U1046"/>
    <mergeCell ref="T1047:U1047"/>
    <mergeCell ref="T1048:U1048"/>
    <mergeCell ref="T1049:U1049"/>
    <mergeCell ref="T1050:U1050"/>
    <mergeCell ref="T1051:U1051"/>
    <mergeCell ref="T1052:U1052"/>
    <mergeCell ref="T1053:U1053"/>
    <mergeCell ref="T1054:U1054"/>
    <mergeCell ref="T1055:U1055"/>
    <mergeCell ref="T1022:U1022"/>
    <mergeCell ref="T1023:U1023"/>
    <mergeCell ref="T1024:U1024"/>
    <mergeCell ref="T1025:U1025"/>
    <mergeCell ref="T1026:U1026"/>
    <mergeCell ref="T1027:U1027"/>
    <mergeCell ref="T1028:U1028"/>
    <mergeCell ref="T1029:U1029"/>
    <mergeCell ref="T1030:U1030"/>
    <mergeCell ref="T1031:U1031"/>
    <mergeCell ref="T1032:U1032"/>
    <mergeCell ref="T1033:U1033"/>
    <mergeCell ref="T1034:U1034"/>
    <mergeCell ref="T1035:U1035"/>
    <mergeCell ref="T1036:U1036"/>
    <mergeCell ref="T1037:U1037"/>
    <mergeCell ref="T1038:U1038"/>
    <mergeCell ref="I1053:J1053"/>
    <mergeCell ref="L1053:M1053"/>
    <mergeCell ref="N1053:O1053"/>
    <mergeCell ref="P1053:Q1053"/>
    <mergeCell ref="R1053:S1053"/>
    <mergeCell ref="D1053:F1053"/>
    <mergeCell ref="A1054:O1054"/>
    <mergeCell ref="P1054:Q1054"/>
    <mergeCell ref="R1054:S1054"/>
    <mergeCell ref="A1055:O1055"/>
    <mergeCell ref="P1055:Q1055"/>
    <mergeCell ref="R1055:S1055"/>
    <mergeCell ref="I1058:J1058"/>
    <mergeCell ref="L1058:M1058"/>
    <mergeCell ref="N1058:O1058"/>
    <mergeCell ref="P1058:Q1058"/>
    <mergeCell ref="G1076:H1076"/>
    <mergeCell ref="I1076:J1076"/>
    <mergeCell ref="P1076:Q1076"/>
    <mergeCell ref="R1076:S1076"/>
    <mergeCell ref="I1060:J1060"/>
    <mergeCell ref="L1060:M1060"/>
    <mergeCell ref="D1058:F1058"/>
    <mergeCell ref="A1059:O1059"/>
    <mergeCell ref="P1059:Q1059"/>
    <mergeCell ref="R1059:S1059"/>
    <mergeCell ref="B1060:C1060"/>
    <mergeCell ref="D1060:F1060"/>
    <mergeCell ref="G1060:H1060"/>
    <mergeCell ref="R1060:S1060"/>
    <mergeCell ref="L1062:M1062"/>
    <mergeCell ref="N1062:O1062"/>
    <mergeCell ref="A1057:O1057"/>
    <mergeCell ref="P1057:Q1057"/>
    <mergeCell ref="R1057:S1057"/>
    <mergeCell ref="B1058:C1058"/>
    <mergeCell ref="G1058:H1058"/>
    <mergeCell ref="R1058:S1058"/>
    <mergeCell ref="G1066:H1066"/>
    <mergeCell ref="I1066:J1066"/>
    <mergeCell ref="A1067:O1067"/>
    <mergeCell ref="P1067:Q1067"/>
    <mergeCell ref="R1067:S1067"/>
    <mergeCell ref="P1068:Q1068"/>
    <mergeCell ref="R1068:S1068"/>
    <mergeCell ref="N1070:O1070"/>
    <mergeCell ref="P1070:Q1070"/>
    <mergeCell ref="A1068:O1068"/>
    <mergeCell ref="A1069:O1069"/>
    <mergeCell ref="P1069:Q1069"/>
    <mergeCell ref="R1069:S1069"/>
    <mergeCell ref="B1070:C1070"/>
    <mergeCell ref="D1070:F1070"/>
    <mergeCell ref="G1070:H1070"/>
    <mergeCell ref="R1070:S1070"/>
    <mergeCell ref="P1062:Q1062"/>
    <mergeCell ref="R1062:S1062"/>
    <mergeCell ref="N1060:O1060"/>
    <mergeCell ref="P1060:Q1060"/>
    <mergeCell ref="A1061:O1061"/>
    <mergeCell ref="P1061:Q1061"/>
    <mergeCell ref="R1061:S1061"/>
    <mergeCell ref="B1062:C1062"/>
    <mergeCell ref="D1062:F1062"/>
    <mergeCell ref="B1048:C1048"/>
    <mergeCell ref="D1048:F1048"/>
    <mergeCell ref="G1048:H1048"/>
    <mergeCell ref="I1048:J1048"/>
    <mergeCell ref="P1050:Q1050"/>
    <mergeCell ref="R1050:S1050"/>
    <mergeCell ref="A1049:O1049"/>
    <mergeCell ref="P1049:Q1049"/>
    <mergeCell ref="R1049:S1049"/>
    <mergeCell ref="B1050:C1050"/>
    <mergeCell ref="D1050:F1050"/>
    <mergeCell ref="G1050:H1050"/>
    <mergeCell ref="I1050:J1050"/>
    <mergeCell ref="B1056:C1056"/>
    <mergeCell ref="G1056:H1056"/>
    <mergeCell ref="I1056:J1056"/>
    <mergeCell ref="L1056:M1056"/>
    <mergeCell ref="N1056:O1056"/>
    <mergeCell ref="P1056:Q1056"/>
    <mergeCell ref="R1056:S1056"/>
    <mergeCell ref="D1056:F1056"/>
    <mergeCell ref="L1052:M1052"/>
    <mergeCell ref="N1052:O1052"/>
    <mergeCell ref="L1050:M1050"/>
    <mergeCell ref="N1050:O1050"/>
    <mergeCell ref="A1051:O1051"/>
    <mergeCell ref="P1051:Q1051"/>
    <mergeCell ref="R1051:S1051"/>
    <mergeCell ref="B1052:C1052"/>
    <mergeCell ref="D1052:F1052"/>
    <mergeCell ref="B1053:C1053"/>
    <mergeCell ref="G1053:H1053"/>
    <mergeCell ref="P1039:Q1039"/>
    <mergeCell ref="R1039:S1039"/>
    <mergeCell ref="P1040:Q1040"/>
    <mergeCell ref="R1040:S1040"/>
    <mergeCell ref="B1037:C1037"/>
    <mergeCell ref="B1039:C1039"/>
    <mergeCell ref="D1039:F1039"/>
    <mergeCell ref="G1039:H1039"/>
    <mergeCell ref="I1039:J1039"/>
    <mergeCell ref="L1039:M1039"/>
    <mergeCell ref="N1039:O1039"/>
    <mergeCell ref="N1046:O1046"/>
    <mergeCell ref="P1046:Q1046"/>
    <mergeCell ref="P1047:Q1047"/>
    <mergeCell ref="R1047:S1047"/>
    <mergeCell ref="I1046:J1046"/>
    <mergeCell ref="L1046:M1046"/>
    <mergeCell ref="A1047:O1047"/>
    <mergeCell ref="A1038:O1038"/>
    <mergeCell ref="B1029:C1029"/>
    <mergeCell ref="B1031:C1031"/>
    <mergeCell ref="D1031:F1031"/>
    <mergeCell ref="G1031:H1031"/>
    <mergeCell ref="I1031:J1031"/>
    <mergeCell ref="P1031:Q1031"/>
    <mergeCell ref="P1032:Q1032"/>
    <mergeCell ref="R1032:S1032"/>
    <mergeCell ref="L1029:M1029"/>
    <mergeCell ref="N1029:O1029"/>
    <mergeCell ref="P1030:Q1030"/>
    <mergeCell ref="R1030:S1030"/>
    <mergeCell ref="L1031:M1031"/>
    <mergeCell ref="N1031:O1031"/>
    <mergeCell ref="R1031:S1031"/>
    <mergeCell ref="I1025:J1025"/>
    <mergeCell ref="L1025:M1025"/>
    <mergeCell ref="A1026:O1026"/>
    <mergeCell ref="A1027:O1027"/>
    <mergeCell ref="A1028:O1028"/>
    <mergeCell ref="D1029:F1029"/>
    <mergeCell ref="A1030:O1030"/>
    <mergeCell ref="N1034:O1034"/>
    <mergeCell ref="P1034:Q1034"/>
    <mergeCell ref="N1035:O1035"/>
    <mergeCell ref="P1035:Q1035"/>
    <mergeCell ref="R1035:S1035"/>
    <mergeCell ref="P1037:Q1037"/>
    <mergeCell ref="R1037:S1037"/>
    <mergeCell ref="P1038:Q1038"/>
    <mergeCell ref="R1038:S1038"/>
    <mergeCell ref="R1034:S1034"/>
    <mergeCell ref="B1034:C1034"/>
    <mergeCell ref="D1035:F1035"/>
    <mergeCell ref="G1035:H1035"/>
    <mergeCell ref="I1035:J1035"/>
    <mergeCell ref="A1036:O1036"/>
    <mergeCell ref="P1036:Q1036"/>
    <mergeCell ref="R1036:S1036"/>
    <mergeCell ref="I1034:J1034"/>
    <mergeCell ref="L1034:M1034"/>
    <mergeCell ref="L1035:M1035"/>
    <mergeCell ref="B1035:C1035"/>
    <mergeCell ref="D1037:F1037"/>
    <mergeCell ref="G1037:H1037"/>
    <mergeCell ref="I1037:J1037"/>
    <mergeCell ref="L1037:M1037"/>
    <mergeCell ref="N1037:O1037"/>
    <mergeCell ref="L1048:M1048"/>
    <mergeCell ref="N1048:O1048"/>
    <mergeCell ref="P1048:Q1048"/>
    <mergeCell ref="R1048:S1048"/>
    <mergeCell ref="G1052:H1052"/>
    <mergeCell ref="I1052:J1052"/>
    <mergeCell ref="P1052:Q1052"/>
    <mergeCell ref="R1052:S1052"/>
    <mergeCell ref="L1020:M1020"/>
    <mergeCell ref="N1020:O1020"/>
    <mergeCell ref="L1018:M1018"/>
    <mergeCell ref="N1018:O1018"/>
    <mergeCell ref="A1019:O1019"/>
    <mergeCell ref="P1019:Q1019"/>
    <mergeCell ref="R1019:S1019"/>
    <mergeCell ref="B1020:C1020"/>
    <mergeCell ref="D1020:F1020"/>
    <mergeCell ref="L1022:M1022"/>
    <mergeCell ref="N1022:O1022"/>
    <mergeCell ref="P1022:Q1022"/>
    <mergeCell ref="R1022:S1022"/>
    <mergeCell ref="A1021:O1021"/>
    <mergeCell ref="P1021:Q1021"/>
    <mergeCell ref="R1021:S1021"/>
    <mergeCell ref="B1022:C1022"/>
    <mergeCell ref="D1022:F1022"/>
    <mergeCell ref="G1022:H1022"/>
    <mergeCell ref="I1022:J1022"/>
    <mergeCell ref="G1029:H1029"/>
    <mergeCell ref="I1029:J1029"/>
    <mergeCell ref="P1028:Q1028"/>
    <mergeCell ref="P1029:Q1029"/>
    <mergeCell ref="B1046:C1046"/>
    <mergeCell ref="D1046:F1046"/>
    <mergeCell ref="G1046:H1046"/>
    <mergeCell ref="R1046:S1046"/>
    <mergeCell ref="I1042:J1042"/>
    <mergeCell ref="L1042:M1042"/>
    <mergeCell ref="N1042:O1042"/>
    <mergeCell ref="P1042:Q1042"/>
    <mergeCell ref="A1040:O1040"/>
    <mergeCell ref="A1041:O1041"/>
    <mergeCell ref="P1041:Q1041"/>
    <mergeCell ref="R1041:S1041"/>
    <mergeCell ref="B1042:C1042"/>
    <mergeCell ref="G1042:H1042"/>
    <mergeCell ref="R1042:S1042"/>
    <mergeCell ref="I1044:J1044"/>
    <mergeCell ref="L1044:M1044"/>
    <mergeCell ref="N1044:O1044"/>
    <mergeCell ref="P1044:Q1044"/>
    <mergeCell ref="A1024:O1024"/>
    <mergeCell ref="P1024:Q1024"/>
    <mergeCell ref="R1024:S1024"/>
    <mergeCell ref="B1025:C1025"/>
    <mergeCell ref="D1025:F1025"/>
    <mergeCell ref="G1025:H1025"/>
    <mergeCell ref="R1025:S1025"/>
    <mergeCell ref="D1042:F1042"/>
    <mergeCell ref="A1043:O1043"/>
    <mergeCell ref="P1043:Q1043"/>
    <mergeCell ref="R1043:S1043"/>
    <mergeCell ref="B1044:C1044"/>
    <mergeCell ref="G1044:H1044"/>
    <mergeCell ref="R1044:S1044"/>
    <mergeCell ref="D1044:F1044"/>
    <mergeCell ref="A1045:O1045"/>
    <mergeCell ref="P1045:Q1045"/>
    <mergeCell ref="R1045:S1045"/>
    <mergeCell ref="R1029:S1029"/>
    <mergeCell ref="N1025:O1025"/>
    <mergeCell ref="P1025:Q1025"/>
    <mergeCell ref="P1026:Q1026"/>
    <mergeCell ref="R1026:S1026"/>
    <mergeCell ref="P1027:Q1027"/>
    <mergeCell ref="R1027:S1027"/>
    <mergeCell ref="R1028:S1028"/>
    <mergeCell ref="A1032:O1032"/>
    <mergeCell ref="A1033:O1033"/>
    <mergeCell ref="P1033:Q1033"/>
    <mergeCell ref="R1033:S1033"/>
    <mergeCell ref="D1034:F1034"/>
    <mergeCell ref="G1034:H1034"/>
    <mergeCell ref="P1018:Q1018"/>
    <mergeCell ref="R1018:S1018"/>
    <mergeCell ref="A1017:O1017"/>
    <mergeCell ref="P1017:Q1017"/>
    <mergeCell ref="R1017:S1017"/>
    <mergeCell ref="B1018:C1018"/>
    <mergeCell ref="D1018:F1018"/>
    <mergeCell ref="G1018:H1018"/>
    <mergeCell ref="I1018:J1018"/>
    <mergeCell ref="B1023:C1023"/>
    <mergeCell ref="G1023:H1023"/>
    <mergeCell ref="I1023:J1023"/>
    <mergeCell ref="L1023:M1023"/>
    <mergeCell ref="N1023:O1023"/>
    <mergeCell ref="P1023:Q1023"/>
    <mergeCell ref="R1023:S1023"/>
    <mergeCell ref="D1023:F1023"/>
    <mergeCell ref="L1015:M1015"/>
    <mergeCell ref="N1015:O1015"/>
    <mergeCell ref="P1015:Q1015"/>
    <mergeCell ref="R1015:S1015"/>
    <mergeCell ref="G1013:H1013"/>
    <mergeCell ref="I1013:J1013"/>
    <mergeCell ref="A1014:O1014"/>
    <mergeCell ref="P1014:Q1014"/>
    <mergeCell ref="R1014:S1014"/>
    <mergeCell ref="B1015:C1015"/>
    <mergeCell ref="D1015:F1015"/>
    <mergeCell ref="N1016:O1016"/>
    <mergeCell ref="P1016:Q1016"/>
    <mergeCell ref="R1016:S1016"/>
    <mergeCell ref="G1015:H1015"/>
    <mergeCell ref="I1015:J1015"/>
    <mergeCell ref="B1016:C1016"/>
    <mergeCell ref="D1016:F1016"/>
    <mergeCell ref="G1016:H1016"/>
    <mergeCell ref="I1016:J1016"/>
    <mergeCell ref="L1016:M1016"/>
    <mergeCell ref="L1011:M1011"/>
    <mergeCell ref="N1011:O1011"/>
    <mergeCell ref="P1011:Q1011"/>
    <mergeCell ref="R1011:S1011"/>
    <mergeCell ref="G1009:H1009"/>
    <mergeCell ref="I1009:J1009"/>
    <mergeCell ref="A1010:O1010"/>
    <mergeCell ref="P1010:Q1010"/>
    <mergeCell ref="R1010:S1010"/>
    <mergeCell ref="B1011:C1011"/>
    <mergeCell ref="D1011:F1011"/>
    <mergeCell ref="L1013:M1013"/>
    <mergeCell ref="N1013:O1013"/>
    <mergeCell ref="P1013:Q1013"/>
    <mergeCell ref="R1013:S1013"/>
    <mergeCell ref="G1011:H1011"/>
    <mergeCell ref="I1011:J1011"/>
    <mergeCell ref="A1012:O1012"/>
    <mergeCell ref="P1012:Q1012"/>
    <mergeCell ref="R1012:S1012"/>
    <mergeCell ref="B1013:C1013"/>
    <mergeCell ref="D1013:F1013"/>
    <mergeCell ref="P1003:Q1003"/>
    <mergeCell ref="R1003:S1003"/>
    <mergeCell ref="A1003:O1003"/>
    <mergeCell ref="B1004:C1004"/>
    <mergeCell ref="D1004:F1004"/>
    <mergeCell ref="G1004:H1004"/>
    <mergeCell ref="I1004:J1004"/>
    <mergeCell ref="L1004:M1004"/>
    <mergeCell ref="N1004:O1004"/>
    <mergeCell ref="L1009:M1009"/>
    <mergeCell ref="N1009:O1009"/>
    <mergeCell ref="P1009:Q1009"/>
    <mergeCell ref="R1009:S1009"/>
    <mergeCell ref="P1007:Q1007"/>
    <mergeCell ref="R1007:S1007"/>
    <mergeCell ref="A1008:O1008"/>
    <mergeCell ref="P1008:Q1008"/>
    <mergeCell ref="R1008:S1008"/>
    <mergeCell ref="B1009:C1009"/>
    <mergeCell ref="D1009:F1009"/>
    <mergeCell ref="A999:O999"/>
    <mergeCell ref="P999:Q999"/>
    <mergeCell ref="R999:S999"/>
    <mergeCell ref="P1000:Q1000"/>
    <mergeCell ref="R1000:S1000"/>
    <mergeCell ref="A1000:O1000"/>
    <mergeCell ref="B1001:C1001"/>
    <mergeCell ref="D1001:F1001"/>
    <mergeCell ref="G1001:H1001"/>
    <mergeCell ref="I1001:J1001"/>
    <mergeCell ref="L1001:M1001"/>
    <mergeCell ref="N1001:O1001"/>
    <mergeCell ref="P1001:Q1001"/>
    <mergeCell ref="R1001:S1001"/>
    <mergeCell ref="A1002:O1002"/>
    <mergeCell ref="P1002:Q1002"/>
    <mergeCell ref="R1002:S1002"/>
    <mergeCell ref="B992:C992"/>
    <mergeCell ref="D992:F992"/>
    <mergeCell ref="G992:H992"/>
    <mergeCell ref="I992:J992"/>
    <mergeCell ref="L992:M992"/>
    <mergeCell ref="B993:C993"/>
    <mergeCell ref="G993:H993"/>
    <mergeCell ref="I993:J993"/>
    <mergeCell ref="L993:M993"/>
    <mergeCell ref="N993:O993"/>
    <mergeCell ref="P993:Q993"/>
    <mergeCell ref="R993:S993"/>
    <mergeCell ref="N995:O995"/>
    <mergeCell ref="P995:Q995"/>
    <mergeCell ref="D993:F993"/>
    <mergeCell ref="A994:O994"/>
    <mergeCell ref="P994:Q994"/>
    <mergeCell ref="R994:S994"/>
    <mergeCell ref="B995:C995"/>
    <mergeCell ref="D995:F995"/>
    <mergeCell ref="G995:H995"/>
    <mergeCell ref="R995:S995"/>
    <mergeCell ref="I995:J995"/>
    <mergeCell ref="L995:M995"/>
    <mergeCell ref="T1016:U1016"/>
    <mergeCell ref="T1017:U1017"/>
    <mergeCell ref="T1018:U1018"/>
    <mergeCell ref="T1019:U1019"/>
    <mergeCell ref="T1020:U1020"/>
    <mergeCell ref="T1021:U1021"/>
    <mergeCell ref="L989:M989"/>
    <mergeCell ref="N989:O989"/>
    <mergeCell ref="P989:Q989"/>
    <mergeCell ref="R989:S989"/>
    <mergeCell ref="P987:Q987"/>
    <mergeCell ref="R987:S987"/>
    <mergeCell ref="A988:O988"/>
    <mergeCell ref="P988:Q988"/>
    <mergeCell ref="R988:S988"/>
    <mergeCell ref="B989:C989"/>
    <mergeCell ref="D989:F989"/>
    <mergeCell ref="L991:M991"/>
    <mergeCell ref="N991:O991"/>
    <mergeCell ref="P991:Q991"/>
    <mergeCell ref="R991:S991"/>
    <mergeCell ref="G989:H989"/>
    <mergeCell ref="I989:J989"/>
    <mergeCell ref="A990:O990"/>
    <mergeCell ref="P990:Q990"/>
    <mergeCell ref="R990:S990"/>
    <mergeCell ref="B991:C991"/>
    <mergeCell ref="D991:F991"/>
    <mergeCell ref="N992:O992"/>
    <mergeCell ref="P992:Q992"/>
    <mergeCell ref="R992:S992"/>
    <mergeCell ref="G991:H991"/>
    <mergeCell ref="T999:U999"/>
    <mergeCell ref="T1000:U1000"/>
    <mergeCell ref="T1001:U1001"/>
    <mergeCell ref="T1002:U1002"/>
    <mergeCell ref="T1003:U1003"/>
    <mergeCell ref="T1004:U1004"/>
    <mergeCell ref="T1005:U1005"/>
    <mergeCell ref="T1006:U1006"/>
    <mergeCell ref="T1007:U1007"/>
    <mergeCell ref="T1008:U1008"/>
    <mergeCell ref="T1009:U1009"/>
    <mergeCell ref="T1010:U1010"/>
    <mergeCell ref="T1011:U1011"/>
    <mergeCell ref="T1012:U1012"/>
    <mergeCell ref="T1013:U1013"/>
    <mergeCell ref="T1014:U1014"/>
    <mergeCell ref="T1015:U1015"/>
    <mergeCell ref="D987:F987"/>
    <mergeCell ref="G987:H987"/>
    <mergeCell ref="I987:J987"/>
    <mergeCell ref="L987:M987"/>
    <mergeCell ref="N987:O987"/>
    <mergeCell ref="T987:U987"/>
    <mergeCell ref="T988:U988"/>
    <mergeCell ref="T989:U989"/>
    <mergeCell ref="T990:U990"/>
    <mergeCell ref="T991:U991"/>
    <mergeCell ref="T992:U992"/>
    <mergeCell ref="T993:U993"/>
    <mergeCell ref="T994:U994"/>
    <mergeCell ref="T995:U995"/>
    <mergeCell ref="T996:U996"/>
    <mergeCell ref="T997:U997"/>
    <mergeCell ref="T998:U998"/>
    <mergeCell ref="I991:J991"/>
    <mergeCell ref="A996:O996"/>
    <mergeCell ref="P996:Q996"/>
    <mergeCell ref="R996:S996"/>
    <mergeCell ref="P997:Q997"/>
    <mergeCell ref="R997:S997"/>
    <mergeCell ref="A997:O997"/>
    <mergeCell ref="B998:C998"/>
    <mergeCell ref="D998:F998"/>
    <mergeCell ref="G998:H998"/>
    <mergeCell ref="I998:J998"/>
    <mergeCell ref="L998:M998"/>
    <mergeCell ref="N998:O998"/>
    <mergeCell ref="P998:Q998"/>
    <mergeCell ref="R998:S998"/>
    <mergeCell ref="T982:U982"/>
    <mergeCell ref="T983:U983"/>
    <mergeCell ref="G980:H980"/>
    <mergeCell ref="I980:J980"/>
    <mergeCell ref="A981:O981"/>
    <mergeCell ref="P981:Q981"/>
    <mergeCell ref="R981:S981"/>
    <mergeCell ref="B982:C982"/>
    <mergeCell ref="D982:F982"/>
    <mergeCell ref="L984:M984"/>
    <mergeCell ref="N984:O984"/>
    <mergeCell ref="P984:Q984"/>
    <mergeCell ref="R984:S984"/>
    <mergeCell ref="T984:U984"/>
    <mergeCell ref="T985:U985"/>
    <mergeCell ref="T986:U986"/>
    <mergeCell ref="G982:H982"/>
    <mergeCell ref="I982:J982"/>
    <mergeCell ref="A983:O983"/>
    <mergeCell ref="P983:Q983"/>
    <mergeCell ref="R983:S983"/>
    <mergeCell ref="B984:C984"/>
    <mergeCell ref="D984:F984"/>
    <mergeCell ref="G984:H984"/>
    <mergeCell ref="I984:J984"/>
    <mergeCell ref="A985:O985"/>
    <mergeCell ref="P985:Q985"/>
    <mergeCell ref="R985:S985"/>
    <mergeCell ref="P986:Q986"/>
    <mergeCell ref="R986:S986"/>
    <mergeCell ref="A986:O986"/>
    <mergeCell ref="T978:U978"/>
    <mergeCell ref="T979:U979"/>
    <mergeCell ref="N976:O976"/>
    <mergeCell ref="P976:Q976"/>
    <mergeCell ref="A977:O977"/>
    <mergeCell ref="P977:Q977"/>
    <mergeCell ref="R977:S977"/>
    <mergeCell ref="B978:C978"/>
    <mergeCell ref="D978:F978"/>
    <mergeCell ref="L980:M980"/>
    <mergeCell ref="N980:O980"/>
    <mergeCell ref="P980:Q980"/>
    <mergeCell ref="R980:S980"/>
    <mergeCell ref="T980:U980"/>
    <mergeCell ref="T981:U981"/>
    <mergeCell ref="G978:H978"/>
    <mergeCell ref="I978:J978"/>
    <mergeCell ref="A979:O979"/>
    <mergeCell ref="P979:Q979"/>
    <mergeCell ref="R979:S979"/>
    <mergeCell ref="B980:C980"/>
    <mergeCell ref="D980:F980"/>
    <mergeCell ref="G1020:H1020"/>
    <mergeCell ref="I1020:J1020"/>
    <mergeCell ref="P1020:Q1020"/>
    <mergeCell ref="R1020:S1020"/>
    <mergeCell ref="A969:O969"/>
    <mergeCell ref="P969:Q969"/>
    <mergeCell ref="R969:S969"/>
    <mergeCell ref="T969:U969"/>
    <mergeCell ref="P970:Q970"/>
    <mergeCell ref="R970:S970"/>
    <mergeCell ref="T970:U970"/>
    <mergeCell ref="A970:O970"/>
    <mergeCell ref="A971:O971"/>
    <mergeCell ref="P971:Q971"/>
    <mergeCell ref="R971:S971"/>
    <mergeCell ref="T971:U971"/>
    <mergeCell ref="B972:C972"/>
    <mergeCell ref="T972:U972"/>
    <mergeCell ref="I976:J976"/>
    <mergeCell ref="L976:M976"/>
    <mergeCell ref="R976:S976"/>
    <mergeCell ref="T976:U976"/>
    <mergeCell ref="T977:U977"/>
    <mergeCell ref="A975:O975"/>
    <mergeCell ref="P975:Q975"/>
    <mergeCell ref="R975:S975"/>
    <mergeCell ref="T975:U975"/>
    <mergeCell ref="B976:C976"/>
    <mergeCell ref="D976:F976"/>
    <mergeCell ref="G976:H976"/>
    <mergeCell ref="L978:M978"/>
    <mergeCell ref="N978:O978"/>
    <mergeCell ref="P1004:Q1004"/>
    <mergeCell ref="R1004:S1004"/>
    <mergeCell ref="A1005:O1005"/>
    <mergeCell ref="P1005:Q1005"/>
    <mergeCell ref="R1005:S1005"/>
    <mergeCell ref="P1006:Q1006"/>
    <mergeCell ref="R1006:S1006"/>
    <mergeCell ref="A1006:O1006"/>
    <mergeCell ref="B1007:C1007"/>
    <mergeCell ref="D1007:F1007"/>
    <mergeCell ref="G1007:H1007"/>
    <mergeCell ref="I1007:J1007"/>
    <mergeCell ref="L1007:M1007"/>
    <mergeCell ref="N1007:O1007"/>
    <mergeCell ref="I968:J968"/>
    <mergeCell ref="L968:M968"/>
    <mergeCell ref="N968:O968"/>
    <mergeCell ref="P968:Q968"/>
    <mergeCell ref="B968:C968"/>
    <mergeCell ref="G972:H972"/>
    <mergeCell ref="I972:J972"/>
    <mergeCell ref="L972:M972"/>
    <mergeCell ref="N972:O972"/>
    <mergeCell ref="P972:Q972"/>
    <mergeCell ref="R972:S972"/>
    <mergeCell ref="P978:Q978"/>
    <mergeCell ref="R978:S978"/>
    <mergeCell ref="L982:M982"/>
    <mergeCell ref="N982:O982"/>
    <mergeCell ref="P982:Q982"/>
    <mergeCell ref="R982:S982"/>
    <mergeCell ref="B987:C987"/>
    <mergeCell ref="G963:H963"/>
    <mergeCell ref="I963:J963"/>
    <mergeCell ref="L963:M963"/>
    <mergeCell ref="N963:O963"/>
    <mergeCell ref="P963:Q963"/>
    <mergeCell ref="R965:S965"/>
    <mergeCell ref="T965:U965"/>
    <mergeCell ref="R966:S966"/>
    <mergeCell ref="T966:U966"/>
    <mergeCell ref="R967:S967"/>
    <mergeCell ref="T967:U967"/>
    <mergeCell ref="R968:S968"/>
    <mergeCell ref="T968:U968"/>
    <mergeCell ref="D968:F968"/>
    <mergeCell ref="G968:H968"/>
    <mergeCell ref="R974:S974"/>
    <mergeCell ref="T974:U974"/>
    <mergeCell ref="D972:F972"/>
    <mergeCell ref="A973:O973"/>
    <mergeCell ref="P973:Q973"/>
    <mergeCell ref="R973:S973"/>
    <mergeCell ref="T973:U973"/>
    <mergeCell ref="A974:O974"/>
    <mergeCell ref="P974:Q974"/>
    <mergeCell ref="N965:O965"/>
    <mergeCell ref="P965:Q965"/>
    <mergeCell ref="A966:O966"/>
    <mergeCell ref="P966:Q966"/>
    <mergeCell ref="A967:O967"/>
    <mergeCell ref="P967:Q967"/>
    <mergeCell ref="P961:Q961"/>
    <mergeCell ref="R961:S961"/>
    <mergeCell ref="I965:J965"/>
    <mergeCell ref="L965:M965"/>
    <mergeCell ref="A964:O964"/>
    <mergeCell ref="P964:Q964"/>
    <mergeCell ref="R964:S964"/>
    <mergeCell ref="T964:U964"/>
    <mergeCell ref="B965:C965"/>
    <mergeCell ref="D965:F965"/>
    <mergeCell ref="G965:H965"/>
    <mergeCell ref="D959:F959"/>
    <mergeCell ref="G959:H959"/>
    <mergeCell ref="A960:O960"/>
    <mergeCell ref="P960:Q960"/>
    <mergeCell ref="R960:S960"/>
    <mergeCell ref="T960:U960"/>
    <mergeCell ref="T961:U961"/>
    <mergeCell ref="P962:Q962"/>
    <mergeCell ref="R962:S962"/>
    <mergeCell ref="T962:U962"/>
    <mergeCell ref="A961:O961"/>
    <mergeCell ref="B962:C962"/>
    <mergeCell ref="D962:F962"/>
    <mergeCell ref="G962:H962"/>
    <mergeCell ref="I962:J962"/>
    <mergeCell ref="L962:M962"/>
    <mergeCell ref="N962:O962"/>
    <mergeCell ref="R963:S963"/>
    <mergeCell ref="T963:U963"/>
    <mergeCell ref="B963:C963"/>
    <mergeCell ref="D963:F963"/>
    <mergeCell ref="A950:O950"/>
    <mergeCell ref="P950:Q950"/>
    <mergeCell ref="R950:S950"/>
    <mergeCell ref="T950:U950"/>
    <mergeCell ref="B951:C951"/>
    <mergeCell ref="T951:U951"/>
    <mergeCell ref="D951:F951"/>
    <mergeCell ref="A952:O952"/>
    <mergeCell ref="P952:Q952"/>
    <mergeCell ref="R952:S952"/>
    <mergeCell ref="T952:U952"/>
    <mergeCell ref="B953:C953"/>
    <mergeCell ref="T953:U953"/>
    <mergeCell ref="G955:H955"/>
    <mergeCell ref="I955:J955"/>
    <mergeCell ref="L955:M955"/>
    <mergeCell ref="N955:O955"/>
    <mergeCell ref="P955:Q955"/>
    <mergeCell ref="R955:S955"/>
    <mergeCell ref="B955:C955"/>
    <mergeCell ref="T955:U955"/>
    <mergeCell ref="P957:Q957"/>
    <mergeCell ref="R957:S957"/>
    <mergeCell ref="D955:F955"/>
    <mergeCell ref="A956:O956"/>
    <mergeCell ref="P956:Q956"/>
    <mergeCell ref="R956:S956"/>
    <mergeCell ref="T956:U956"/>
    <mergeCell ref="B957:C957"/>
    <mergeCell ref="D957:F957"/>
    <mergeCell ref="T957:U957"/>
    <mergeCell ref="I959:J959"/>
    <mergeCell ref="L959:M959"/>
    <mergeCell ref="N959:O959"/>
    <mergeCell ref="P959:Q959"/>
    <mergeCell ref="R959:S959"/>
    <mergeCell ref="T959:U959"/>
    <mergeCell ref="L957:M957"/>
    <mergeCell ref="N957:O957"/>
    <mergeCell ref="A958:O958"/>
    <mergeCell ref="P958:Q958"/>
    <mergeCell ref="R958:S958"/>
    <mergeCell ref="T958:U958"/>
    <mergeCell ref="B959:C959"/>
    <mergeCell ref="G957:H957"/>
    <mergeCell ref="I957:J957"/>
    <mergeCell ref="G951:H951"/>
    <mergeCell ref="I951:J951"/>
    <mergeCell ref="L951:M951"/>
    <mergeCell ref="N951:O951"/>
    <mergeCell ref="P951:Q951"/>
    <mergeCell ref="R951:S951"/>
    <mergeCell ref="G953:H953"/>
    <mergeCell ref="I953:J953"/>
    <mergeCell ref="L953:M953"/>
    <mergeCell ref="N953:O953"/>
    <mergeCell ref="P953:Q953"/>
    <mergeCell ref="R953:S953"/>
    <mergeCell ref="D953:F953"/>
    <mergeCell ref="A954:O954"/>
    <mergeCell ref="P954:Q954"/>
    <mergeCell ref="R954:S954"/>
    <mergeCell ref="T954:U954"/>
    <mergeCell ref="T939:U939"/>
    <mergeCell ref="B940:C940"/>
    <mergeCell ref="T940:U940"/>
    <mergeCell ref="P942:Q942"/>
    <mergeCell ref="R942:S942"/>
    <mergeCell ref="R944:S944"/>
    <mergeCell ref="T944:U944"/>
    <mergeCell ref="P945:Q945"/>
    <mergeCell ref="R945:S945"/>
    <mergeCell ref="T945:U945"/>
    <mergeCell ref="R946:S946"/>
    <mergeCell ref="T946:U946"/>
    <mergeCell ref="P949:Q949"/>
    <mergeCell ref="R949:S949"/>
    <mergeCell ref="T949:U949"/>
    <mergeCell ref="P946:Q946"/>
    <mergeCell ref="P947:Q947"/>
    <mergeCell ref="R947:S947"/>
    <mergeCell ref="T947:U947"/>
    <mergeCell ref="P948:Q948"/>
    <mergeCell ref="R948:S948"/>
    <mergeCell ref="T948:U948"/>
    <mergeCell ref="B945:C945"/>
    <mergeCell ref="B948:C948"/>
    <mergeCell ref="D948:F948"/>
    <mergeCell ref="G948:H948"/>
    <mergeCell ref="I948:J948"/>
    <mergeCell ref="L948:M948"/>
    <mergeCell ref="N948:O948"/>
    <mergeCell ref="A949:O949"/>
    <mergeCell ref="L945:M945"/>
    <mergeCell ref="N945:O945"/>
    <mergeCell ref="G942:H942"/>
    <mergeCell ref="I942:J942"/>
    <mergeCell ref="D945:F945"/>
    <mergeCell ref="G945:H945"/>
    <mergeCell ref="I945:J945"/>
    <mergeCell ref="A946:O946"/>
    <mergeCell ref="A947:O947"/>
    <mergeCell ref="L940:M940"/>
    <mergeCell ref="N940:O940"/>
    <mergeCell ref="P940:Q940"/>
    <mergeCell ref="R940:S940"/>
    <mergeCell ref="D938:F938"/>
    <mergeCell ref="A939:O939"/>
    <mergeCell ref="P939:Q939"/>
    <mergeCell ref="R939:S939"/>
    <mergeCell ref="G940:H940"/>
    <mergeCell ref="I940:J940"/>
    <mergeCell ref="D940:F940"/>
    <mergeCell ref="A941:O941"/>
    <mergeCell ref="P941:Q941"/>
    <mergeCell ref="R941:S941"/>
    <mergeCell ref="T941:U941"/>
    <mergeCell ref="B942:C942"/>
    <mergeCell ref="T942:U942"/>
    <mergeCell ref="D942:F942"/>
    <mergeCell ref="A943:O943"/>
    <mergeCell ref="P943:Q943"/>
    <mergeCell ref="R943:S943"/>
    <mergeCell ref="T943:U943"/>
    <mergeCell ref="A944:O944"/>
    <mergeCell ref="P944:Q944"/>
    <mergeCell ref="L942:M942"/>
    <mergeCell ref="N942:O942"/>
    <mergeCell ref="A935:O935"/>
    <mergeCell ref="P935:Q935"/>
    <mergeCell ref="R935:S935"/>
    <mergeCell ref="T935:U935"/>
    <mergeCell ref="B936:C936"/>
    <mergeCell ref="T936:U936"/>
    <mergeCell ref="D936:F936"/>
    <mergeCell ref="A937:O937"/>
    <mergeCell ref="P937:Q937"/>
    <mergeCell ref="R937:S937"/>
    <mergeCell ref="T937:U937"/>
    <mergeCell ref="B938:C938"/>
    <mergeCell ref="T938:U938"/>
    <mergeCell ref="G936:H936"/>
    <mergeCell ref="I936:J936"/>
    <mergeCell ref="L936:M936"/>
    <mergeCell ref="N936:O936"/>
    <mergeCell ref="P936:Q936"/>
    <mergeCell ref="R936:S936"/>
    <mergeCell ref="G938:H938"/>
    <mergeCell ref="I938:J938"/>
    <mergeCell ref="L938:M938"/>
    <mergeCell ref="N938:O938"/>
    <mergeCell ref="P938:Q938"/>
    <mergeCell ref="R938:S938"/>
    <mergeCell ref="P934:Q934"/>
    <mergeCell ref="R932:S932"/>
    <mergeCell ref="T932:U932"/>
    <mergeCell ref="R933:S933"/>
    <mergeCell ref="T933:U933"/>
    <mergeCell ref="R934:S934"/>
    <mergeCell ref="T934:U934"/>
    <mergeCell ref="A931:O931"/>
    <mergeCell ref="P931:Q931"/>
    <mergeCell ref="R931:S931"/>
    <mergeCell ref="T931:U931"/>
    <mergeCell ref="B932:C932"/>
    <mergeCell ref="D932:F932"/>
    <mergeCell ref="G932:H932"/>
    <mergeCell ref="I932:J932"/>
    <mergeCell ref="L932:M932"/>
    <mergeCell ref="B933:C933"/>
    <mergeCell ref="D933:F933"/>
    <mergeCell ref="G933:H933"/>
    <mergeCell ref="I933:J933"/>
    <mergeCell ref="L933:M933"/>
    <mergeCell ref="A934:O934"/>
    <mergeCell ref="P929:Q929"/>
    <mergeCell ref="R929:S929"/>
    <mergeCell ref="T929:U929"/>
    <mergeCell ref="P930:Q930"/>
    <mergeCell ref="R930:S930"/>
    <mergeCell ref="T930:U930"/>
    <mergeCell ref="A929:O929"/>
    <mergeCell ref="B930:C930"/>
    <mergeCell ref="D930:F930"/>
    <mergeCell ref="G930:H930"/>
    <mergeCell ref="I930:J930"/>
    <mergeCell ref="L930:M930"/>
    <mergeCell ref="N930:O930"/>
    <mergeCell ref="N932:O932"/>
    <mergeCell ref="P932:Q932"/>
    <mergeCell ref="N933:O933"/>
    <mergeCell ref="P933:Q933"/>
    <mergeCell ref="P926:Q926"/>
    <mergeCell ref="R926:S926"/>
    <mergeCell ref="T926:U926"/>
    <mergeCell ref="P927:Q927"/>
    <mergeCell ref="R927:S927"/>
    <mergeCell ref="T927:U927"/>
    <mergeCell ref="A926:O926"/>
    <mergeCell ref="B927:C927"/>
    <mergeCell ref="D927:F927"/>
    <mergeCell ref="G927:H927"/>
    <mergeCell ref="I927:J927"/>
    <mergeCell ref="L927:M927"/>
    <mergeCell ref="N927:O927"/>
    <mergeCell ref="A928:O928"/>
    <mergeCell ref="P928:Q928"/>
    <mergeCell ref="R928:S928"/>
    <mergeCell ref="T928:U928"/>
    <mergeCell ref="I924:J924"/>
    <mergeCell ref="L924:M924"/>
    <mergeCell ref="N924:O924"/>
    <mergeCell ref="P924:Q924"/>
    <mergeCell ref="R924:S924"/>
    <mergeCell ref="T924:U924"/>
    <mergeCell ref="A923:O923"/>
    <mergeCell ref="P923:Q923"/>
    <mergeCell ref="R923:S923"/>
    <mergeCell ref="T923:U923"/>
    <mergeCell ref="B924:C924"/>
    <mergeCell ref="D924:F924"/>
    <mergeCell ref="G924:H924"/>
    <mergeCell ref="A925:O925"/>
    <mergeCell ref="P925:Q925"/>
    <mergeCell ref="R925:S925"/>
    <mergeCell ref="T925:U925"/>
    <mergeCell ref="A918:O918"/>
    <mergeCell ref="P918:Q918"/>
    <mergeCell ref="R918:S918"/>
    <mergeCell ref="T918:U918"/>
    <mergeCell ref="P919:Q919"/>
    <mergeCell ref="R919:S919"/>
    <mergeCell ref="T919:U919"/>
    <mergeCell ref="R921:S921"/>
    <mergeCell ref="T921:U921"/>
    <mergeCell ref="A919:O919"/>
    <mergeCell ref="A920:O920"/>
    <mergeCell ref="P920:Q920"/>
    <mergeCell ref="R920:S920"/>
    <mergeCell ref="T920:U920"/>
    <mergeCell ref="A921:O921"/>
    <mergeCell ref="P921:Q921"/>
    <mergeCell ref="R922:S922"/>
    <mergeCell ref="T922:U922"/>
    <mergeCell ref="B922:C922"/>
    <mergeCell ref="D922:F922"/>
    <mergeCell ref="G922:H922"/>
    <mergeCell ref="I922:J922"/>
    <mergeCell ref="L922:M922"/>
    <mergeCell ref="N922:O922"/>
    <mergeCell ref="P922:Q922"/>
    <mergeCell ref="I900:J900"/>
    <mergeCell ref="L900:M900"/>
    <mergeCell ref="N900:O900"/>
    <mergeCell ref="P900:Q900"/>
    <mergeCell ref="R900:S900"/>
    <mergeCell ref="T900:U900"/>
    <mergeCell ref="A899:O899"/>
    <mergeCell ref="P899:Q899"/>
    <mergeCell ref="R899:S899"/>
    <mergeCell ref="T899:U899"/>
    <mergeCell ref="B900:C900"/>
    <mergeCell ref="D900:F900"/>
    <mergeCell ref="G900:H900"/>
    <mergeCell ref="I917:J917"/>
    <mergeCell ref="L917:M917"/>
    <mergeCell ref="G915:H915"/>
    <mergeCell ref="I915:J915"/>
    <mergeCell ref="A916:O916"/>
    <mergeCell ref="P916:Q916"/>
    <mergeCell ref="R916:S916"/>
    <mergeCell ref="T916:U916"/>
    <mergeCell ref="B917:C917"/>
    <mergeCell ref="P897:Q897"/>
    <mergeCell ref="R897:S897"/>
    <mergeCell ref="D895:F895"/>
    <mergeCell ref="G895:H895"/>
    <mergeCell ref="A896:O896"/>
    <mergeCell ref="P896:Q896"/>
    <mergeCell ref="R896:S896"/>
    <mergeCell ref="T896:U896"/>
    <mergeCell ref="T897:U897"/>
    <mergeCell ref="P898:Q898"/>
    <mergeCell ref="R898:S898"/>
    <mergeCell ref="T898:U898"/>
    <mergeCell ref="A897:O897"/>
    <mergeCell ref="B898:C898"/>
    <mergeCell ref="D898:F898"/>
    <mergeCell ref="G898:H898"/>
    <mergeCell ref="I898:J898"/>
    <mergeCell ref="L898:M898"/>
    <mergeCell ref="N898:O898"/>
    <mergeCell ref="N893:O893"/>
    <mergeCell ref="P893:Q893"/>
    <mergeCell ref="A894:O894"/>
    <mergeCell ref="P894:Q894"/>
    <mergeCell ref="R894:S894"/>
    <mergeCell ref="T894:U894"/>
    <mergeCell ref="B895:C895"/>
    <mergeCell ref="D883:F883"/>
    <mergeCell ref="G883:H883"/>
    <mergeCell ref="A884:O884"/>
    <mergeCell ref="P884:Q884"/>
    <mergeCell ref="R884:S884"/>
    <mergeCell ref="T884:U884"/>
    <mergeCell ref="T885:U885"/>
    <mergeCell ref="G887:H887"/>
    <mergeCell ref="I887:J887"/>
    <mergeCell ref="L887:M887"/>
    <mergeCell ref="N887:O887"/>
    <mergeCell ref="P887:Q887"/>
    <mergeCell ref="R887:S887"/>
    <mergeCell ref="P889:Q889"/>
    <mergeCell ref="R889:S889"/>
    <mergeCell ref="P890:Q890"/>
    <mergeCell ref="R890:S890"/>
    <mergeCell ref="T890:U890"/>
    <mergeCell ref="L891:M891"/>
    <mergeCell ref="N891:O891"/>
    <mergeCell ref="P891:Q891"/>
    <mergeCell ref="R891:S891"/>
    <mergeCell ref="T891:U891"/>
    <mergeCell ref="D917:F917"/>
    <mergeCell ref="G917:H917"/>
    <mergeCell ref="N917:O917"/>
    <mergeCell ref="P917:Q917"/>
    <mergeCell ref="R917:S917"/>
    <mergeCell ref="T917:U917"/>
    <mergeCell ref="A885:O885"/>
    <mergeCell ref="A886:O886"/>
    <mergeCell ref="P886:Q886"/>
    <mergeCell ref="R886:S886"/>
    <mergeCell ref="T886:U886"/>
    <mergeCell ref="B887:C887"/>
    <mergeCell ref="T887:U887"/>
    <mergeCell ref="D887:F887"/>
    <mergeCell ref="A888:O888"/>
    <mergeCell ref="P888:Q888"/>
    <mergeCell ref="R888:S888"/>
    <mergeCell ref="T888:U888"/>
    <mergeCell ref="B889:C889"/>
    <mergeCell ref="D889:F889"/>
    <mergeCell ref="T889:U889"/>
    <mergeCell ref="G889:H889"/>
    <mergeCell ref="I889:J889"/>
    <mergeCell ref="L889:M889"/>
    <mergeCell ref="N889:O889"/>
    <mergeCell ref="A890:O890"/>
    <mergeCell ref="B891:C891"/>
    <mergeCell ref="D891:F891"/>
    <mergeCell ref="G891:H891"/>
    <mergeCell ref="I891:J891"/>
    <mergeCell ref="I893:J893"/>
    <mergeCell ref="L893:M893"/>
    <mergeCell ref="A908:O908"/>
    <mergeCell ref="P908:Q908"/>
    <mergeCell ref="R908:S908"/>
    <mergeCell ref="T908:U908"/>
    <mergeCell ref="B909:C909"/>
    <mergeCell ref="D909:F909"/>
    <mergeCell ref="I911:J911"/>
    <mergeCell ref="L911:M911"/>
    <mergeCell ref="N911:O911"/>
    <mergeCell ref="P911:Q911"/>
    <mergeCell ref="R911:S911"/>
    <mergeCell ref="T911:U911"/>
    <mergeCell ref="A910:O910"/>
    <mergeCell ref="P910:Q910"/>
    <mergeCell ref="R910:S910"/>
    <mergeCell ref="T910:U910"/>
    <mergeCell ref="B911:C911"/>
    <mergeCell ref="D911:F911"/>
    <mergeCell ref="G911:H911"/>
    <mergeCell ref="G909:H909"/>
    <mergeCell ref="I909:J909"/>
    <mergeCell ref="P909:Q909"/>
    <mergeCell ref="R909:S909"/>
    <mergeCell ref="T909:U909"/>
    <mergeCell ref="A912:O912"/>
    <mergeCell ref="P912:Q912"/>
    <mergeCell ref="R912:S912"/>
    <mergeCell ref="T912:U912"/>
    <mergeCell ref="P913:Q913"/>
    <mergeCell ref="R913:S913"/>
    <mergeCell ref="T913:U913"/>
    <mergeCell ref="L915:M915"/>
    <mergeCell ref="N915:O915"/>
    <mergeCell ref="P915:Q915"/>
    <mergeCell ref="R915:S915"/>
    <mergeCell ref="A913:O913"/>
    <mergeCell ref="A914:O914"/>
    <mergeCell ref="P914:Q914"/>
    <mergeCell ref="R914:S914"/>
    <mergeCell ref="T914:U914"/>
    <mergeCell ref="B915:C915"/>
    <mergeCell ref="D915:F915"/>
    <mergeCell ref="T915:U915"/>
    <mergeCell ref="L909:M909"/>
    <mergeCell ref="N909:O909"/>
    <mergeCell ref="B907:C907"/>
    <mergeCell ref="T907:U907"/>
    <mergeCell ref="A901:O901"/>
    <mergeCell ref="P901:Q901"/>
    <mergeCell ref="R901:S901"/>
    <mergeCell ref="T901:U901"/>
    <mergeCell ref="P902:Q902"/>
    <mergeCell ref="R902:S902"/>
    <mergeCell ref="T902:U902"/>
    <mergeCell ref="P903:Q903"/>
    <mergeCell ref="R903:S903"/>
    <mergeCell ref="T903:U903"/>
    <mergeCell ref="A902:O902"/>
    <mergeCell ref="B903:C903"/>
    <mergeCell ref="D903:F903"/>
    <mergeCell ref="G903:H903"/>
    <mergeCell ref="I903:J903"/>
    <mergeCell ref="L903:M903"/>
    <mergeCell ref="N903:O903"/>
    <mergeCell ref="G907:H907"/>
    <mergeCell ref="I907:J907"/>
    <mergeCell ref="L907:M907"/>
    <mergeCell ref="N907:O907"/>
    <mergeCell ref="P907:Q907"/>
    <mergeCell ref="R907:S907"/>
    <mergeCell ref="D907:F907"/>
    <mergeCell ref="P875:Q875"/>
    <mergeCell ref="R875:S875"/>
    <mergeCell ref="T875:U875"/>
    <mergeCell ref="P885:Q885"/>
    <mergeCell ref="R885:S885"/>
    <mergeCell ref="A904:O904"/>
    <mergeCell ref="P904:Q904"/>
    <mergeCell ref="R904:S904"/>
    <mergeCell ref="T904:U904"/>
    <mergeCell ref="P905:Q905"/>
    <mergeCell ref="R905:S905"/>
    <mergeCell ref="T905:U905"/>
    <mergeCell ref="A905:O905"/>
    <mergeCell ref="A906:O906"/>
    <mergeCell ref="P906:Q906"/>
    <mergeCell ref="R906:S906"/>
    <mergeCell ref="T906:U906"/>
    <mergeCell ref="R893:S893"/>
    <mergeCell ref="T893:U893"/>
    <mergeCell ref="A892:O892"/>
    <mergeCell ref="P892:Q892"/>
    <mergeCell ref="R892:S892"/>
    <mergeCell ref="T892:U892"/>
    <mergeCell ref="B893:C893"/>
    <mergeCell ref="D893:F893"/>
    <mergeCell ref="G893:H893"/>
    <mergeCell ref="I895:J895"/>
    <mergeCell ref="L895:M895"/>
    <mergeCell ref="N895:O895"/>
    <mergeCell ref="P895:Q895"/>
    <mergeCell ref="R895:S895"/>
    <mergeCell ref="T895:U895"/>
    <mergeCell ref="I881:J881"/>
    <mergeCell ref="L881:M881"/>
    <mergeCell ref="N881:O881"/>
    <mergeCell ref="P881:Q881"/>
    <mergeCell ref="R881:S881"/>
    <mergeCell ref="T881:U881"/>
    <mergeCell ref="D879:F879"/>
    <mergeCell ref="G879:H879"/>
    <mergeCell ref="A880:O880"/>
    <mergeCell ref="P880:Q880"/>
    <mergeCell ref="R880:S880"/>
    <mergeCell ref="T880:U880"/>
    <mergeCell ref="B881:C881"/>
    <mergeCell ref="I883:J883"/>
    <mergeCell ref="L883:M883"/>
    <mergeCell ref="N883:O883"/>
    <mergeCell ref="P883:Q883"/>
    <mergeCell ref="R883:S883"/>
    <mergeCell ref="T883:U883"/>
    <mergeCell ref="D881:F881"/>
    <mergeCell ref="G881:H881"/>
    <mergeCell ref="A882:O882"/>
    <mergeCell ref="P882:Q882"/>
    <mergeCell ref="R882:S882"/>
    <mergeCell ref="T882:U882"/>
    <mergeCell ref="B883:C883"/>
    <mergeCell ref="I877:J877"/>
    <mergeCell ref="L877:M877"/>
    <mergeCell ref="R877:S877"/>
    <mergeCell ref="T877:U877"/>
    <mergeCell ref="A876:O876"/>
    <mergeCell ref="P876:Q876"/>
    <mergeCell ref="R876:S876"/>
    <mergeCell ref="T876:U876"/>
    <mergeCell ref="B877:C877"/>
    <mergeCell ref="D877:F877"/>
    <mergeCell ref="G877:H877"/>
    <mergeCell ref="I879:J879"/>
    <mergeCell ref="L879:M879"/>
    <mergeCell ref="N879:O879"/>
    <mergeCell ref="P879:Q879"/>
    <mergeCell ref="R879:S879"/>
    <mergeCell ref="T879:U879"/>
    <mergeCell ref="N877:O877"/>
    <mergeCell ref="P877:Q877"/>
    <mergeCell ref="A878:O878"/>
    <mergeCell ref="P878:Q878"/>
    <mergeCell ref="R878:S878"/>
    <mergeCell ref="T878:U878"/>
    <mergeCell ref="B879:C879"/>
    <mergeCell ref="R871:S871"/>
    <mergeCell ref="T871:U871"/>
    <mergeCell ref="B871:C871"/>
    <mergeCell ref="D871:F871"/>
    <mergeCell ref="G871:H871"/>
    <mergeCell ref="I871:J871"/>
    <mergeCell ref="L871:M871"/>
    <mergeCell ref="N871:O871"/>
    <mergeCell ref="P871:Q871"/>
    <mergeCell ref="I875:J875"/>
    <mergeCell ref="L875:M875"/>
    <mergeCell ref="A874:O874"/>
    <mergeCell ref="P874:Q874"/>
    <mergeCell ref="R874:S874"/>
    <mergeCell ref="T874:U874"/>
    <mergeCell ref="B875:C875"/>
    <mergeCell ref="D875:F875"/>
    <mergeCell ref="G875:H875"/>
    <mergeCell ref="I873:J873"/>
    <mergeCell ref="L873:M873"/>
    <mergeCell ref="N873:O873"/>
    <mergeCell ref="P873:Q873"/>
    <mergeCell ref="R873:S873"/>
    <mergeCell ref="T873:U873"/>
    <mergeCell ref="A872:O872"/>
    <mergeCell ref="P872:Q872"/>
    <mergeCell ref="R872:S872"/>
    <mergeCell ref="T872:U872"/>
    <mergeCell ref="B873:C873"/>
    <mergeCell ref="D873:F873"/>
    <mergeCell ref="G873:H873"/>
    <mergeCell ref="N875:O875"/>
    <mergeCell ref="P867:Q867"/>
    <mergeCell ref="R867:S867"/>
    <mergeCell ref="T867:U867"/>
    <mergeCell ref="R869:S869"/>
    <mergeCell ref="T869:U869"/>
    <mergeCell ref="A867:O867"/>
    <mergeCell ref="A868:O868"/>
    <mergeCell ref="P868:Q868"/>
    <mergeCell ref="R868:S868"/>
    <mergeCell ref="T868:U868"/>
    <mergeCell ref="A869:O869"/>
    <mergeCell ref="P869:Q869"/>
    <mergeCell ref="R870:S870"/>
    <mergeCell ref="T870:U870"/>
    <mergeCell ref="B870:C870"/>
    <mergeCell ref="D870:F870"/>
    <mergeCell ref="G870:H870"/>
    <mergeCell ref="I870:J870"/>
    <mergeCell ref="L870:M870"/>
    <mergeCell ref="N870:O870"/>
    <mergeCell ref="P870:Q870"/>
    <mergeCell ref="I865:J865"/>
    <mergeCell ref="L865:M865"/>
    <mergeCell ref="N865:O865"/>
    <mergeCell ref="P865:Q865"/>
    <mergeCell ref="R865:S865"/>
    <mergeCell ref="T865:U865"/>
    <mergeCell ref="A864:O864"/>
    <mergeCell ref="P864:Q864"/>
    <mergeCell ref="R864:S864"/>
    <mergeCell ref="T864:U864"/>
    <mergeCell ref="B865:C865"/>
    <mergeCell ref="D865:F865"/>
    <mergeCell ref="G865:H865"/>
    <mergeCell ref="A866:O866"/>
    <mergeCell ref="P866:Q866"/>
    <mergeCell ref="R866:S866"/>
    <mergeCell ref="T866:U866"/>
    <mergeCell ref="P861:Q861"/>
    <mergeCell ref="R861:S861"/>
    <mergeCell ref="D859:F859"/>
    <mergeCell ref="G859:H859"/>
    <mergeCell ref="A860:O860"/>
    <mergeCell ref="P860:Q860"/>
    <mergeCell ref="R860:S860"/>
    <mergeCell ref="T860:U860"/>
    <mergeCell ref="T861:U861"/>
    <mergeCell ref="R863:S863"/>
    <mergeCell ref="T863:U863"/>
    <mergeCell ref="A861:O861"/>
    <mergeCell ref="A862:O862"/>
    <mergeCell ref="P862:Q862"/>
    <mergeCell ref="R862:S862"/>
    <mergeCell ref="T862:U862"/>
    <mergeCell ref="A863:O863"/>
    <mergeCell ref="P863:Q863"/>
    <mergeCell ref="I859:J859"/>
    <mergeCell ref="L859:M859"/>
    <mergeCell ref="N859:O859"/>
    <mergeCell ref="P859:Q859"/>
    <mergeCell ref="R859:S859"/>
    <mergeCell ref="T859:U859"/>
    <mergeCell ref="D857:F857"/>
    <mergeCell ref="G857:H857"/>
    <mergeCell ref="A858:O858"/>
    <mergeCell ref="P858:Q858"/>
    <mergeCell ref="R858:S858"/>
    <mergeCell ref="T858:U858"/>
    <mergeCell ref="B859:C859"/>
    <mergeCell ref="A845:O845"/>
    <mergeCell ref="P845:Q845"/>
    <mergeCell ref="R845:S845"/>
    <mergeCell ref="T845:U845"/>
    <mergeCell ref="P846:Q846"/>
    <mergeCell ref="R846:S846"/>
    <mergeCell ref="T846:U846"/>
    <mergeCell ref="P847:Q847"/>
    <mergeCell ref="R847:S847"/>
    <mergeCell ref="T847:U847"/>
    <mergeCell ref="A846:O846"/>
    <mergeCell ref="B847:C847"/>
    <mergeCell ref="D847:F847"/>
    <mergeCell ref="G847:H847"/>
    <mergeCell ref="I847:J847"/>
    <mergeCell ref="L847:M847"/>
    <mergeCell ref="N847:O847"/>
    <mergeCell ref="G851:H851"/>
    <mergeCell ref="I851:J851"/>
    <mergeCell ref="I855:J855"/>
    <mergeCell ref="L855:M855"/>
    <mergeCell ref="N855:O855"/>
    <mergeCell ref="P855:Q855"/>
    <mergeCell ref="R855:S855"/>
    <mergeCell ref="T855:U855"/>
    <mergeCell ref="G853:H853"/>
    <mergeCell ref="I853:J853"/>
    <mergeCell ref="A854:O854"/>
    <mergeCell ref="P854:Q854"/>
    <mergeCell ref="R854:S854"/>
    <mergeCell ref="T854:U854"/>
    <mergeCell ref="B855:C855"/>
    <mergeCell ref="I857:J857"/>
    <mergeCell ref="L857:M857"/>
    <mergeCell ref="N857:O857"/>
    <mergeCell ref="P857:Q857"/>
    <mergeCell ref="R857:S857"/>
    <mergeCell ref="T857:U857"/>
    <mergeCell ref="D855:F855"/>
    <mergeCell ref="G855:H855"/>
    <mergeCell ref="A856:O856"/>
    <mergeCell ref="P856:Q856"/>
    <mergeCell ref="R856:S856"/>
    <mergeCell ref="T856:U856"/>
    <mergeCell ref="B857:C857"/>
    <mergeCell ref="A850:O850"/>
    <mergeCell ref="P850:Q850"/>
    <mergeCell ref="R850:S850"/>
    <mergeCell ref="T850:U850"/>
    <mergeCell ref="B851:C851"/>
    <mergeCell ref="T851:U851"/>
    <mergeCell ref="L853:M853"/>
    <mergeCell ref="N853:O853"/>
    <mergeCell ref="P853:Q853"/>
    <mergeCell ref="R853:S853"/>
    <mergeCell ref="D851:F851"/>
    <mergeCell ref="A852:O852"/>
    <mergeCell ref="P852:Q852"/>
    <mergeCell ref="R852:S852"/>
    <mergeCell ref="T852:U852"/>
    <mergeCell ref="B853:C853"/>
    <mergeCell ref="D853:F853"/>
    <mergeCell ref="T853:U853"/>
    <mergeCell ref="L851:M851"/>
    <mergeCell ref="N851:O851"/>
    <mergeCell ref="P851:Q851"/>
    <mergeCell ref="R851:S851"/>
    <mergeCell ref="R844:S844"/>
    <mergeCell ref="T844:U844"/>
    <mergeCell ref="D842:F842"/>
    <mergeCell ref="A843:O843"/>
    <mergeCell ref="P843:Q843"/>
    <mergeCell ref="R843:S843"/>
    <mergeCell ref="T843:U843"/>
    <mergeCell ref="A844:O844"/>
    <mergeCell ref="P844:Q844"/>
    <mergeCell ref="A848:O848"/>
    <mergeCell ref="P848:Q848"/>
    <mergeCell ref="R848:S848"/>
    <mergeCell ref="T848:U848"/>
    <mergeCell ref="P849:Q849"/>
    <mergeCell ref="R849:S849"/>
    <mergeCell ref="T849:U849"/>
    <mergeCell ref="A849:O849"/>
    <mergeCell ref="P840:Q840"/>
    <mergeCell ref="R840:S840"/>
    <mergeCell ref="D838:F838"/>
    <mergeCell ref="G838:H838"/>
    <mergeCell ref="A839:O839"/>
    <mergeCell ref="P839:Q839"/>
    <mergeCell ref="R839:S839"/>
    <mergeCell ref="T839:U839"/>
    <mergeCell ref="T840:U840"/>
    <mergeCell ref="G842:H842"/>
    <mergeCell ref="I842:J842"/>
    <mergeCell ref="L842:M842"/>
    <mergeCell ref="N842:O842"/>
    <mergeCell ref="P842:Q842"/>
    <mergeCell ref="R842:S842"/>
    <mergeCell ref="A840:O840"/>
    <mergeCell ref="A841:O841"/>
    <mergeCell ref="P841:Q841"/>
    <mergeCell ref="R841:S841"/>
    <mergeCell ref="T841:U841"/>
    <mergeCell ref="B842:C842"/>
    <mergeCell ref="T842:U842"/>
    <mergeCell ref="A824:O824"/>
    <mergeCell ref="P824:Q824"/>
    <mergeCell ref="R824:S824"/>
    <mergeCell ref="T824:U824"/>
    <mergeCell ref="T825:U825"/>
    <mergeCell ref="G827:H827"/>
    <mergeCell ref="I827:J827"/>
    <mergeCell ref="L827:M827"/>
    <mergeCell ref="N827:O827"/>
    <mergeCell ref="P827:Q827"/>
    <mergeCell ref="R827:S827"/>
    <mergeCell ref="P829:Q829"/>
    <mergeCell ref="R829:S829"/>
    <mergeCell ref="P830:Q830"/>
    <mergeCell ref="R830:S830"/>
    <mergeCell ref="T830:U830"/>
    <mergeCell ref="L831:M831"/>
    <mergeCell ref="N831:O831"/>
    <mergeCell ref="P831:Q831"/>
    <mergeCell ref="R831:S831"/>
    <mergeCell ref="T831:U831"/>
    <mergeCell ref="A835:O835"/>
    <mergeCell ref="P835:Q835"/>
    <mergeCell ref="R836:S836"/>
    <mergeCell ref="T836:U836"/>
    <mergeCell ref="R835:S835"/>
    <mergeCell ref="T835:U835"/>
    <mergeCell ref="B836:C836"/>
    <mergeCell ref="D836:F836"/>
    <mergeCell ref="G836:H836"/>
    <mergeCell ref="I836:J836"/>
    <mergeCell ref="L836:M836"/>
    <mergeCell ref="I838:J838"/>
    <mergeCell ref="L838:M838"/>
    <mergeCell ref="N838:O838"/>
    <mergeCell ref="P838:Q838"/>
    <mergeCell ref="R838:S838"/>
    <mergeCell ref="T838:U838"/>
    <mergeCell ref="N836:O836"/>
    <mergeCell ref="P836:Q836"/>
    <mergeCell ref="A837:O837"/>
    <mergeCell ref="P837:Q837"/>
    <mergeCell ref="R837:S837"/>
    <mergeCell ref="T837:U837"/>
    <mergeCell ref="B838:C838"/>
    <mergeCell ref="A830:O830"/>
    <mergeCell ref="B831:C831"/>
    <mergeCell ref="D831:F831"/>
    <mergeCell ref="G831:H831"/>
    <mergeCell ref="I831:J831"/>
    <mergeCell ref="A832:O832"/>
    <mergeCell ref="P832:Q832"/>
    <mergeCell ref="R832:S832"/>
    <mergeCell ref="T832:U832"/>
    <mergeCell ref="P833:Q833"/>
    <mergeCell ref="R833:S833"/>
    <mergeCell ref="T833:U833"/>
    <mergeCell ref="A833:O833"/>
    <mergeCell ref="A834:O834"/>
    <mergeCell ref="P834:Q834"/>
    <mergeCell ref="R834:S834"/>
    <mergeCell ref="T834:U834"/>
    <mergeCell ref="A825:O825"/>
    <mergeCell ref="A826:O826"/>
    <mergeCell ref="P826:Q826"/>
    <mergeCell ref="R826:S826"/>
    <mergeCell ref="T826:U826"/>
    <mergeCell ref="B827:C827"/>
    <mergeCell ref="T827:U827"/>
    <mergeCell ref="D827:F827"/>
    <mergeCell ref="A828:O828"/>
    <mergeCell ref="P828:Q828"/>
    <mergeCell ref="R828:S828"/>
    <mergeCell ref="T828:U828"/>
    <mergeCell ref="B829:C829"/>
    <mergeCell ref="D829:F829"/>
    <mergeCell ref="T829:U829"/>
    <mergeCell ref="G829:H829"/>
    <mergeCell ref="I829:J829"/>
    <mergeCell ref="L829:M829"/>
    <mergeCell ref="N829:O829"/>
    <mergeCell ref="G769:H769"/>
    <mergeCell ref="I769:J769"/>
    <mergeCell ref="L769:M769"/>
    <mergeCell ref="N769:O769"/>
    <mergeCell ref="P769:Q769"/>
    <mergeCell ref="R769:S769"/>
    <mergeCell ref="A767:O767"/>
    <mergeCell ref="A768:O768"/>
    <mergeCell ref="P768:Q768"/>
    <mergeCell ref="R768:S768"/>
    <mergeCell ref="T768:U768"/>
    <mergeCell ref="B769:C769"/>
    <mergeCell ref="T769:U769"/>
    <mergeCell ref="R771:S771"/>
    <mergeCell ref="T771:U771"/>
    <mergeCell ref="D769:F769"/>
    <mergeCell ref="A770:O770"/>
    <mergeCell ref="P770:Q770"/>
    <mergeCell ref="R770:S770"/>
    <mergeCell ref="T770:U770"/>
    <mergeCell ref="A771:O771"/>
    <mergeCell ref="P771:Q771"/>
    <mergeCell ref="R761:S761"/>
    <mergeCell ref="T761:U761"/>
    <mergeCell ref="P762:Q762"/>
    <mergeCell ref="R762:S762"/>
    <mergeCell ref="T762:U762"/>
    <mergeCell ref="P763:Q763"/>
    <mergeCell ref="R763:S763"/>
    <mergeCell ref="T763:U763"/>
    <mergeCell ref="A762:O762"/>
    <mergeCell ref="B763:C763"/>
    <mergeCell ref="D763:F763"/>
    <mergeCell ref="G763:H763"/>
    <mergeCell ref="I763:J763"/>
    <mergeCell ref="L763:M763"/>
    <mergeCell ref="N763:O763"/>
    <mergeCell ref="P767:Q767"/>
    <mergeCell ref="R767:S767"/>
    <mergeCell ref="N765:O765"/>
    <mergeCell ref="P765:Q765"/>
    <mergeCell ref="A766:O766"/>
    <mergeCell ref="P766:Q766"/>
    <mergeCell ref="R766:S766"/>
    <mergeCell ref="T766:U766"/>
    <mergeCell ref="T767:U767"/>
    <mergeCell ref="P759:Q759"/>
    <mergeCell ref="R759:S759"/>
    <mergeCell ref="I765:J765"/>
    <mergeCell ref="L765:M765"/>
    <mergeCell ref="R765:S765"/>
    <mergeCell ref="T765:U765"/>
    <mergeCell ref="A764:O764"/>
    <mergeCell ref="P764:Q764"/>
    <mergeCell ref="R764:S764"/>
    <mergeCell ref="T764:U764"/>
    <mergeCell ref="B765:C765"/>
    <mergeCell ref="D765:F765"/>
    <mergeCell ref="G765:H765"/>
    <mergeCell ref="N757:O757"/>
    <mergeCell ref="P757:Q757"/>
    <mergeCell ref="A758:O758"/>
    <mergeCell ref="P758:Q758"/>
    <mergeCell ref="R758:S758"/>
    <mergeCell ref="T758:U758"/>
    <mergeCell ref="T759:U759"/>
    <mergeCell ref="P760:Q760"/>
    <mergeCell ref="R760:S760"/>
    <mergeCell ref="T760:U760"/>
    <mergeCell ref="A759:O759"/>
    <mergeCell ref="B760:C760"/>
    <mergeCell ref="D760:F760"/>
    <mergeCell ref="G760:H760"/>
    <mergeCell ref="I760:J760"/>
    <mergeCell ref="L760:M760"/>
    <mergeCell ref="N760:O760"/>
    <mergeCell ref="A761:O761"/>
    <mergeCell ref="P761:Q761"/>
    <mergeCell ref="I753:J753"/>
    <mergeCell ref="L753:M753"/>
    <mergeCell ref="N753:O753"/>
    <mergeCell ref="P753:Q753"/>
    <mergeCell ref="R753:S753"/>
    <mergeCell ref="T753:U753"/>
    <mergeCell ref="A752:O752"/>
    <mergeCell ref="P752:Q752"/>
    <mergeCell ref="R752:S752"/>
    <mergeCell ref="T752:U752"/>
    <mergeCell ref="B753:C753"/>
    <mergeCell ref="D753:F753"/>
    <mergeCell ref="G753:H753"/>
    <mergeCell ref="N755:O755"/>
    <mergeCell ref="P755:Q755"/>
    <mergeCell ref="R755:S755"/>
    <mergeCell ref="T755:U755"/>
    <mergeCell ref="I755:J755"/>
    <mergeCell ref="L755:M755"/>
    <mergeCell ref="A754:O754"/>
    <mergeCell ref="P754:Q754"/>
    <mergeCell ref="R754:S754"/>
    <mergeCell ref="T754:U754"/>
    <mergeCell ref="B755:C755"/>
    <mergeCell ref="D755:F755"/>
    <mergeCell ref="G755:H755"/>
    <mergeCell ref="I757:J757"/>
    <mergeCell ref="L757:M757"/>
    <mergeCell ref="R757:S757"/>
    <mergeCell ref="T757:U757"/>
    <mergeCell ref="A756:O756"/>
    <mergeCell ref="P756:Q756"/>
    <mergeCell ref="R756:S756"/>
    <mergeCell ref="T756:U756"/>
    <mergeCell ref="B757:C757"/>
    <mergeCell ref="D757:F757"/>
    <mergeCell ref="G757:H757"/>
    <mergeCell ref="R747:S747"/>
    <mergeCell ref="T747:U747"/>
    <mergeCell ref="B747:C747"/>
    <mergeCell ref="D747:F747"/>
    <mergeCell ref="G747:H747"/>
    <mergeCell ref="I747:J747"/>
    <mergeCell ref="L747:M747"/>
    <mergeCell ref="N747:O747"/>
    <mergeCell ref="P747:Q747"/>
    <mergeCell ref="A748:O748"/>
    <mergeCell ref="P748:Q748"/>
    <mergeCell ref="R748:S748"/>
    <mergeCell ref="T748:U748"/>
    <mergeCell ref="P749:Q749"/>
    <mergeCell ref="R749:S749"/>
    <mergeCell ref="T749:U749"/>
    <mergeCell ref="R751:S751"/>
    <mergeCell ref="T751:U751"/>
    <mergeCell ref="A749:O749"/>
    <mergeCell ref="A750:O750"/>
    <mergeCell ref="P750:Q750"/>
    <mergeCell ref="R750:S750"/>
    <mergeCell ref="T750:U750"/>
    <mergeCell ref="A751:O751"/>
    <mergeCell ref="P751:Q751"/>
    <mergeCell ref="N742:O742"/>
    <mergeCell ref="A739:O739"/>
    <mergeCell ref="A740:O740"/>
    <mergeCell ref="P740:Q740"/>
    <mergeCell ref="R740:S740"/>
    <mergeCell ref="T740:U740"/>
    <mergeCell ref="B741:C741"/>
    <mergeCell ref="D741:F741"/>
    <mergeCell ref="T741:U741"/>
    <mergeCell ref="G741:H741"/>
    <mergeCell ref="I741:J741"/>
    <mergeCell ref="B742:C742"/>
    <mergeCell ref="D742:F742"/>
    <mergeCell ref="G742:H742"/>
    <mergeCell ref="I742:J742"/>
    <mergeCell ref="A743:O743"/>
    <mergeCell ref="R746:S746"/>
    <mergeCell ref="T746:U746"/>
    <mergeCell ref="A744:O744"/>
    <mergeCell ref="A745:O745"/>
    <mergeCell ref="P745:Q745"/>
    <mergeCell ref="R745:S745"/>
    <mergeCell ref="T745:U745"/>
    <mergeCell ref="A746:O746"/>
    <mergeCell ref="P746:Q746"/>
    <mergeCell ref="P743:Q743"/>
    <mergeCell ref="P744:Q744"/>
    <mergeCell ref="R744:S744"/>
    <mergeCell ref="T744:U744"/>
    <mergeCell ref="P741:Q741"/>
    <mergeCell ref="R741:S741"/>
    <mergeCell ref="P742:Q742"/>
    <mergeCell ref="R742:S742"/>
    <mergeCell ref="T742:U742"/>
    <mergeCell ref="R743:S743"/>
    <mergeCell ref="T743:U743"/>
    <mergeCell ref="I737:J737"/>
    <mergeCell ref="L737:M737"/>
    <mergeCell ref="N737:O737"/>
    <mergeCell ref="P737:Q737"/>
    <mergeCell ref="N734:O734"/>
    <mergeCell ref="P734:Q734"/>
    <mergeCell ref="A735:O735"/>
    <mergeCell ref="P735:Q735"/>
    <mergeCell ref="A736:O736"/>
    <mergeCell ref="P736:Q736"/>
    <mergeCell ref="B737:C737"/>
    <mergeCell ref="A738:O738"/>
    <mergeCell ref="P738:Q738"/>
    <mergeCell ref="R738:S738"/>
    <mergeCell ref="T738:U738"/>
    <mergeCell ref="P739:Q739"/>
    <mergeCell ref="R739:S739"/>
    <mergeCell ref="T739:U739"/>
    <mergeCell ref="L741:M741"/>
    <mergeCell ref="N741:O741"/>
    <mergeCell ref="L742:M742"/>
    <mergeCell ref="T732:U732"/>
    <mergeCell ref="A731:O731"/>
    <mergeCell ref="B732:C732"/>
    <mergeCell ref="D732:F732"/>
    <mergeCell ref="G732:H732"/>
    <mergeCell ref="I732:J732"/>
    <mergeCell ref="L732:M732"/>
    <mergeCell ref="N732:O732"/>
    <mergeCell ref="R734:S734"/>
    <mergeCell ref="T734:U734"/>
    <mergeCell ref="R735:S735"/>
    <mergeCell ref="T735:U735"/>
    <mergeCell ref="R736:S736"/>
    <mergeCell ref="T736:U736"/>
    <mergeCell ref="R737:S737"/>
    <mergeCell ref="T737:U737"/>
    <mergeCell ref="D737:F737"/>
    <mergeCell ref="G737:H737"/>
    <mergeCell ref="I734:J734"/>
    <mergeCell ref="L734:M734"/>
    <mergeCell ref="A733:O733"/>
    <mergeCell ref="P733:Q733"/>
    <mergeCell ref="R733:S733"/>
    <mergeCell ref="T733:U733"/>
    <mergeCell ref="B734:C734"/>
    <mergeCell ref="D734:F734"/>
    <mergeCell ref="G734:H734"/>
    <mergeCell ref="L722:M722"/>
    <mergeCell ref="N722:O722"/>
    <mergeCell ref="A723:O723"/>
    <mergeCell ref="A724:O724"/>
    <mergeCell ref="A725:O725"/>
    <mergeCell ref="A726:O726"/>
    <mergeCell ref="A727:O727"/>
    <mergeCell ref="A728:O728"/>
    <mergeCell ref="B729:C729"/>
    <mergeCell ref="D729:F729"/>
    <mergeCell ref="G729:H729"/>
    <mergeCell ref="I729:J729"/>
    <mergeCell ref="L729:M729"/>
    <mergeCell ref="N729:O729"/>
    <mergeCell ref="A730:O730"/>
    <mergeCell ref="P730:Q730"/>
    <mergeCell ref="R730:S730"/>
    <mergeCell ref="T730:U730"/>
    <mergeCell ref="P731:Q731"/>
    <mergeCell ref="R731:S731"/>
    <mergeCell ref="T731:U731"/>
    <mergeCell ref="P732:Q732"/>
    <mergeCell ref="R732:S732"/>
    <mergeCell ref="A717:O717"/>
    <mergeCell ref="P717:Q717"/>
    <mergeCell ref="R717:S717"/>
    <mergeCell ref="T717:U717"/>
    <mergeCell ref="B718:C718"/>
    <mergeCell ref="D718:F718"/>
    <mergeCell ref="G718:H718"/>
    <mergeCell ref="G722:H722"/>
    <mergeCell ref="I722:J722"/>
    <mergeCell ref="P727:Q727"/>
    <mergeCell ref="R727:S727"/>
    <mergeCell ref="T727:U727"/>
    <mergeCell ref="P728:Q728"/>
    <mergeCell ref="R728:S728"/>
    <mergeCell ref="T728:U728"/>
    <mergeCell ref="P729:Q729"/>
    <mergeCell ref="R729:S729"/>
    <mergeCell ref="T729:U729"/>
    <mergeCell ref="P723:Q723"/>
    <mergeCell ref="R723:S723"/>
    <mergeCell ref="T723:U723"/>
    <mergeCell ref="R724:S724"/>
    <mergeCell ref="T724:U724"/>
    <mergeCell ref="P724:Q724"/>
    <mergeCell ref="P725:Q725"/>
    <mergeCell ref="R725:S725"/>
    <mergeCell ref="T725:U725"/>
    <mergeCell ref="P726:Q726"/>
    <mergeCell ref="R726:S726"/>
    <mergeCell ref="T726:U726"/>
    <mergeCell ref="I718:J718"/>
    <mergeCell ref="L718:M718"/>
    <mergeCell ref="N718:O718"/>
    <mergeCell ref="P718:Q718"/>
    <mergeCell ref="R718:S718"/>
    <mergeCell ref="T718:U718"/>
    <mergeCell ref="A719:O719"/>
    <mergeCell ref="P719:Q719"/>
    <mergeCell ref="R719:S719"/>
    <mergeCell ref="T719:U719"/>
    <mergeCell ref="P720:Q720"/>
    <mergeCell ref="R720:S720"/>
    <mergeCell ref="T720:U720"/>
    <mergeCell ref="A720:O720"/>
    <mergeCell ref="A721:O721"/>
    <mergeCell ref="P721:Q721"/>
    <mergeCell ref="R721:S721"/>
    <mergeCell ref="T721:U721"/>
    <mergeCell ref="B722:C722"/>
    <mergeCell ref="D722:F722"/>
    <mergeCell ref="T722:U722"/>
    <mergeCell ref="P722:Q722"/>
    <mergeCell ref="R722:S722"/>
    <mergeCell ref="T712:U712"/>
    <mergeCell ref="G714:H714"/>
    <mergeCell ref="I714:J714"/>
    <mergeCell ref="L714:M714"/>
    <mergeCell ref="N714:O714"/>
    <mergeCell ref="P714:Q714"/>
    <mergeCell ref="R714:S714"/>
    <mergeCell ref="A712:O712"/>
    <mergeCell ref="A713:O713"/>
    <mergeCell ref="P713:Q713"/>
    <mergeCell ref="R713:S713"/>
    <mergeCell ref="T713:U713"/>
    <mergeCell ref="B714:C714"/>
    <mergeCell ref="T714:U714"/>
    <mergeCell ref="R716:S716"/>
    <mergeCell ref="T716:U716"/>
    <mergeCell ref="D714:F714"/>
    <mergeCell ref="A715:O715"/>
    <mergeCell ref="P715:Q715"/>
    <mergeCell ref="R715:S715"/>
    <mergeCell ref="T715:U715"/>
    <mergeCell ref="A716:O716"/>
    <mergeCell ref="P716:Q716"/>
    <mergeCell ref="I710:J710"/>
    <mergeCell ref="L710:M710"/>
    <mergeCell ref="N710:O710"/>
    <mergeCell ref="P710:Q710"/>
    <mergeCell ref="R710:S710"/>
    <mergeCell ref="T710:U710"/>
    <mergeCell ref="P708:Q708"/>
    <mergeCell ref="R708:S708"/>
    <mergeCell ref="A709:O709"/>
    <mergeCell ref="P709:Q709"/>
    <mergeCell ref="R709:S709"/>
    <mergeCell ref="T709:U709"/>
    <mergeCell ref="B710:C710"/>
    <mergeCell ref="D710:F710"/>
    <mergeCell ref="G710:H710"/>
    <mergeCell ref="A711:O711"/>
    <mergeCell ref="P711:Q711"/>
    <mergeCell ref="R711:S711"/>
    <mergeCell ref="T711:U711"/>
    <mergeCell ref="P704:Q704"/>
    <mergeCell ref="R704:S704"/>
    <mergeCell ref="T704:U704"/>
    <mergeCell ref="A705:O705"/>
    <mergeCell ref="P705:Q705"/>
    <mergeCell ref="A706:O706"/>
    <mergeCell ref="P706:Q706"/>
    <mergeCell ref="R706:S706"/>
    <mergeCell ref="T706:U706"/>
    <mergeCell ref="P707:Q707"/>
    <mergeCell ref="R707:S707"/>
    <mergeCell ref="T707:U707"/>
    <mergeCell ref="A707:O707"/>
    <mergeCell ref="B708:C708"/>
    <mergeCell ref="D708:F708"/>
    <mergeCell ref="G708:H708"/>
    <mergeCell ref="I708:J708"/>
    <mergeCell ref="L708:M708"/>
    <mergeCell ref="N708:O708"/>
    <mergeCell ref="T708:U708"/>
    <mergeCell ref="I689:J689"/>
    <mergeCell ref="L689:M689"/>
    <mergeCell ref="N689:O689"/>
    <mergeCell ref="P689:Q689"/>
    <mergeCell ref="R689:S689"/>
    <mergeCell ref="T689:U689"/>
    <mergeCell ref="A688:O688"/>
    <mergeCell ref="P688:Q688"/>
    <mergeCell ref="R688:S688"/>
    <mergeCell ref="T688:U688"/>
    <mergeCell ref="B689:C689"/>
    <mergeCell ref="D689:F689"/>
    <mergeCell ref="G689:H689"/>
    <mergeCell ref="N691:O691"/>
    <mergeCell ref="P691:Q691"/>
    <mergeCell ref="R691:S691"/>
    <mergeCell ref="T691:U691"/>
    <mergeCell ref="P712:Q712"/>
    <mergeCell ref="R712:S712"/>
    <mergeCell ref="I693:J693"/>
    <mergeCell ref="L693:M693"/>
    <mergeCell ref="R693:S693"/>
    <mergeCell ref="T693:U693"/>
    <mergeCell ref="A692:O692"/>
    <mergeCell ref="P692:Q692"/>
    <mergeCell ref="R692:S692"/>
    <mergeCell ref="T692:U692"/>
    <mergeCell ref="B693:C693"/>
    <mergeCell ref="D693:F693"/>
    <mergeCell ref="G693:H693"/>
    <mergeCell ref="I695:J695"/>
    <mergeCell ref="L695:M695"/>
    <mergeCell ref="N695:O695"/>
    <mergeCell ref="P695:Q695"/>
    <mergeCell ref="R695:S695"/>
    <mergeCell ref="T695:U695"/>
    <mergeCell ref="N693:O693"/>
    <mergeCell ref="P693:Q693"/>
    <mergeCell ref="A694:O694"/>
    <mergeCell ref="P694:Q694"/>
    <mergeCell ref="R694:S694"/>
    <mergeCell ref="T694:U694"/>
    <mergeCell ref="B695:C695"/>
    <mergeCell ref="P697:Q697"/>
    <mergeCell ref="R697:S697"/>
    <mergeCell ref="R705:S705"/>
    <mergeCell ref="T705:U705"/>
    <mergeCell ref="D703:F703"/>
    <mergeCell ref="A704:O704"/>
    <mergeCell ref="A702:O702"/>
    <mergeCell ref="P702:Q702"/>
    <mergeCell ref="R702:S702"/>
    <mergeCell ref="T702:U702"/>
    <mergeCell ref="B703:C703"/>
    <mergeCell ref="T703:U703"/>
    <mergeCell ref="D695:F695"/>
    <mergeCell ref="G695:H695"/>
    <mergeCell ref="A696:O696"/>
    <mergeCell ref="P696:Q696"/>
    <mergeCell ref="R696:S696"/>
    <mergeCell ref="T696:U696"/>
    <mergeCell ref="T697:U697"/>
    <mergeCell ref="R699:S699"/>
    <mergeCell ref="T699:U699"/>
    <mergeCell ref="A697:O697"/>
    <mergeCell ref="A698:O698"/>
    <mergeCell ref="P698:Q698"/>
    <mergeCell ref="R698:S698"/>
    <mergeCell ref="T698:U698"/>
    <mergeCell ref="A699:O699"/>
    <mergeCell ref="P699:Q699"/>
    <mergeCell ref="G703:H703"/>
    <mergeCell ref="I703:J703"/>
    <mergeCell ref="L703:M703"/>
    <mergeCell ref="N703:O703"/>
    <mergeCell ref="P703:Q703"/>
    <mergeCell ref="R703:S703"/>
    <mergeCell ref="I691:J691"/>
    <mergeCell ref="L691:M691"/>
    <mergeCell ref="A690:O690"/>
    <mergeCell ref="P690:Q690"/>
    <mergeCell ref="R690:S690"/>
    <mergeCell ref="T690:U690"/>
    <mergeCell ref="B691:C691"/>
    <mergeCell ref="D691:F691"/>
    <mergeCell ref="G691:H691"/>
    <mergeCell ref="A700:O700"/>
    <mergeCell ref="P700:Q700"/>
    <mergeCell ref="R700:S700"/>
    <mergeCell ref="T700:U700"/>
    <mergeCell ref="P701:Q701"/>
    <mergeCell ref="R701:S701"/>
    <mergeCell ref="T701:U701"/>
    <mergeCell ref="A701:O701"/>
    <mergeCell ref="A679:O679"/>
    <mergeCell ref="P679:Q679"/>
    <mergeCell ref="R679:S679"/>
    <mergeCell ref="T679:U679"/>
    <mergeCell ref="P680:Q680"/>
    <mergeCell ref="R680:S680"/>
    <mergeCell ref="T680:U680"/>
    <mergeCell ref="L682:M682"/>
    <mergeCell ref="N682:O682"/>
    <mergeCell ref="P682:Q682"/>
    <mergeCell ref="R682:S682"/>
    <mergeCell ref="A680:O680"/>
    <mergeCell ref="A681:O681"/>
    <mergeCell ref="P681:Q681"/>
    <mergeCell ref="R681:S681"/>
    <mergeCell ref="T681:U681"/>
    <mergeCell ref="B682:C682"/>
    <mergeCell ref="D682:F682"/>
    <mergeCell ref="T682:U682"/>
    <mergeCell ref="R665:S665"/>
    <mergeCell ref="T665:U665"/>
    <mergeCell ref="P672:Q672"/>
    <mergeCell ref="R672:S672"/>
    <mergeCell ref="A676:O676"/>
    <mergeCell ref="P676:Q676"/>
    <mergeCell ref="R676:S676"/>
    <mergeCell ref="T676:U676"/>
    <mergeCell ref="P677:Q677"/>
    <mergeCell ref="R677:S677"/>
    <mergeCell ref="T677:U677"/>
    <mergeCell ref="A677:O677"/>
    <mergeCell ref="B678:C678"/>
    <mergeCell ref="D678:F678"/>
    <mergeCell ref="G678:H678"/>
    <mergeCell ref="I678:J678"/>
    <mergeCell ref="L678:M678"/>
    <mergeCell ref="N678:O678"/>
    <mergeCell ref="N656:O656"/>
    <mergeCell ref="P656:Q656"/>
    <mergeCell ref="A657:O657"/>
    <mergeCell ref="P657:Q657"/>
    <mergeCell ref="R657:S657"/>
    <mergeCell ref="T657:U657"/>
    <mergeCell ref="T658:U658"/>
    <mergeCell ref="R660:S660"/>
    <mergeCell ref="T660:U660"/>
    <mergeCell ref="A658:O658"/>
    <mergeCell ref="A659:O659"/>
    <mergeCell ref="P659:Q659"/>
    <mergeCell ref="R659:S659"/>
    <mergeCell ref="T659:U659"/>
    <mergeCell ref="A660:O660"/>
    <mergeCell ref="P660:Q660"/>
    <mergeCell ref="R661:S661"/>
    <mergeCell ref="T661:U661"/>
    <mergeCell ref="B661:C661"/>
    <mergeCell ref="D661:F661"/>
    <mergeCell ref="G661:H661"/>
    <mergeCell ref="I661:J661"/>
    <mergeCell ref="L661:M661"/>
    <mergeCell ref="N661:O661"/>
    <mergeCell ref="P661:Q661"/>
    <mergeCell ref="P658:Q658"/>
    <mergeCell ref="R658:S658"/>
    <mergeCell ref="I666:J666"/>
    <mergeCell ref="L666:M666"/>
    <mergeCell ref="N666:O666"/>
    <mergeCell ref="P666:Q666"/>
    <mergeCell ref="A667:O667"/>
    <mergeCell ref="P667:Q667"/>
    <mergeCell ref="R667:S667"/>
    <mergeCell ref="T667:U667"/>
    <mergeCell ref="P668:Q668"/>
    <mergeCell ref="R668:S668"/>
    <mergeCell ref="T668:U668"/>
    <mergeCell ref="L670:M670"/>
    <mergeCell ref="N670:O670"/>
    <mergeCell ref="P670:Q670"/>
    <mergeCell ref="R670:S670"/>
    <mergeCell ref="A668:O668"/>
    <mergeCell ref="A669:O669"/>
    <mergeCell ref="P669:Q669"/>
    <mergeCell ref="R669:S669"/>
    <mergeCell ref="T669:U669"/>
    <mergeCell ref="B670:C670"/>
    <mergeCell ref="D670:F670"/>
    <mergeCell ref="T670:U670"/>
    <mergeCell ref="I687:J687"/>
    <mergeCell ref="L687:M687"/>
    <mergeCell ref="N687:O687"/>
    <mergeCell ref="P687:Q687"/>
    <mergeCell ref="R687:S687"/>
    <mergeCell ref="T687:U687"/>
    <mergeCell ref="A686:O686"/>
    <mergeCell ref="P686:Q686"/>
    <mergeCell ref="R686:S686"/>
    <mergeCell ref="T686:U686"/>
    <mergeCell ref="B687:C687"/>
    <mergeCell ref="D687:F687"/>
    <mergeCell ref="G687:H687"/>
    <mergeCell ref="A662:O662"/>
    <mergeCell ref="P662:Q662"/>
    <mergeCell ref="R662:S662"/>
    <mergeCell ref="T662:U662"/>
    <mergeCell ref="P663:Q663"/>
    <mergeCell ref="R663:S663"/>
    <mergeCell ref="T663:U663"/>
    <mergeCell ref="A663:O663"/>
    <mergeCell ref="A664:O664"/>
    <mergeCell ref="P664:Q664"/>
    <mergeCell ref="R664:S664"/>
    <mergeCell ref="T664:U664"/>
    <mergeCell ref="A665:O665"/>
    <mergeCell ref="P665:Q665"/>
    <mergeCell ref="R666:S666"/>
    <mergeCell ref="T666:U666"/>
    <mergeCell ref="B666:C666"/>
    <mergeCell ref="D666:F666"/>
    <mergeCell ref="G666:H666"/>
    <mergeCell ref="G682:H682"/>
    <mergeCell ref="I682:J682"/>
    <mergeCell ref="A683:O683"/>
    <mergeCell ref="P683:Q683"/>
    <mergeCell ref="R683:S683"/>
    <mergeCell ref="T683:U683"/>
    <mergeCell ref="T684:U684"/>
    <mergeCell ref="P685:Q685"/>
    <mergeCell ref="R685:S685"/>
    <mergeCell ref="T685:U685"/>
    <mergeCell ref="A684:O684"/>
    <mergeCell ref="B685:C685"/>
    <mergeCell ref="D685:F685"/>
    <mergeCell ref="G685:H685"/>
    <mergeCell ref="I685:J685"/>
    <mergeCell ref="L685:M685"/>
    <mergeCell ref="N685:O685"/>
    <mergeCell ref="P825:Q825"/>
    <mergeCell ref="R825:S825"/>
    <mergeCell ref="G670:H670"/>
    <mergeCell ref="I670:J670"/>
    <mergeCell ref="A671:O671"/>
    <mergeCell ref="P671:Q671"/>
    <mergeCell ref="R671:S671"/>
    <mergeCell ref="T671:U671"/>
    <mergeCell ref="T672:U672"/>
    <mergeCell ref="R674:S674"/>
    <mergeCell ref="T674:U674"/>
    <mergeCell ref="A672:O672"/>
    <mergeCell ref="A673:O673"/>
    <mergeCell ref="P673:Q673"/>
    <mergeCell ref="R673:S673"/>
    <mergeCell ref="T673:U673"/>
    <mergeCell ref="A674:O674"/>
    <mergeCell ref="P674:Q674"/>
    <mergeCell ref="R675:S675"/>
    <mergeCell ref="T675:U675"/>
    <mergeCell ref="B675:C675"/>
    <mergeCell ref="D675:F675"/>
    <mergeCell ref="G675:H675"/>
    <mergeCell ref="I675:J675"/>
    <mergeCell ref="L675:M675"/>
    <mergeCell ref="N675:O675"/>
    <mergeCell ref="P675:Q675"/>
    <mergeCell ref="P678:Q678"/>
    <mergeCell ref="R678:S678"/>
    <mergeCell ref="T678:U678"/>
    <mergeCell ref="P684:Q684"/>
    <mergeCell ref="R684:S684"/>
    <mergeCell ref="T813:U813"/>
    <mergeCell ref="A814:O814"/>
    <mergeCell ref="P814:Q814"/>
    <mergeCell ref="R814:S814"/>
    <mergeCell ref="T814:U814"/>
    <mergeCell ref="T815:U815"/>
    <mergeCell ref="P816:Q816"/>
    <mergeCell ref="R816:S816"/>
    <mergeCell ref="T816:U816"/>
    <mergeCell ref="A815:O815"/>
    <mergeCell ref="B816:C816"/>
    <mergeCell ref="D816:F816"/>
    <mergeCell ref="G816:H816"/>
    <mergeCell ref="I816:J816"/>
    <mergeCell ref="L816:M816"/>
    <mergeCell ref="N816:O816"/>
    <mergeCell ref="A817:O817"/>
    <mergeCell ref="P817:Q817"/>
    <mergeCell ref="R817:S817"/>
    <mergeCell ref="T817:U817"/>
    <mergeCell ref="P815:Q815"/>
    <mergeCell ref="R815:S815"/>
    <mergeCell ref="A821:O821"/>
    <mergeCell ref="P821:Q821"/>
    <mergeCell ref="R821:S821"/>
    <mergeCell ref="T821:U821"/>
    <mergeCell ref="P822:Q822"/>
    <mergeCell ref="R822:S822"/>
    <mergeCell ref="T822:U822"/>
    <mergeCell ref="A822:O822"/>
    <mergeCell ref="B823:C823"/>
    <mergeCell ref="D823:F823"/>
    <mergeCell ref="G823:H823"/>
    <mergeCell ref="I823:J823"/>
    <mergeCell ref="L823:M823"/>
    <mergeCell ref="N823:O823"/>
    <mergeCell ref="T823:U823"/>
    <mergeCell ref="P818:Q818"/>
    <mergeCell ref="R818:S818"/>
    <mergeCell ref="T818:U818"/>
    <mergeCell ref="R820:S820"/>
    <mergeCell ref="T820:U820"/>
    <mergeCell ref="A818:O818"/>
    <mergeCell ref="A819:O819"/>
    <mergeCell ref="P819:Q819"/>
    <mergeCell ref="R819:S819"/>
    <mergeCell ref="T819:U819"/>
    <mergeCell ref="A820:O820"/>
    <mergeCell ref="P820:Q820"/>
    <mergeCell ref="P823:Q823"/>
    <mergeCell ref="R823:S823"/>
    <mergeCell ref="A813:O813"/>
    <mergeCell ref="P813:Q813"/>
    <mergeCell ref="R803:S803"/>
    <mergeCell ref="T803:U803"/>
    <mergeCell ref="B803:C803"/>
    <mergeCell ref="D803:F803"/>
    <mergeCell ref="G803:H803"/>
    <mergeCell ref="I803:J803"/>
    <mergeCell ref="L803:M803"/>
    <mergeCell ref="N803:O803"/>
    <mergeCell ref="P803:Q803"/>
    <mergeCell ref="A804:O804"/>
    <mergeCell ref="P804:Q804"/>
    <mergeCell ref="R804:S804"/>
    <mergeCell ref="T804:U804"/>
    <mergeCell ref="P805:Q805"/>
    <mergeCell ref="R805:S805"/>
    <mergeCell ref="T805:U805"/>
    <mergeCell ref="P806:Q806"/>
    <mergeCell ref="R806:S806"/>
    <mergeCell ref="T806:U806"/>
    <mergeCell ref="A805:O805"/>
    <mergeCell ref="B806:C806"/>
    <mergeCell ref="D806:F806"/>
    <mergeCell ref="G806:H806"/>
    <mergeCell ref="I806:J806"/>
    <mergeCell ref="L806:M806"/>
    <mergeCell ref="N806:O806"/>
    <mergeCell ref="P809:Q809"/>
    <mergeCell ref="R809:S809"/>
    <mergeCell ref="T809:U809"/>
    <mergeCell ref="R813:S813"/>
    <mergeCell ref="B809:C809"/>
    <mergeCell ref="D809:F809"/>
    <mergeCell ref="G809:H809"/>
    <mergeCell ref="I809:J809"/>
    <mergeCell ref="L809:M809"/>
    <mergeCell ref="N809:O809"/>
    <mergeCell ref="A810:O810"/>
    <mergeCell ref="P810:Q810"/>
    <mergeCell ref="R810:S810"/>
    <mergeCell ref="T810:U810"/>
    <mergeCell ref="P811:Q811"/>
    <mergeCell ref="R811:S811"/>
    <mergeCell ref="T811:U811"/>
    <mergeCell ref="A811:O811"/>
    <mergeCell ref="A812:O812"/>
    <mergeCell ref="P812:Q812"/>
    <mergeCell ref="R812:S812"/>
    <mergeCell ref="T812:U812"/>
    <mergeCell ref="P802:Q802"/>
    <mergeCell ref="R802:S802"/>
    <mergeCell ref="T802:U802"/>
    <mergeCell ref="L797:M797"/>
    <mergeCell ref="N797:O797"/>
    <mergeCell ref="A798:O798"/>
    <mergeCell ref="A799:O799"/>
    <mergeCell ref="A800:O800"/>
    <mergeCell ref="A801:O801"/>
    <mergeCell ref="A802:O802"/>
    <mergeCell ref="A807:O807"/>
    <mergeCell ref="P807:Q807"/>
    <mergeCell ref="R807:S807"/>
    <mergeCell ref="T807:U807"/>
    <mergeCell ref="P808:Q808"/>
    <mergeCell ref="R808:S808"/>
    <mergeCell ref="T808:U808"/>
    <mergeCell ref="A808:O808"/>
    <mergeCell ref="P800:Q800"/>
    <mergeCell ref="R800:S800"/>
    <mergeCell ref="T800:U800"/>
    <mergeCell ref="P801:Q801"/>
    <mergeCell ref="R801:S801"/>
    <mergeCell ref="T801:U801"/>
    <mergeCell ref="A793:O793"/>
    <mergeCell ref="A794:O794"/>
    <mergeCell ref="P794:Q794"/>
    <mergeCell ref="R794:S794"/>
    <mergeCell ref="T794:U794"/>
    <mergeCell ref="B795:C795"/>
    <mergeCell ref="T795:U795"/>
    <mergeCell ref="D795:F795"/>
    <mergeCell ref="A796:O796"/>
    <mergeCell ref="P796:Q796"/>
    <mergeCell ref="R796:S796"/>
    <mergeCell ref="T796:U796"/>
    <mergeCell ref="B797:C797"/>
    <mergeCell ref="D797:F797"/>
    <mergeCell ref="T797:U797"/>
    <mergeCell ref="T793:U793"/>
    <mergeCell ref="G795:H795"/>
    <mergeCell ref="I795:J795"/>
    <mergeCell ref="L795:M795"/>
    <mergeCell ref="N795:O795"/>
    <mergeCell ref="P795:Q795"/>
    <mergeCell ref="R795:S795"/>
    <mergeCell ref="G797:H797"/>
    <mergeCell ref="I797:J797"/>
    <mergeCell ref="T785:U785"/>
    <mergeCell ref="G787:H787"/>
    <mergeCell ref="I787:J787"/>
    <mergeCell ref="L787:M787"/>
    <mergeCell ref="N787:O787"/>
    <mergeCell ref="P787:Q787"/>
    <mergeCell ref="R787:S787"/>
    <mergeCell ref="P793:Q793"/>
    <mergeCell ref="R793:S793"/>
    <mergeCell ref="P797:Q797"/>
    <mergeCell ref="R797:S797"/>
    <mergeCell ref="P798:Q798"/>
    <mergeCell ref="R798:S798"/>
    <mergeCell ref="T798:U798"/>
    <mergeCell ref="R799:S799"/>
    <mergeCell ref="T799:U799"/>
    <mergeCell ref="P799:Q799"/>
    <mergeCell ref="G791:H791"/>
    <mergeCell ref="A792:O792"/>
    <mergeCell ref="P792:Q792"/>
    <mergeCell ref="R792:S792"/>
    <mergeCell ref="T792:U792"/>
    <mergeCell ref="A788:O788"/>
    <mergeCell ref="P788:Q788"/>
    <mergeCell ref="R788:S788"/>
    <mergeCell ref="T788:U788"/>
    <mergeCell ref="A789:O789"/>
    <mergeCell ref="P789:Q789"/>
    <mergeCell ref="I791:J791"/>
    <mergeCell ref="L791:M791"/>
    <mergeCell ref="N791:O791"/>
    <mergeCell ref="P791:Q791"/>
    <mergeCell ref="R791:S791"/>
    <mergeCell ref="T791:U791"/>
    <mergeCell ref="R789:S789"/>
    <mergeCell ref="T789:U789"/>
    <mergeCell ref="A790:O790"/>
    <mergeCell ref="P790:Q790"/>
    <mergeCell ref="R790:S790"/>
    <mergeCell ref="T790:U790"/>
    <mergeCell ref="B791:C791"/>
    <mergeCell ref="D791:F791"/>
    <mergeCell ref="R782:S782"/>
    <mergeCell ref="T782:U782"/>
    <mergeCell ref="D780:F780"/>
    <mergeCell ref="A781:O781"/>
    <mergeCell ref="P781:Q781"/>
    <mergeCell ref="R781:S781"/>
    <mergeCell ref="T781:U781"/>
    <mergeCell ref="A782:O782"/>
    <mergeCell ref="P782:Q782"/>
    <mergeCell ref="A785:O785"/>
    <mergeCell ref="A786:O786"/>
    <mergeCell ref="P786:Q786"/>
    <mergeCell ref="R786:S786"/>
    <mergeCell ref="T786:U786"/>
    <mergeCell ref="B787:C787"/>
    <mergeCell ref="T787:U787"/>
    <mergeCell ref="D787:F787"/>
    <mergeCell ref="R783:S783"/>
    <mergeCell ref="T783:U783"/>
    <mergeCell ref="B783:C783"/>
    <mergeCell ref="D783:F783"/>
    <mergeCell ref="G783:H783"/>
    <mergeCell ref="I783:J783"/>
    <mergeCell ref="L783:M783"/>
    <mergeCell ref="N783:O783"/>
    <mergeCell ref="P783:Q783"/>
    <mergeCell ref="A784:O784"/>
    <mergeCell ref="P784:Q784"/>
    <mergeCell ref="R784:S784"/>
    <mergeCell ref="T784:U784"/>
    <mergeCell ref="P785:Q785"/>
    <mergeCell ref="R785:S785"/>
    <mergeCell ref="G774:H774"/>
    <mergeCell ref="P778:Q778"/>
    <mergeCell ref="R778:S778"/>
    <mergeCell ref="N776:O776"/>
    <mergeCell ref="P776:Q776"/>
    <mergeCell ref="A777:O777"/>
    <mergeCell ref="P777:Q777"/>
    <mergeCell ref="R777:S777"/>
    <mergeCell ref="T777:U777"/>
    <mergeCell ref="T778:U778"/>
    <mergeCell ref="G780:H780"/>
    <mergeCell ref="I780:J780"/>
    <mergeCell ref="L780:M780"/>
    <mergeCell ref="N780:O780"/>
    <mergeCell ref="P780:Q780"/>
    <mergeCell ref="R780:S780"/>
    <mergeCell ref="A778:O778"/>
    <mergeCell ref="A779:O779"/>
    <mergeCell ref="P779:Q779"/>
    <mergeCell ref="R779:S779"/>
    <mergeCell ref="T779:U779"/>
    <mergeCell ref="B780:C780"/>
    <mergeCell ref="T780:U780"/>
    <mergeCell ref="I776:J776"/>
    <mergeCell ref="L776:M776"/>
    <mergeCell ref="R776:S776"/>
    <mergeCell ref="T776:U776"/>
    <mergeCell ref="A775:O775"/>
    <mergeCell ref="P775:Q775"/>
    <mergeCell ref="R775:S775"/>
    <mergeCell ref="T775:U775"/>
    <mergeCell ref="B776:C776"/>
    <mergeCell ref="D776:F776"/>
    <mergeCell ref="G776:H776"/>
    <mergeCell ref="R772:S772"/>
    <mergeCell ref="T772:U772"/>
    <mergeCell ref="B772:C772"/>
    <mergeCell ref="D772:F772"/>
    <mergeCell ref="G772:H772"/>
    <mergeCell ref="I772:J772"/>
    <mergeCell ref="L772:M772"/>
    <mergeCell ref="N772:O772"/>
    <mergeCell ref="P772:Q772"/>
    <mergeCell ref="I774:J774"/>
    <mergeCell ref="L774:M774"/>
    <mergeCell ref="N774:O774"/>
    <mergeCell ref="P774:Q774"/>
    <mergeCell ref="R774:S774"/>
    <mergeCell ref="T774:U774"/>
    <mergeCell ref="A773:O773"/>
    <mergeCell ref="P773:Q773"/>
    <mergeCell ref="R773:S773"/>
    <mergeCell ref="T773:U773"/>
    <mergeCell ref="B774:C774"/>
    <mergeCell ref="D774:F774"/>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heetViews>
  <sheetFormatPr baseColWidth="10" defaultColWidth="14.3984375" defaultRowHeight="15" customHeight="1" x14ac:dyDescent="0.15"/>
  <cols>
    <col min="1" max="26" width="10.796875" customWidth="1"/>
  </cols>
  <sheetData>
    <row r="1" spans="1:2" ht="12.75" customHeight="1" x14ac:dyDescent="0.15">
      <c r="A1" s="63" t="s">
        <v>7020</v>
      </c>
      <c r="B1" s="51" t="s">
        <v>7021</v>
      </c>
    </row>
    <row r="2" spans="1:2" ht="12.75" customHeight="1" x14ac:dyDescent="0.15"/>
    <row r="3" spans="1:2" ht="12.75" customHeight="1" x14ac:dyDescent="0.15"/>
    <row r="4" spans="1:2" ht="12.75" customHeight="1" x14ac:dyDescent="0.15"/>
    <row r="5" spans="1:2" ht="12.75" customHeight="1" x14ac:dyDescent="0.15"/>
    <row r="6" spans="1:2" ht="12.75" customHeight="1" x14ac:dyDescent="0.15"/>
    <row r="7" spans="1:2" ht="12.75" customHeight="1" x14ac:dyDescent="0.15"/>
    <row r="8" spans="1:2" ht="12.75" customHeight="1" x14ac:dyDescent="0.15"/>
    <row r="9" spans="1:2" ht="12.75" customHeight="1" x14ac:dyDescent="0.15"/>
    <row r="10" spans="1:2" ht="12.75" customHeight="1" x14ac:dyDescent="0.15"/>
    <row r="11" spans="1:2" ht="12.75" customHeight="1" x14ac:dyDescent="0.15"/>
    <row r="12" spans="1:2" ht="12.75" customHeight="1" x14ac:dyDescent="0.15"/>
    <row r="13" spans="1:2" ht="12.75" customHeight="1" x14ac:dyDescent="0.15"/>
    <row r="14" spans="1:2" ht="12.75" customHeight="1" x14ac:dyDescent="0.15"/>
    <row r="15" spans="1:2" ht="12.75" customHeight="1" x14ac:dyDescent="0.15"/>
    <row r="16" spans="1:2"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Working</vt:lpstr>
      <vt:lpstr>Stillbirths</vt:lpstr>
      <vt:lpstr>Stillbirths by Mother</vt:lpstr>
      <vt:lpstr>Births by Location</vt:lpstr>
      <vt:lpstr>Births by Dam</vt:lpstr>
      <vt:lpstr>Births by Sire</vt:lpstr>
      <vt:lpstr>Institutions</vt:lpstr>
      <vt:lpstr>Original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Low, Rachel</dc:creator>
  <cp:lastModifiedBy>Rich, Alicia</cp:lastModifiedBy>
  <dcterms:created xsi:type="dcterms:W3CDTF">2023-04-12T19:26:22Z</dcterms:created>
  <dcterms:modified xsi:type="dcterms:W3CDTF">2025-02-25T02:47:16Z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2021-05-22T00:00:00Z</vt:filetime>
  </property>
  <property fmtid="{D5CDD505-2E9C-101B-9397-08002B2CF9AE}" pid="3" name="Creator">
    <vt:lpwstr>Microsoft® Word for Microsoft 365</vt:lpwstr>
  </property>
  <property fmtid="{D5CDD505-2E9C-101B-9397-08002B2CF9AE}" pid="4" name="LastSaved">
    <vt:filetime>2023-04-12T00:00:00Z</vt:filetime>
  </property>
  <property fmtid="{D5CDD505-2E9C-101B-9397-08002B2CF9AE}" pid="5" name="Producer">
    <vt:lpwstr>Microsoft® Word for Microsoft 365</vt:lpwstr>
  </property>
</Properties>
</file>